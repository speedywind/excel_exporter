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nday\Desktop\Work\lol\Git\ld\Newconfiguration\"/>
    </mc:Choice>
  </mc:AlternateContent>
  <bookViews>
    <workbookView xWindow="0" yWindow="435" windowWidth="33600" windowHeight="19485" tabRatio="823" activeTab="5"/>
  </bookViews>
  <sheets>
    <sheet name="装备&amp;材料" sheetId="40" r:id="rId1"/>
    <sheet name="人物" sheetId="6" r:id="rId2"/>
    <sheet name="技能" sheetId="8" r:id="rId3"/>
    <sheet name="属性能力说明" sheetId="18" state="hidden" r:id="rId4"/>
    <sheet name="#天赋" sheetId="45" state="hidden" r:id="rId5"/>
    <sheet name="状态" sheetId="9" r:id="rId6"/>
    <sheet name="#状态名词" sheetId="35" r:id="rId7"/>
    <sheet name="特殊技能" sheetId="25" r:id="rId8"/>
    <sheet name="特殊状态" sheetId="23" r:id="rId9"/>
    <sheet name="进阶战力表" sheetId="38" r:id="rId10"/>
    <sheet name="#技能触发表" sheetId="17" r:id="rId11"/>
    <sheet name="人物升级表" sheetId="14" r:id="rId12"/>
    <sheet name="技能等级表" sheetId="16" r:id="rId13"/>
    <sheet name="天赋" sheetId="44" r:id="rId14"/>
    <sheet name="天赋解锁" sheetId="46" r:id="rId15"/>
    <sheet name="分解" sheetId="42" state="hidden" r:id="rId16"/>
    <sheet name="人物升星表" sheetId="43" r:id="rId17"/>
    <sheet name="#品质星级" sheetId="36" r:id="rId18"/>
  </sheets>
  <definedNames>
    <definedName name="_xlnm._FilterDatabase" localSheetId="2" hidden="1">技能!$K$1:$K$2015</definedName>
    <definedName name="_xlnm._FilterDatabase" localSheetId="5" hidden="1">状态!$H$1:$H$1696</definedName>
    <definedName name="防御">#REF!</definedName>
    <definedName name="辅助">#REF!</definedName>
    <definedName name="属性">#REF!</definedName>
    <definedName name="特性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161" i="9" l="1"/>
  <c r="J1161" i="9"/>
  <c r="I1162" i="9"/>
  <c r="J1162" i="9"/>
  <c r="I1163" i="9"/>
  <c r="J1163" i="9"/>
  <c r="I1164" i="9"/>
  <c r="J1164" i="9"/>
  <c r="I1165" i="9"/>
  <c r="J1165" i="9"/>
  <c r="I1166" i="9"/>
  <c r="J1166" i="9"/>
  <c r="I1167" i="9"/>
  <c r="J1167" i="9"/>
  <c r="I1168" i="9"/>
  <c r="J1168" i="9"/>
  <c r="I1169" i="9"/>
  <c r="J1169" i="9"/>
  <c r="I1170" i="9"/>
  <c r="J1170" i="9"/>
  <c r="I1171" i="9"/>
  <c r="J1171" i="9"/>
  <c r="I1172" i="9"/>
  <c r="J1172" i="9"/>
  <c r="I1173" i="9"/>
  <c r="J1173" i="9"/>
  <c r="W1223" i="8"/>
  <c r="W1224" i="8"/>
  <c r="W1225" i="8"/>
  <c r="W1226" i="8"/>
  <c r="W1227" i="8"/>
  <c r="W1228" i="8"/>
  <c r="W1229" i="8"/>
  <c r="W1230" i="8"/>
  <c r="W1231" i="8"/>
  <c r="I820" i="9" l="1"/>
  <c r="J820" i="9"/>
  <c r="I821" i="9"/>
  <c r="J821" i="9"/>
  <c r="I822" i="9"/>
  <c r="J822" i="9"/>
  <c r="I813" i="9" l="1"/>
  <c r="J813" i="9"/>
  <c r="I814" i="9"/>
  <c r="J814" i="9"/>
  <c r="I815" i="9"/>
  <c r="J815" i="9"/>
  <c r="I816" i="9"/>
  <c r="J816" i="9"/>
  <c r="I817" i="9"/>
  <c r="J817" i="9"/>
  <c r="I818" i="9"/>
  <c r="J818" i="9"/>
  <c r="I819" i="9"/>
  <c r="J819" i="9"/>
  <c r="W821" i="8"/>
  <c r="W822" i="8"/>
  <c r="W823" i="8"/>
  <c r="W824" i="8"/>
  <c r="W825" i="8"/>
  <c r="W826" i="8"/>
  <c r="W828" i="8"/>
  <c r="I594" i="9" l="1"/>
  <c r="J594" i="9"/>
  <c r="I595" i="9"/>
  <c r="J595" i="9"/>
  <c r="I596" i="9"/>
  <c r="J596" i="9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I1183" i="9" l="1"/>
  <c r="J1183" i="9"/>
  <c r="I1184" i="9"/>
  <c r="J1184" i="9"/>
  <c r="I1185" i="9"/>
  <c r="J1185" i="9"/>
  <c r="I1186" i="9"/>
  <c r="J1186" i="9"/>
  <c r="I1187" i="9"/>
  <c r="J1187" i="9"/>
  <c r="I1188" i="9"/>
  <c r="J1188" i="9"/>
  <c r="I1189" i="9"/>
  <c r="J1189" i="9"/>
  <c r="I1190" i="9"/>
  <c r="J1190" i="9"/>
  <c r="I1191" i="9"/>
  <c r="J1191" i="9"/>
  <c r="I1192" i="9"/>
  <c r="J1192" i="9"/>
  <c r="I1193" i="9"/>
  <c r="J1193" i="9"/>
  <c r="I1194" i="9"/>
  <c r="J1194" i="9"/>
  <c r="I1195" i="9"/>
  <c r="J1195" i="9"/>
  <c r="I1196" i="9"/>
  <c r="J1196" i="9"/>
  <c r="I1197" i="9"/>
  <c r="J1197" i="9"/>
  <c r="I1198" i="9"/>
  <c r="J1198" i="9"/>
  <c r="I1199" i="9"/>
  <c r="J1199" i="9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J387" i="9" l="1"/>
  <c r="I380" i="9"/>
  <c r="J380" i="9"/>
  <c r="I381" i="9"/>
  <c r="J381" i="9"/>
  <c r="I382" i="9"/>
  <c r="J382" i="9"/>
  <c r="I383" i="9"/>
  <c r="J383" i="9"/>
  <c r="I384" i="9"/>
  <c r="J384" i="9"/>
  <c r="I385" i="9"/>
  <c r="J385" i="9"/>
  <c r="I386" i="9"/>
  <c r="J386" i="9"/>
  <c r="I387" i="9"/>
  <c r="I388" i="9"/>
  <c r="J388" i="9"/>
  <c r="I389" i="9"/>
  <c r="J389" i="9"/>
  <c r="I390" i="9"/>
  <c r="J390" i="9"/>
  <c r="I391" i="9"/>
  <c r="J391" i="9"/>
  <c r="I392" i="9"/>
  <c r="J392" i="9"/>
  <c r="I393" i="9"/>
  <c r="J393" i="9"/>
  <c r="I394" i="9"/>
  <c r="J394" i="9"/>
  <c r="I395" i="9"/>
  <c r="J395" i="9"/>
  <c r="I396" i="9"/>
  <c r="J396" i="9"/>
  <c r="I397" i="9"/>
  <c r="J397" i="9"/>
  <c r="I398" i="9"/>
  <c r="J398" i="9"/>
  <c r="I399" i="9"/>
  <c r="J399" i="9"/>
  <c r="I378" i="9"/>
  <c r="J378" i="9"/>
  <c r="I379" i="9"/>
  <c r="J379" i="9"/>
  <c r="I372" i="9"/>
  <c r="J372" i="9"/>
  <c r="I373" i="9"/>
  <c r="J373" i="9"/>
  <c r="I374" i="9"/>
  <c r="J374" i="9"/>
  <c r="I375" i="9"/>
  <c r="J375" i="9"/>
  <c r="I376" i="9"/>
  <c r="J376" i="9"/>
  <c r="I377" i="9"/>
  <c r="J377" i="9"/>
  <c r="W369" i="8"/>
  <c r="W370" i="8"/>
  <c r="W371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8" i="8"/>
  <c r="W372" i="8"/>
  <c r="W374" i="8"/>
  <c r="W375" i="8"/>
  <c r="W377" i="8"/>
  <c r="W378" i="8"/>
  <c r="X323" i="6" l="1"/>
  <c r="X324" i="6"/>
  <c r="X325" i="6"/>
  <c r="X326" i="6"/>
  <c r="X327" i="6"/>
  <c r="X342" i="6" l="1"/>
  <c r="V342" i="6"/>
  <c r="U342" i="6"/>
  <c r="X341" i="6"/>
  <c r="V341" i="6"/>
  <c r="U341" i="6"/>
  <c r="X340" i="6"/>
  <c r="V340" i="6"/>
  <c r="U340" i="6"/>
  <c r="X339" i="6"/>
  <c r="V339" i="6"/>
  <c r="U339" i="6"/>
  <c r="X338" i="6"/>
  <c r="U338" i="6"/>
  <c r="X337" i="6"/>
  <c r="V337" i="6"/>
  <c r="U337" i="6"/>
  <c r="X336" i="6"/>
  <c r="V336" i="6"/>
  <c r="U336" i="6"/>
  <c r="X335" i="6"/>
  <c r="V335" i="6"/>
  <c r="U335" i="6"/>
  <c r="X334" i="6"/>
  <c r="V334" i="6"/>
  <c r="U334" i="6"/>
  <c r="X333" i="6"/>
  <c r="U333" i="6"/>
  <c r="X332" i="6"/>
  <c r="V332" i="6"/>
  <c r="U332" i="6"/>
  <c r="X331" i="6"/>
  <c r="V331" i="6"/>
  <c r="U331" i="6"/>
  <c r="X330" i="6"/>
  <c r="V330" i="6"/>
  <c r="U330" i="6"/>
  <c r="X329" i="6"/>
  <c r="V329" i="6"/>
  <c r="U329" i="6"/>
  <c r="X328" i="6"/>
  <c r="U328" i="6"/>
  <c r="V327" i="6"/>
  <c r="U327" i="6"/>
  <c r="V326" i="6"/>
  <c r="U326" i="6"/>
  <c r="V325" i="6"/>
  <c r="U325" i="6"/>
  <c r="V324" i="6"/>
  <c r="U324" i="6"/>
  <c r="U323" i="6"/>
  <c r="U3" i="6" l="1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E1" i="40" l="1"/>
  <c r="E2" i="40"/>
  <c r="V353" i="6" s="1"/>
  <c r="E3" i="40"/>
  <c r="V373" i="6" s="1"/>
  <c r="E6" i="40"/>
  <c r="V53" i="6" s="1"/>
  <c r="E5" i="40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4" i="6"/>
  <c r="V25" i="6"/>
  <c r="V26" i="6"/>
  <c r="V27" i="6"/>
  <c r="V29" i="6"/>
  <c r="V30" i="6"/>
  <c r="V31" i="6"/>
  <c r="V32" i="6"/>
  <c r="V33" i="6"/>
  <c r="V34" i="6"/>
  <c r="V35" i="6"/>
  <c r="V36" i="6"/>
  <c r="V37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4" i="6"/>
  <c r="V55" i="6"/>
  <c r="V56" i="6"/>
  <c r="V57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9" i="6"/>
  <c r="V150" i="6"/>
  <c r="V151" i="6"/>
  <c r="V152" i="6"/>
  <c r="V153" i="6"/>
  <c r="V154" i="6"/>
  <c r="V155" i="6"/>
  <c r="V156" i="6"/>
  <c r="V157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4" i="6"/>
  <c r="V175" i="6"/>
  <c r="V176" i="6"/>
  <c r="V177" i="6"/>
  <c r="V178" i="6"/>
  <c r="V179" i="6"/>
  <c r="V180" i="6"/>
  <c r="V181" i="6"/>
  <c r="V182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4" i="6"/>
  <c r="V205" i="6"/>
  <c r="V206" i="6"/>
  <c r="V207" i="6"/>
  <c r="V208" i="6"/>
  <c r="V209" i="6"/>
  <c r="V210" i="6"/>
  <c r="V211" i="6"/>
  <c r="V212" i="6"/>
  <c r="V214" i="6"/>
  <c r="V215" i="6"/>
  <c r="V216" i="6"/>
  <c r="V217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9" i="6"/>
  <c r="V320" i="6"/>
  <c r="V321" i="6"/>
  <c r="V322" i="6"/>
  <c r="V343" i="6"/>
  <c r="V344" i="6"/>
  <c r="V345" i="6"/>
  <c r="V346" i="6"/>
  <c r="V347" i="6"/>
  <c r="V348" i="6"/>
  <c r="V349" i="6"/>
  <c r="V350" i="6"/>
  <c r="V351" i="6"/>
  <c r="V352" i="6"/>
  <c r="V354" i="6"/>
  <c r="V355" i="6"/>
  <c r="V356" i="6"/>
  <c r="V357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4" i="6"/>
  <c r="V375" i="6"/>
  <c r="V376" i="6"/>
  <c r="V377" i="6"/>
  <c r="V379" i="6"/>
  <c r="V380" i="6"/>
  <c r="V381" i="6"/>
  <c r="V382" i="6"/>
  <c r="V383" i="6"/>
  <c r="V384" i="6"/>
  <c r="V385" i="6"/>
  <c r="V386" i="6"/>
  <c r="V387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9" i="6"/>
  <c r="V410" i="6"/>
  <c r="V411" i="6"/>
  <c r="V412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4" i="6"/>
  <c r="V435" i="6"/>
  <c r="V436" i="6"/>
  <c r="V437" i="6"/>
  <c r="V439" i="6"/>
  <c r="V440" i="6"/>
  <c r="V441" i="6"/>
  <c r="V442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4" i="6"/>
  <c r="V465" i="6"/>
  <c r="V466" i="6"/>
  <c r="V467" i="6"/>
  <c r="V469" i="6"/>
  <c r="V470" i="6"/>
  <c r="V471" i="6"/>
  <c r="V472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4" i="6"/>
  <c r="V495" i="6"/>
  <c r="V496" i="6"/>
  <c r="V497" i="6"/>
  <c r="V499" i="6"/>
  <c r="V500" i="6"/>
  <c r="V501" i="6"/>
  <c r="V502" i="6"/>
  <c r="V503" i="6"/>
  <c r="V504" i="6"/>
  <c r="V505" i="6"/>
  <c r="V506" i="6"/>
  <c r="V507" i="6"/>
  <c r="V508" i="6"/>
  <c r="V509" i="6"/>
  <c r="V510" i="6"/>
  <c r="V511" i="6"/>
  <c r="V512" i="6"/>
  <c r="V513" i="6"/>
  <c r="V514" i="6"/>
  <c r="V515" i="6"/>
  <c r="V516" i="6"/>
  <c r="V517" i="6"/>
  <c r="V518" i="6"/>
  <c r="V519" i="6"/>
  <c r="V520" i="6"/>
  <c r="V521" i="6"/>
  <c r="V522" i="6"/>
  <c r="V524" i="6"/>
  <c r="V525" i="6"/>
  <c r="V526" i="6"/>
  <c r="V527" i="6"/>
  <c r="V528" i="6"/>
  <c r="V529" i="6"/>
  <c r="V530" i="6"/>
  <c r="V531" i="6"/>
  <c r="V532" i="6"/>
  <c r="V534" i="6"/>
  <c r="V535" i="6"/>
  <c r="V536" i="6"/>
  <c r="V537" i="6"/>
  <c r="V538" i="6"/>
  <c r="V539" i="6"/>
  <c r="V540" i="6"/>
  <c r="V541" i="6"/>
  <c r="V542" i="6"/>
  <c r="V543" i="6"/>
  <c r="V544" i="6"/>
  <c r="V545" i="6"/>
  <c r="V546" i="6"/>
  <c r="V547" i="6"/>
  <c r="V548" i="6"/>
  <c r="V549" i="6"/>
  <c r="V550" i="6"/>
  <c r="V551" i="6"/>
  <c r="V552" i="6"/>
  <c r="V3" i="6"/>
  <c r="V88" i="6" l="1"/>
  <c r="V28" i="6"/>
  <c r="V523" i="6"/>
  <c r="V468" i="6"/>
  <c r="V463" i="6"/>
  <c r="V443" i="6"/>
  <c r="V408" i="6"/>
  <c r="V388" i="6"/>
  <c r="V358" i="6"/>
  <c r="V148" i="6"/>
  <c r="V203" i="6"/>
  <c r="V183" i="6"/>
  <c r="V103" i="6"/>
  <c r="V23" i="6"/>
  <c r="V498" i="6"/>
  <c r="V438" i="6"/>
  <c r="V378" i="6"/>
  <c r="V318" i="6"/>
  <c r="V218" i="6"/>
  <c r="V158" i="6"/>
  <c r="V118" i="6"/>
  <c r="V58" i="6"/>
  <c r="V38" i="6"/>
  <c r="V533" i="6"/>
  <c r="V493" i="6"/>
  <c r="V473" i="6"/>
  <c r="V433" i="6"/>
  <c r="V413" i="6"/>
  <c r="V273" i="6"/>
  <c r="V253" i="6"/>
  <c r="V213" i="6"/>
  <c r="V173" i="6"/>
  <c r="V73" i="6"/>
  <c r="I252" i="9"/>
  <c r="J252" i="9"/>
  <c r="W1884" i="8" l="1"/>
  <c r="W1798" i="8" l="1"/>
  <c r="W1799" i="8"/>
  <c r="W1800" i="8"/>
  <c r="W1801" i="8"/>
  <c r="W1802" i="8"/>
  <c r="W1803" i="8"/>
  <c r="W1804" i="8"/>
  <c r="W1805" i="8"/>
  <c r="W1806" i="8"/>
  <c r="W1807" i="8"/>
  <c r="I1561" i="9" l="1"/>
  <c r="J1561" i="9"/>
  <c r="I593" i="9" l="1"/>
  <c r="J593" i="9"/>
  <c r="I588" i="9"/>
  <c r="J588" i="9"/>
  <c r="I589" i="9"/>
  <c r="J589" i="9"/>
  <c r="I590" i="9"/>
  <c r="J590" i="9"/>
  <c r="I591" i="9"/>
  <c r="J591" i="9"/>
  <c r="I592" i="9"/>
  <c r="J592" i="9"/>
  <c r="W612" i="8"/>
  <c r="W613" i="8"/>
  <c r="J587" i="9" l="1"/>
  <c r="I580" i="9"/>
  <c r="J580" i="9"/>
  <c r="I581" i="9"/>
  <c r="J581" i="9"/>
  <c r="I582" i="9"/>
  <c r="J582" i="9"/>
  <c r="I583" i="9"/>
  <c r="J583" i="9"/>
  <c r="I584" i="9"/>
  <c r="J584" i="9"/>
  <c r="I585" i="9"/>
  <c r="J585" i="9"/>
  <c r="I586" i="9"/>
  <c r="J586" i="9"/>
  <c r="I587" i="9"/>
  <c r="I597" i="9"/>
  <c r="J597" i="9"/>
  <c r="I1551" i="9" l="1"/>
  <c r="J1551" i="9"/>
  <c r="I1552" i="9"/>
  <c r="J1552" i="9"/>
  <c r="I1553" i="9"/>
  <c r="J1553" i="9"/>
  <c r="I1554" i="9"/>
  <c r="J1554" i="9"/>
  <c r="I1555" i="9"/>
  <c r="J1555" i="9"/>
  <c r="I1556" i="9"/>
  <c r="J1556" i="9"/>
  <c r="I1557" i="9"/>
  <c r="J1557" i="9"/>
  <c r="I1558" i="9"/>
  <c r="J1558" i="9"/>
  <c r="I1559" i="9"/>
  <c r="J1559" i="9"/>
  <c r="I1560" i="9"/>
  <c r="J1560" i="9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808" i="8"/>
  <c r="W1809" i="8"/>
  <c r="I1176" i="9" l="1"/>
  <c r="J1176" i="9"/>
  <c r="I1177" i="9"/>
  <c r="J1177" i="9"/>
  <c r="I1178" i="9"/>
  <c r="J1178" i="9"/>
  <c r="I1179" i="9"/>
  <c r="J1179" i="9"/>
  <c r="I1180" i="9"/>
  <c r="J1180" i="9"/>
  <c r="I1181" i="9"/>
  <c r="J1181" i="9"/>
  <c r="I1182" i="9"/>
  <c r="J1182" i="9"/>
  <c r="I1200" i="9"/>
  <c r="J1200" i="9"/>
  <c r="I578" i="9" l="1"/>
  <c r="J578" i="9"/>
  <c r="I579" i="9"/>
  <c r="J579" i="9"/>
  <c r="I809" i="9" l="1"/>
  <c r="J809" i="9"/>
  <c r="I810" i="9"/>
  <c r="J810" i="9"/>
  <c r="I811" i="9"/>
  <c r="J811" i="9"/>
  <c r="I812" i="9"/>
  <c r="J812" i="9"/>
  <c r="I576" i="9" l="1"/>
  <c r="J576" i="9"/>
  <c r="I577" i="9"/>
  <c r="J577" i="9"/>
  <c r="I803" i="9" l="1"/>
  <c r="J803" i="9"/>
  <c r="I1154" i="9" l="1"/>
  <c r="J1154" i="9"/>
  <c r="I1155" i="9"/>
  <c r="J1155" i="9"/>
  <c r="I1156" i="9"/>
  <c r="J1156" i="9"/>
  <c r="I1157" i="9"/>
  <c r="J1157" i="9"/>
  <c r="I1158" i="9"/>
  <c r="J1158" i="9"/>
  <c r="W804" i="8" l="1"/>
  <c r="W805" i="8"/>
  <c r="W806" i="8"/>
  <c r="W807" i="8"/>
  <c r="W808" i="8"/>
  <c r="W809" i="8"/>
  <c r="W810" i="8"/>
  <c r="W811" i="8"/>
  <c r="W812" i="8"/>
  <c r="W813" i="8"/>
  <c r="W816" i="8"/>
  <c r="W817" i="8"/>
  <c r="W818" i="8"/>
  <c r="W819" i="8"/>
  <c r="W820" i="8"/>
  <c r="I1146" i="9" l="1"/>
  <c r="J1146" i="9"/>
  <c r="I1147" i="9"/>
  <c r="J1147" i="9"/>
  <c r="I1148" i="9"/>
  <c r="J1148" i="9"/>
  <c r="I1149" i="9"/>
  <c r="J1149" i="9"/>
  <c r="I1145" i="9"/>
  <c r="I573" i="9" l="1"/>
  <c r="J573" i="9"/>
  <c r="I574" i="9"/>
  <c r="J574" i="9"/>
  <c r="I575" i="9"/>
  <c r="J575" i="9"/>
  <c r="J571" i="9" l="1"/>
  <c r="I571" i="9"/>
  <c r="I572" i="9"/>
  <c r="J572" i="9"/>
  <c r="I569" i="9" l="1"/>
  <c r="J569" i="9"/>
  <c r="I570" i="9"/>
  <c r="J570" i="9"/>
  <c r="W1883" i="8" l="1"/>
  <c r="I1391" i="9"/>
  <c r="J1391" i="9"/>
  <c r="I565" i="9"/>
  <c r="J565" i="9"/>
  <c r="I566" i="9"/>
  <c r="J566" i="9"/>
  <c r="I567" i="9"/>
  <c r="J567" i="9"/>
  <c r="I568" i="9"/>
  <c r="J568" i="9"/>
  <c r="I598" i="9"/>
  <c r="J598" i="9"/>
  <c r="I599" i="9"/>
  <c r="J599" i="9"/>
  <c r="I600" i="9"/>
  <c r="J600" i="9"/>
  <c r="W1810" i="8"/>
  <c r="W1811" i="8"/>
  <c r="I1537" i="9"/>
  <c r="J1537" i="9"/>
  <c r="I1538" i="9"/>
  <c r="J1538" i="9"/>
  <c r="I1539" i="9"/>
  <c r="J1539" i="9"/>
  <c r="I1540" i="9"/>
  <c r="J1540" i="9"/>
  <c r="I1541" i="9"/>
  <c r="J1541" i="9"/>
  <c r="I1542" i="9"/>
  <c r="J1542" i="9"/>
  <c r="I1543" i="9"/>
  <c r="J1543" i="9"/>
  <c r="I1544" i="9"/>
  <c r="J1544" i="9"/>
  <c r="I1545" i="9"/>
  <c r="J1545" i="9"/>
  <c r="I1546" i="9"/>
  <c r="J1546" i="9"/>
  <c r="I1547" i="9"/>
  <c r="J1547" i="9"/>
  <c r="I1548" i="9"/>
  <c r="J1548" i="9"/>
  <c r="I1549" i="9"/>
  <c r="J1549" i="9"/>
  <c r="I1550" i="9"/>
  <c r="J1550" i="9"/>
  <c r="W1767" i="8"/>
  <c r="W1768" i="8"/>
  <c r="W1769" i="8"/>
  <c r="W1770" i="8"/>
  <c r="W1771" i="8"/>
  <c r="W1772" i="8"/>
  <c r="W1773" i="8"/>
  <c r="W1774" i="8"/>
  <c r="W1776" i="8"/>
  <c r="W1777" i="8"/>
  <c r="W1778" i="8"/>
  <c r="W1780" i="8"/>
  <c r="W1781" i="8"/>
  <c r="W1782" i="8"/>
  <c r="W1783" i="8"/>
  <c r="W1766" i="8"/>
  <c r="I1536" i="9"/>
  <c r="J1536" i="9"/>
  <c r="W1763" i="8"/>
  <c r="W1764" i="8"/>
  <c r="W1765" i="8"/>
  <c r="I1530" i="9"/>
  <c r="J1530" i="9"/>
  <c r="I1531" i="9"/>
  <c r="J1531" i="9"/>
  <c r="I1532" i="9"/>
  <c r="J1532" i="9"/>
  <c r="I1533" i="9"/>
  <c r="J1533" i="9"/>
  <c r="I1534" i="9"/>
  <c r="J1534" i="9"/>
  <c r="I1535" i="9"/>
  <c r="J1535" i="9"/>
  <c r="W1754" i="8"/>
  <c r="W1755" i="8"/>
  <c r="W1756" i="8"/>
  <c r="W1757" i="8"/>
  <c r="W1758" i="8"/>
  <c r="W1759" i="8"/>
  <c r="W1760" i="8"/>
  <c r="W1761" i="8"/>
  <c r="W1762" i="8"/>
  <c r="I564" i="9"/>
  <c r="J564" i="9"/>
  <c r="W571" i="8"/>
  <c r="W1882" i="8"/>
  <c r="I845" i="9"/>
  <c r="J845" i="9"/>
  <c r="I846" i="9"/>
  <c r="J846" i="9"/>
  <c r="W850" i="8"/>
  <c r="W851" i="8"/>
  <c r="W852" i="8"/>
  <c r="W853" i="8"/>
  <c r="I1515" i="9"/>
  <c r="J1515" i="9"/>
  <c r="I1509" i="9"/>
  <c r="J1509" i="9"/>
  <c r="W1333" i="8"/>
  <c r="W1334" i="8"/>
  <c r="W1335" i="8"/>
  <c r="W1336" i="8"/>
  <c r="I1282" i="9"/>
  <c r="J1282" i="9"/>
  <c r="I1283" i="9"/>
  <c r="J1283" i="9"/>
  <c r="I563" i="9"/>
  <c r="J563" i="9"/>
  <c r="I559" i="9"/>
  <c r="J559" i="9"/>
  <c r="I560" i="9"/>
  <c r="J560" i="9"/>
  <c r="I561" i="9"/>
  <c r="J561" i="9"/>
  <c r="I562" i="9"/>
  <c r="J562" i="9"/>
  <c r="W567" i="8"/>
  <c r="W568" i="8"/>
  <c r="W569" i="8"/>
  <c r="W570" i="8"/>
  <c r="I1174" i="9"/>
  <c r="J1174" i="9"/>
  <c r="I1175" i="9"/>
  <c r="J1175" i="9"/>
  <c r="I841" i="9"/>
  <c r="J841" i="9"/>
  <c r="W844" i="8"/>
  <c r="W845" i="8"/>
  <c r="I1523" i="9"/>
  <c r="J1523" i="9"/>
  <c r="I1524" i="9"/>
  <c r="J1524" i="9"/>
  <c r="I1525" i="9"/>
  <c r="J1525" i="9"/>
  <c r="I1526" i="9"/>
  <c r="J1526" i="9"/>
  <c r="I1527" i="9"/>
  <c r="J1527" i="9"/>
  <c r="I1528" i="9"/>
  <c r="J1528" i="9"/>
  <c r="I1529" i="9"/>
  <c r="J1529" i="9"/>
  <c r="I1562" i="9"/>
  <c r="J1562" i="9"/>
  <c r="I1506" i="9"/>
  <c r="J1506" i="9"/>
  <c r="I1507" i="9"/>
  <c r="J1507" i="9"/>
  <c r="I1508" i="9"/>
  <c r="J1508" i="9"/>
  <c r="I1510" i="9"/>
  <c r="J1510" i="9"/>
  <c r="I1511" i="9"/>
  <c r="J1511" i="9"/>
  <c r="I1512" i="9"/>
  <c r="J1512" i="9"/>
  <c r="I1513" i="9"/>
  <c r="J1513" i="9"/>
  <c r="I1514" i="9"/>
  <c r="J1514" i="9"/>
  <c r="I1516" i="9"/>
  <c r="J1516" i="9"/>
  <c r="I1517" i="9"/>
  <c r="J1517" i="9"/>
  <c r="I1518" i="9"/>
  <c r="J1518" i="9"/>
  <c r="I1519" i="9"/>
  <c r="J1519" i="9"/>
  <c r="I1520" i="9"/>
  <c r="J1520" i="9"/>
  <c r="I1521" i="9"/>
  <c r="J1521" i="9"/>
  <c r="I1522" i="9"/>
  <c r="J1522" i="9"/>
  <c r="W1753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I1702" i="9"/>
  <c r="J1702" i="9"/>
  <c r="I1703" i="9"/>
  <c r="J1703" i="9"/>
  <c r="I1704" i="9"/>
  <c r="J1704" i="9"/>
  <c r="I1705" i="9"/>
  <c r="J1705" i="9"/>
  <c r="I1706" i="9"/>
  <c r="J1706" i="9"/>
  <c r="I1707" i="9"/>
  <c r="J1707" i="9"/>
  <c r="I1708" i="9"/>
  <c r="J1708" i="9"/>
  <c r="I1709" i="9"/>
  <c r="J1709" i="9"/>
  <c r="I1710" i="9"/>
  <c r="J1710" i="9"/>
  <c r="I1711" i="9"/>
  <c r="J1711" i="9"/>
  <c r="I1712" i="9"/>
  <c r="J1712" i="9"/>
  <c r="I1713" i="9"/>
  <c r="J1713" i="9"/>
  <c r="I1714" i="9"/>
  <c r="J1714" i="9"/>
  <c r="I1715" i="9"/>
  <c r="J1715" i="9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1986" i="8"/>
  <c r="W1987" i="8"/>
  <c r="J554" i="9"/>
  <c r="I554" i="9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I1697" i="9"/>
  <c r="J1697" i="9"/>
  <c r="I1698" i="9"/>
  <c r="J1698" i="9"/>
  <c r="I1699" i="9"/>
  <c r="J1699" i="9"/>
  <c r="I1700" i="9"/>
  <c r="J1700" i="9"/>
  <c r="I1701" i="9"/>
  <c r="J1701" i="9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J557" i="9"/>
  <c r="I557" i="9"/>
  <c r="I832" i="9"/>
  <c r="J832" i="9"/>
  <c r="I833" i="9"/>
  <c r="J833" i="9"/>
  <c r="I834" i="9"/>
  <c r="J834" i="9"/>
  <c r="W562" i="8"/>
  <c r="W563" i="8"/>
  <c r="W564" i="8"/>
  <c r="W565" i="8"/>
  <c r="W566" i="8"/>
  <c r="I835" i="9"/>
  <c r="J835" i="9"/>
  <c r="I836" i="9"/>
  <c r="J836" i="9"/>
  <c r="I837" i="9"/>
  <c r="J837" i="9"/>
  <c r="I838" i="9"/>
  <c r="J838" i="9"/>
  <c r="I839" i="9"/>
  <c r="J839" i="9"/>
  <c r="I840" i="9"/>
  <c r="J840" i="9"/>
  <c r="I831" i="9"/>
  <c r="J831" i="9"/>
  <c r="W837" i="8"/>
  <c r="W838" i="8"/>
  <c r="W839" i="8"/>
  <c r="W840" i="8"/>
  <c r="W841" i="8"/>
  <c r="W842" i="8"/>
  <c r="W843" i="8"/>
  <c r="I556" i="9"/>
  <c r="J556" i="9"/>
  <c r="I558" i="9"/>
  <c r="J558" i="9"/>
  <c r="O3" i="14"/>
  <c r="P3" i="14" s="1"/>
  <c r="P8" i="14"/>
  <c r="J32" i="14"/>
  <c r="J22" i="14"/>
  <c r="J42" i="14"/>
  <c r="J52" i="14"/>
  <c r="J62" i="14"/>
  <c r="J12" i="14"/>
  <c r="W651" i="8"/>
  <c r="W652" i="8"/>
  <c r="W653" i="8"/>
  <c r="I552" i="9"/>
  <c r="J552" i="9"/>
  <c r="I548" i="9"/>
  <c r="J548" i="9"/>
  <c r="I549" i="9"/>
  <c r="J549" i="9"/>
  <c r="I551" i="9"/>
  <c r="J551" i="9"/>
  <c r="I553" i="9"/>
  <c r="J553" i="9"/>
  <c r="I555" i="9"/>
  <c r="J555" i="9"/>
  <c r="W554" i="8"/>
  <c r="W555" i="8"/>
  <c r="W556" i="8"/>
  <c r="W558" i="8"/>
  <c r="W559" i="8"/>
  <c r="W560" i="8"/>
  <c r="W561" i="8"/>
  <c r="I546" i="9"/>
  <c r="J546" i="9"/>
  <c r="I547" i="9"/>
  <c r="J547" i="9"/>
  <c r="W553" i="8"/>
  <c r="I802" i="9"/>
  <c r="J802" i="9"/>
  <c r="I804" i="9"/>
  <c r="J804" i="9"/>
  <c r="I805" i="9"/>
  <c r="J805" i="9"/>
  <c r="I806" i="9"/>
  <c r="J806" i="9"/>
  <c r="I807" i="9"/>
  <c r="J807" i="9"/>
  <c r="I808" i="9"/>
  <c r="J808" i="9"/>
  <c r="I1150" i="9"/>
  <c r="J1150" i="9"/>
  <c r="I1151" i="9"/>
  <c r="J1151" i="9"/>
  <c r="I1152" i="9"/>
  <c r="J1152" i="9"/>
  <c r="I1153" i="9"/>
  <c r="J1153" i="9"/>
  <c r="I1159" i="9"/>
  <c r="J1159" i="9"/>
  <c r="I1160" i="9"/>
  <c r="J1160" i="9"/>
  <c r="W1222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29" i="8"/>
  <c r="W830" i="8"/>
  <c r="W831" i="8"/>
  <c r="W832" i="8"/>
  <c r="W833" i="8"/>
  <c r="W834" i="8"/>
  <c r="W835" i="8"/>
  <c r="W836" i="8"/>
  <c r="W847" i="8"/>
  <c r="W848" i="8"/>
  <c r="W849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8" i="8"/>
  <c r="W1329" i="8"/>
  <c r="W1330" i="8"/>
  <c r="W1331" i="8"/>
  <c r="W1332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878" i="8"/>
  <c r="W1879" i="8"/>
  <c r="W1880" i="8"/>
  <c r="W1881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3" i="8"/>
  <c r="J545" i="9"/>
  <c r="I545" i="9"/>
  <c r="I543" i="9"/>
  <c r="J543" i="9"/>
  <c r="I544" i="9"/>
  <c r="J544" i="9"/>
  <c r="I1504" i="9"/>
  <c r="J1504" i="9"/>
  <c r="I1505" i="9"/>
  <c r="J1505" i="9"/>
  <c r="I310" i="9"/>
  <c r="J310" i="9"/>
  <c r="I271" i="9"/>
  <c r="J271" i="9"/>
  <c r="J266" i="9"/>
  <c r="I266" i="9"/>
  <c r="I39" i="9"/>
  <c r="J39" i="9"/>
  <c r="I312" i="9"/>
  <c r="J312" i="9"/>
  <c r="I309" i="9"/>
  <c r="J309" i="9"/>
  <c r="I306" i="9"/>
  <c r="J306" i="9"/>
  <c r="I40" i="9"/>
  <c r="J40" i="9"/>
  <c r="I404" i="9"/>
  <c r="J404" i="9"/>
  <c r="I405" i="9"/>
  <c r="J405" i="9"/>
  <c r="J911" i="9"/>
  <c r="I911" i="9"/>
  <c r="I541" i="9"/>
  <c r="J541" i="9"/>
  <c r="J542" i="9"/>
  <c r="I542" i="9"/>
  <c r="I519" i="9"/>
  <c r="J519" i="9"/>
  <c r="J532" i="9"/>
  <c r="I532" i="9"/>
  <c r="J123" i="9"/>
  <c r="J124" i="9"/>
  <c r="J125" i="9"/>
  <c r="J126" i="9"/>
  <c r="I123" i="9"/>
  <c r="I124" i="9"/>
  <c r="I125" i="9"/>
  <c r="I126" i="9"/>
  <c r="J1413" i="9"/>
  <c r="I1413" i="9"/>
  <c r="I333" i="9"/>
  <c r="J333" i="9"/>
  <c r="I1144" i="9"/>
  <c r="J1144" i="9"/>
  <c r="J1145" i="9"/>
  <c r="I1139" i="9"/>
  <c r="J1139" i="9"/>
  <c r="I1140" i="9"/>
  <c r="J1140" i="9"/>
  <c r="I1141" i="9"/>
  <c r="J1141" i="9"/>
  <c r="I1142" i="9"/>
  <c r="J1142" i="9"/>
  <c r="I1143" i="9"/>
  <c r="J1143" i="9"/>
  <c r="I1138" i="9"/>
  <c r="J1138" i="9"/>
  <c r="I1126" i="9"/>
  <c r="J1126" i="9"/>
  <c r="I1127" i="9"/>
  <c r="J1127" i="9"/>
  <c r="I1128" i="9"/>
  <c r="J1128" i="9"/>
  <c r="I1129" i="9"/>
  <c r="J1129" i="9"/>
  <c r="I1130" i="9"/>
  <c r="J1130" i="9"/>
  <c r="I1131" i="9"/>
  <c r="J1131" i="9"/>
  <c r="I1132" i="9"/>
  <c r="J1132" i="9"/>
  <c r="I1133" i="9"/>
  <c r="J1133" i="9"/>
  <c r="I1134" i="9"/>
  <c r="J1134" i="9"/>
  <c r="I1135" i="9"/>
  <c r="J1135" i="9"/>
  <c r="I1136" i="9"/>
  <c r="J1136" i="9"/>
  <c r="I1137" i="9"/>
  <c r="J1137" i="9"/>
  <c r="I952" i="9"/>
  <c r="J952" i="9"/>
  <c r="I953" i="9"/>
  <c r="J953" i="9"/>
  <c r="I954" i="9"/>
  <c r="J954" i="9"/>
  <c r="I955" i="9"/>
  <c r="J955" i="9"/>
  <c r="I956" i="9"/>
  <c r="J956" i="9"/>
  <c r="I957" i="9"/>
  <c r="J957" i="9"/>
  <c r="I958" i="9"/>
  <c r="J958" i="9"/>
  <c r="I959" i="9"/>
  <c r="J959" i="9"/>
  <c r="I960" i="9"/>
  <c r="J960" i="9"/>
  <c r="I961" i="9"/>
  <c r="J961" i="9"/>
  <c r="I962" i="9"/>
  <c r="J962" i="9"/>
  <c r="I963" i="9"/>
  <c r="J963" i="9"/>
  <c r="I801" i="9"/>
  <c r="J801" i="9"/>
  <c r="I796" i="9"/>
  <c r="J796" i="9"/>
  <c r="I797" i="9"/>
  <c r="J797" i="9"/>
  <c r="I798" i="9"/>
  <c r="J798" i="9"/>
  <c r="I799" i="9"/>
  <c r="J799" i="9"/>
  <c r="I800" i="9"/>
  <c r="J800" i="9"/>
  <c r="I1563" i="9"/>
  <c r="J1563" i="9"/>
  <c r="I1564" i="9"/>
  <c r="J1564" i="9"/>
  <c r="I1565" i="9"/>
  <c r="J1565" i="9"/>
  <c r="I1566" i="9"/>
  <c r="J1566" i="9"/>
  <c r="I1567" i="9"/>
  <c r="J1567" i="9"/>
  <c r="I1012" i="9"/>
  <c r="J1012" i="9"/>
  <c r="I1013" i="9"/>
  <c r="J1013" i="9"/>
  <c r="I1014" i="9"/>
  <c r="J1014" i="9"/>
  <c r="I1015" i="9"/>
  <c r="J1015" i="9"/>
  <c r="I1016" i="9"/>
  <c r="J1016" i="9"/>
  <c r="I1017" i="9"/>
  <c r="J1017" i="9"/>
  <c r="I1018" i="9"/>
  <c r="J1018" i="9"/>
  <c r="I1019" i="9"/>
  <c r="J1019" i="9"/>
  <c r="I1020" i="9"/>
  <c r="J1020" i="9"/>
  <c r="I1021" i="9"/>
  <c r="J1021" i="9"/>
  <c r="I1022" i="9"/>
  <c r="J1022" i="9"/>
  <c r="I1023" i="9"/>
  <c r="J1023" i="9"/>
  <c r="I1024" i="9"/>
  <c r="J1024" i="9"/>
  <c r="I1025" i="9"/>
  <c r="J1025" i="9"/>
  <c r="I1026" i="9"/>
  <c r="J1026" i="9"/>
  <c r="I1027" i="9"/>
  <c r="J1027" i="9"/>
  <c r="I1028" i="9"/>
  <c r="J1028" i="9"/>
  <c r="I1029" i="9"/>
  <c r="J1029" i="9"/>
  <c r="I1030" i="9"/>
  <c r="J1030" i="9"/>
  <c r="I1031" i="9"/>
  <c r="J1031" i="9"/>
  <c r="I1032" i="9"/>
  <c r="J1032" i="9"/>
  <c r="I1033" i="9"/>
  <c r="J1033" i="9"/>
  <c r="I1034" i="9"/>
  <c r="J1034" i="9"/>
  <c r="I1035" i="9"/>
  <c r="J1035" i="9"/>
  <c r="I1036" i="9"/>
  <c r="J1036" i="9"/>
  <c r="I1037" i="9"/>
  <c r="J1037" i="9"/>
  <c r="I1038" i="9"/>
  <c r="J1038" i="9"/>
  <c r="I1039" i="9"/>
  <c r="J1039" i="9"/>
  <c r="I1040" i="9"/>
  <c r="J1040" i="9"/>
  <c r="I1041" i="9"/>
  <c r="J1041" i="9"/>
  <c r="I1042" i="9"/>
  <c r="J1042" i="9"/>
  <c r="I1043" i="9"/>
  <c r="J1043" i="9"/>
  <c r="I1044" i="9"/>
  <c r="J1044" i="9"/>
  <c r="I1045" i="9"/>
  <c r="J1045" i="9"/>
  <c r="I1046" i="9"/>
  <c r="J1046" i="9"/>
  <c r="I1047" i="9"/>
  <c r="J1047" i="9"/>
  <c r="I1048" i="9"/>
  <c r="J1048" i="9"/>
  <c r="I1049" i="9"/>
  <c r="J1049" i="9"/>
  <c r="I1050" i="9"/>
  <c r="J1050" i="9"/>
  <c r="I1051" i="9"/>
  <c r="J1051" i="9"/>
  <c r="I1052" i="9"/>
  <c r="J1052" i="9"/>
  <c r="I1053" i="9"/>
  <c r="J1053" i="9"/>
  <c r="I1054" i="9"/>
  <c r="J1054" i="9"/>
  <c r="I1055" i="9"/>
  <c r="J1055" i="9"/>
  <c r="I1056" i="9"/>
  <c r="J1056" i="9"/>
  <c r="I1057" i="9"/>
  <c r="J1057" i="9"/>
  <c r="I1058" i="9"/>
  <c r="J1058" i="9"/>
  <c r="I1059" i="9"/>
  <c r="J1059" i="9"/>
  <c r="I1060" i="9"/>
  <c r="J1060" i="9"/>
  <c r="I1061" i="9"/>
  <c r="J1061" i="9"/>
  <c r="I1062" i="9"/>
  <c r="J1062" i="9"/>
  <c r="I1063" i="9"/>
  <c r="J1063" i="9"/>
  <c r="I1064" i="9"/>
  <c r="J1064" i="9"/>
  <c r="I1065" i="9"/>
  <c r="J1065" i="9"/>
  <c r="I1066" i="9"/>
  <c r="J1066" i="9"/>
  <c r="I1067" i="9"/>
  <c r="J1067" i="9"/>
  <c r="I1068" i="9"/>
  <c r="J1068" i="9"/>
  <c r="I1069" i="9"/>
  <c r="J1069" i="9"/>
  <c r="I1070" i="9"/>
  <c r="J1070" i="9"/>
  <c r="I1071" i="9"/>
  <c r="J1071" i="9"/>
  <c r="I1072" i="9"/>
  <c r="J1072" i="9"/>
  <c r="I1073" i="9"/>
  <c r="J1073" i="9"/>
  <c r="I1074" i="9"/>
  <c r="J1074" i="9"/>
  <c r="I1075" i="9"/>
  <c r="J1075" i="9"/>
  <c r="I1076" i="9"/>
  <c r="J1076" i="9"/>
  <c r="I1077" i="9"/>
  <c r="J1077" i="9"/>
  <c r="I1078" i="9"/>
  <c r="J1078" i="9"/>
  <c r="I1079" i="9"/>
  <c r="J1079" i="9"/>
  <c r="I1080" i="9"/>
  <c r="J1080" i="9"/>
  <c r="I1081" i="9"/>
  <c r="J1081" i="9"/>
  <c r="I1082" i="9"/>
  <c r="J1082" i="9"/>
  <c r="I1083" i="9"/>
  <c r="J1083" i="9"/>
  <c r="I1084" i="9"/>
  <c r="J1084" i="9"/>
  <c r="I1085" i="9"/>
  <c r="J1085" i="9"/>
  <c r="I1086" i="9"/>
  <c r="J1086" i="9"/>
  <c r="I1087" i="9"/>
  <c r="J1087" i="9"/>
  <c r="I1088" i="9"/>
  <c r="J1088" i="9"/>
  <c r="I1089" i="9"/>
  <c r="J1089" i="9"/>
  <c r="I1090" i="9"/>
  <c r="J1090" i="9"/>
  <c r="I1091" i="9"/>
  <c r="J1091" i="9"/>
  <c r="I1092" i="9"/>
  <c r="J1092" i="9"/>
  <c r="I1093" i="9"/>
  <c r="J1093" i="9"/>
  <c r="I1094" i="9"/>
  <c r="J1094" i="9"/>
  <c r="I1095" i="9"/>
  <c r="J1095" i="9"/>
  <c r="I1096" i="9"/>
  <c r="J1096" i="9"/>
  <c r="I1097" i="9"/>
  <c r="J1097" i="9"/>
  <c r="I1098" i="9"/>
  <c r="J1098" i="9"/>
  <c r="I1099" i="9"/>
  <c r="J1099" i="9"/>
  <c r="I1100" i="9"/>
  <c r="J1100" i="9"/>
  <c r="I1101" i="9"/>
  <c r="J1101" i="9"/>
  <c r="I1102" i="9"/>
  <c r="J1102" i="9"/>
  <c r="I1103" i="9"/>
  <c r="J1103" i="9"/>
  <c r="I1104" i="9"/>
  <c r="J1104" i="9"/>
  <c r="I1105" i="9"/>
  <c r="J1105" i="9"/>
  <c r="I1106" i="9"/>
  <c r="J1106" i="9"/>
  <c r="I1107" i="9"/>
  <c r="J1107" i="9"/>
  <c r="I1108" i="9"/>
  <c r="J1108" i="9"/>
  <c r="I1109" i="9"/>
  <c r="J1109" i="9"/>
  <c r="I1110" i="9"/>
  <c r="J1110" i="9"/>
  <c r="I1111" i="9"/>
  <c r="J1111" i="9"/>
  <c r="I1112" i="9"/>
  <c r="J1112" i="9"/>
  <c r="I1113" i="9"/>
  <c r="J1113" i="9"/>
  <c r="I1114" i="9"/>
  <c r="J1114" i="9"/>
  <c r="I1115" i="9"/>
  <c r="J1115" i="9"/>
  <c r="I1116" i="9"/>
  <c r="J1116" i="9"/>
  <c r="I1117" i="9"/>
  <c r="J1117" i="9"/>
  <c r="I1118" i="9"/>
  <c r="J1118" i="9"/>
  <c r="I1119" i="9"/>
  <c r="J1119" i="9"/>
  <c r="I1120" i="9"/>
  <c r="J1120" i="9"/>
  <c r="I1121" i="9"/>
  <c r="J1121" i="9"/>
  <c r="I1122" i="9"/>
  <c r="J1122" i="9"/>
  <c r="I1123" i="9"/>
  <c r="J1123" i="9"/>
  <c r="I1124" i="9"/>
  <c r="J1124" i="9"/>
  <c r="I1125" i="9"/>
  <c r="J1125" i="9"/>
  <c r="I1684" i="9"/>
  <c r="J1684" i="9"/>
  <c r="I1685" i="9"/>
  <c r="J1685" i="9"/>
  <c r="I1686" i="9"/>
  <c r="J1686" i="9"/>
  <c r="I1687" i="9"/>
  <c r="J1687" i="9"/>
  <c r="I1688" i="9"/>
  <c r="J1688" i="9"/>
  <c r="I1689" i="9"/>
  <c r="J1689" i="9"/>
  <c r="I1690" i="9"/>
  <c r="J1690" i="9"/>
  <c r="I1691" i="9"/>
  <c r="J1691" i="9"/>
  <c r="I1692" i="9"/>
  <c r="J1692" i="9"/>
  <c r="I1693" i="9"/>
  <c r="J1693" i="9"/>
  <c r="I1694" i="9"/>
  <c r="J1694" i="9"/>
  <c r="I1695" i="9"/>
  <c r="J1695" i="9"/>
  <c r="I1696" i="9"/>
  <c r="J1696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41" i="9"/>
  <c r="J41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I122" i="9"/>
  <c r="J122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38" i="9"/>
  <c r="J138" i="9"/>
  <c r="I139" i="9"/>
  <c r="J139" i="9"/>
  <c r="I140" i="9"/>
  <c r="J140" i="9"/>
  <c r="I141" i="9"/>
  <c r="J141" i="9"/>
  <c r="I142" i="9"/>
  <c r="J142" i="9"/>
  <c r="I143" i="9"/>
  <c r="J143" i="9"/>
  <c r="I144" i="9"/>
  <c r="J144" i="9"/>
  <c r="I145" i="9"/>
  <c r="J145" i="9"/>
  <c r="I146" i="9"/>
  <c r="J146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163" i="9"/>
  <c r="J163" i="9"/>
  <c r="I164" i="9"/>
  <c r="J164" i="9"/>
  <c r="I165" i="9"/>
  <c r="J165" i="9"/>
  <c r="I166" i="9"/>
  <c r="J166" i="9"/>
  <c r="I167" i="9"/>
  <c r="J167" i="9"/>
  <c r="I168" i="9"/>
  <c r="J168" i="9"/>
  <c r="I169" i="9"/>
  <c r="J169" i="9"/>
  <c r="I170" i="9"/>
  <c r="J170" i="9"/>
  <c r="I171" i="9"/>
  <c r="J17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188" i="9"/>
  <c r="J188" i="9"/>
  <c r="I189" i="9"/>
  <c r="J189" i="9"/>
  <c r="I190" i="9"/>
  <c r="J190" i="9"/>
  <c r="I191" i="9"/>
  <c r="J191" i="9"/>
  <c r="I192" i="9"/>
  <c r="J192" i="9"/>
  <c r="I193" i="9"/>
  <c r="J193" i="9"/>
  <c r="I194" i="9"/>
  <c r="J194" i="9"/>
  <c r="I195" i="9"/>
  <c r="J195" i="9"/>
  <c r="I196" i="9"/>
  <c r="J196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213" i="9"/>
  <c r="J213" i="9"/>
  <c r="I214" i="9"/>
  <c r="J214" i="9"/>
  <c r="I215" i="9"/>
  <c r="J215" i="9"/>
  <c r="I216" i="9"/>
  <c r="J216" i="9"/>
  <c r="I217" i="9"/>
  <c r="J217" i="9"/>
  <c r="I218" i="9"/>
  <c r="J218" i="9"/>
  <c r="I219" i="9"/>
  <c r="J219" i="9"/>
  <c r="I220" i="9"/>
  <c r="J220" i="9"/>
  <c r="I221" i="9"/>
  <c r="J22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238" i="9"/>
  <c r="J238" i="9"/>
  <c r="I239" i="9"/>
  <c r="J239" i="9"/>
  <c r="I240" i="9"/>
  <c r="J240" i="9"/>
  <c r="I241" i="9"/>
  <c r="J241" i="9"/>
  <c r="I242" i="9"/>
  <c r="J242" i="9"/>
  <c r="I243" i="9"/>
  <c r="J243" i="9"/>
  <c r="I244" i="9"/>
  <c r="J244" i="9"/>
  <c r="I245" i="9"/>
  <c r="J245" i="9"/>
  <c r="I246" i="9"/>
  <c r="J246" i="9"/>
  <c r="I247" i="9"/>
  <c r="J247" i="9"/>
  <c r="I248" i="9"/>
  <c r="J248" i="9"/>
  <c r="I249" i="9"/>
  <c r="J249" i="9"/>
  <c r="I250" i="9"/>
  <c r="J250" i="9"/>
  <c r="I251" i="9"/>
  <c r="J251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263" i="9"/>
  <c r="J263" i="9"/>
  <c r="I264" i="9"/>
  <c r="J264" i="9"/>
  <c r="I265" i="9"/>
  <c r="J265" i="9"/>
  <c r="I267" i="9"/>
  <c r="J267" i="9"/>
  <c r="I268" i="9"/>
  <c r="J268" i="9"/>
  <c r="I269" i="9"/>
  <c r="J269" i="9"/>
  <c r="I270" i="9"/>
  <c r="J270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288" i="9"/>
  <c r="J288" i="9"/>
  <c r="I289" i="9"/>
  <c r="J289" i="9"/>
  <c r="I290" i="9"/>
  <c r="J290" i="9"/>
  <c r="I291" i="9"/>
  <c r="J291" i="9"/>
  <c r="I292" i="9"/>
  <c r="J292" i="9"/>
  <c r="I293" i="9"/>
  <c r="J293" i="9"/>
  <c r="I294" i="9"/>
  <c r="J294" i="9"/>
  <c r="I295" i="9"/>
  <c r="J295" i="9"/>
  <c r="I296" i="9"/>
  <c r="J296" i="9"/>
  <c r="I297" i="9"/>
  <c r="J297" i="9"/>
  <c r="I298" i="9"/>
  <c r="J298" i="9"/>
  <c r="I299" i="9"/>
  <c r="J299" i="9"/>
  <c r="I300" i="9"/>
  <c r="J300" i="9"/>
  <c r="I301" i="9"/>
  <c r="J301" i="9"/>
  <c r="I302" i="9"/>
  <c r="J302" i="9"/>
  <c r="I303" i="9"/>
  <c r="J303" i="9"/>
  <c r="I304" i="9"/>
  <c r="J304" i="9"/>
  <c r="I305" i="9"/>
  <c r="J305" i="9"/>
  <c r="I307" i="9"/>
  <c r="J307" i="9"/>
  <c r="I308" i="9"/>
  <c r="J308" i="9"/>
  <c r="I311" i="9"/>
  <c r="J311" i="9"/>
  <c r="I313" i="9"/>
  <c r="J313" i="9"/>
  <c r="I314" i="9"/>
  <c r="J314" i="9"/>
  <c r="I315" i="9"/>
  <c r="J315" i="9"/>
  <c r="I316" i="9"/>
  <c r="J316" i="9"/>
  <c r="I317" i="9"/>
  <c r="J317" i="9"/>
  <c r="I318" i="9"/>
  <c r="J318" i="9"/>
  <c r="I319" i="9"/>
  <c r="J319" i="9"/>
  <c r="I320" i="9"/>
  <c r="J320" i="9"/>
  <c r="I321" i="9"/>
  <c r="J321" i="9"/>
  <c r="I322" i="9"/>
  <c r="J322" i="9"/>
  <c r="I323" i="9"/>
  <c r="J323" i="9"/>
  <c r="I324" i="9"/>
  <c r="J324" i="9"/>
  <c r="I325" i="9"/>
  <c r="J325" i="9"/>
  <c r="I326" i="9"/>
  <c r="J326" i="9"/>
  <c r="I327" i="9"/>
  <c r="J327" i="9"/>
  <c r="I328" i="9"/>
  <c r="J328" i="9"/>
  <c r="I329" i="9"/>
  <c r="J329" i="9"/>
  <c r="I330" i="9"/>
  <c r="J330" i="9"/>
  <c r="I331" i="9"/>
  <c r="J331" i="9"/>
  <c r="I332" i="9"/>
  <c r="J332" i="9"/>
  <c r="I334" i="9"/>
  <c r="J334" i="9"/>
  <c r="I335" i="9"/>
  <c r="J335" i="9"/>
  <c r="I336" i="9"/>
  <c r="J336" i="9"/>
  <c r="I337" i="9"/>
  <c r="J337" i="9"/>
  <c r="I338" i="9"/>
  <c r="J338" i="9"/>
  <c r="I339" i="9"/>
  <c r="J339" i="9"/>
  <c r="I340" i="9"/>
  <c r="J340" i="9"/>
  <c r="I341" i="9"/>
  <c r="J341" i="9"/>
  <c r="I342" i="9"/>
  <c r="J342" i="9"/>
  <c r="I343" i="9"/>
  <c r="J343" i="9"/>
  <c r="I344" i="9"/>
  <c r="J344" i="9"/>
  <c r="I345" i="9"/>
  <c r="J345" i="9"/>
  <c r="I346" i="9"/>
  <c r="J346" i="9"/>
  <c r="I347" i="9"/>
  <c r="J347" i="9"/>
  <c r="I348" i="9"/>
  <c r="J348" i="9"/>
  <c r="I349" i="9"/>
  <c r="J349" i="9"/>
  <c r="I350" i="9"/>
  <c r="J350" i="9"/>
  <c r="I351" i="9"/>
  <c r="J351" i="9"/>
  <c r="I352" i="9"/>
  <c r="J352" i="9"/>
  <c r="I353" i="9"/>
  <c r="J353" i="9"/>
  <c r="I354" i="9"/>
  <c r="J354" i="9"/>
  <c r="I355" i="9"/>
  <c r="J355" i="9"/>
  <c r="I356" i="9"/>
  <c r="J356" i="9"/>
  <c r="I357" i="9"/>
  <c r="J357" i="9"/>
  <c r="I358" i="9"/>
  <c r="J358" i="9"/>
  <c r="I359" i="9"/>
  <c r="J359" i="9"/>
  <c r="I360" i="9"/>
  <c r="J360" i="9"/>
  <c r="I361" i="9"/>
  <c r="J361" i="9"/>
  <c r="I362" i="9"/>
  <c r="J362" i="9"/>
  <c r="I363" i="9"/>
  <c r="J363" i="9"/>
  <c r="I364" i="9"/>
  <c r="J364" i="9"/>
  <c r="I365" i="9"/>
  <c r="J365" i="9"/>
  <c r="I366" i="9"/>
  <c r="J366" i="9"/>
  <c r="I367" i="9"/>
  <c r="J367" i="9"/>
  <c r="I368" i="9"/>
  <c r="J368" i="9"/>
  <c r="I369" i="9"/>
  <c r="J369" i="9"/>
  <c r="I370" i="9"/>
  <c r="J370" i="9"/>
  <c r="I371" i="9"/>
  <c r="J371" i="9"/>
  <c r="I400" i="9"/>
  <c r="J400" i="9"/>
  <c r="I401" i="9"/>
  <c r="J401" i="9"/>
  <c r="I402" i="9"/>
  <c r="J402" i="9"/>
  <c r="I403" i="9"/>
  <c r="J403" i="9"/>
  <c r="I406" i="9"/>
  <c r="J406" i="9"/>
  <c r="I407" i="9"/>
  <c r="J407" i="9"/>
  <c r="I408" i="9"/>
  <c r="J408" i="9"/>
  <c r="I409" i="9"/>
  <c r="J409" i="9"/>
  <c r="I410" i="9"/>
  <c r="J410" i="9"/>
  <c r="I411" i="9"/>
  <c r="J411" i="9"/>
  <c r="I412" i="9"/>
  <c r="J412" i="9"/>
  <c r="I413" i="9"/>
  <c r="J413" i="9"/>
  <c r="I414" i="9"/>
  <c r="J414" i="9"/>
  <c r="I415" i="9"/>
  <c r="J415" i="9"/>
  <c r="I416" i="9"/>
  <c r="J416" i="9"/>
  <c r="I417" i="9"/>
  <c r="J417" i="9"/>
  <c r="I418" i="9"/>
  <c r="J418" i="9"/>
  <c r="I419" i="9"/>
  <c r="J419" i="9"/>
  <c r="I420" i="9"/>
  <c r="J420" i="9"/>
  <c r="I421" i="9"/>
  <c r="J421" i="9"/>
  <c r="I422" i="9"/>
  <c r="J422" i="9"/>
  <c r="I423" i="9"/>
  <c r="J423" i="9"/>
  <c r="I424" i="9"/>
  <c r="J424" i="9"/>
  <c r="I425" i="9"/>
  <c r="J425" i="9"/>
  <c r="I426" i="9"/>
  <c r="J426" i="9"/>
  <c r="I427" i="9"/>
  <c r="J427" i="9"/>
  <c r="I428" i="9"/>
  <c r="J428" i="9"/>
  <c r="I429" i="9"/>
  <c r="J429" i="9"/>
  <c r="I430" i="9"/>
  <c r="J430" i="9"/>
  <c r="I431" i="9"/>
  <c r="J431" i="9"/>
  <c r="I432" i="9"/>
  <c r="J432" i="9"/>
  <c r="I433" i="9"/>
  <c r="J433" i="9"/>
  <c r="I434" i="9"/>
  <c r="J434" i="9"/>
  <c r="I435" i="9"/>
  <c r="J435" i="9"/>
  <c r="I436" i="9"/>
  <c r="J436" i="9"/>
  <c r="I437" i="9"/>
  <c r="J437" i="9"/>
  <c r="I438" i="9"/>
  <c r="J438" i="9"/>
  <c r="I439" i="9"/>
  <c r="J439" i="9"/>
  <c r="I440" i="9"/>
  <c r="J440" i="9"/>
  <c r="I441" i="9"/>
  <c r="J441" i="9"/>
  <c r="I442" i="9"/>
  <c r="J442" i="9"/>
  <c r="I443" i="9"/>
  <c r="J443" i="9"/>
  <c r="I444" i="9"/>
  <c r="J444" i="9"/>
  <c r="I445" i="9"/>
  <c r="J445" i="9"/>
  <c r="I446" i="9"/>
  <c r="J446" i="9"/>
  <c r="I447" i="9"/>
  <c r="J447" i="9"/>
  <c r="I448" i="9"/>
  <c r="J448" i="9"/>
  <c r="I449" i="9"/>
  <c r="J449" i="9"/>
  <c r="I450" i="9"/>
  <c r="J450" i="9"/>
  <c r="I451" i="9"/>
  <c r="J451" i="9"/>
  <c r="I452" i="9"/>
  <c r="J452" i="9"/>
  <c r="I453" i="9"/>
  <c r="J453" i="9"/>
  <c r="I454" i="9"/>
  <c r="J454" i="9"/>
  <c r="I455" i="9"/>
  <c r="J455" i="9"/>
  <c r="I456" i="9"/>
  <c r="J456" i="9"/>
  <c r="I457" i="9"/>
  <c r="J457" i="9"/>
  <c r="I458" i="9"/>
  <c r="J458" i="9"/>
  <c r="I459" i="9"/>
  <c r="J459" i="9"/>
  <c r="I460" i="9"/>
  <c r="J460" i="9"/>
  <c r="I461" i="9"/>
  <c r="J461" i="9"/>
  <c r="I462" i="9"/>
  <c r="J462" i="9"/>
  <c r="I463" i="9"/>
  <c r="J463" i="9"/>
  <c r="I464" i="9"/>
  <c r="J464" i="9"/>
  <c r="I465" i="9"/>
  <c r="J465" i="9"/>
  <c r="I466" i="9"/>
  <c r="J466" i="9"/>
  <c r="I467" i="9"/>
  <c r="J467" i="9"/>
  <c r="I468" i="9"/>
  <c r="J468" i="9"/>
  <c r="I469" i="9"/>
  <c r="J469" i="9"/>
  <c r="I470" i="9"/>
  <c r="J470" i="9"/>
  <c r="I471" i="9"/>
  <c r="J471" i="9"/>
  <c r="I472" i="9"/>
  <c r="J472" i="9"/>
  <c r="I473" i="9"/>
  <c r="J473" i="9"/>
  <c r="I474" i="9"/>
  <c r="J474" i="9"/>
  <c r="I475" i="9"/>
  <c r="J475" i="9"/>
  <c r="I476" i="9"/>
  <c r="J476" i="9"/>
  <c r="I477" i="9"/>
  <c r="J477" i="9"/>
  <c r="I478" i="9"/>
  <c r="J478" i="9"/>
  <c r="I479" i="9"/>
  <c r="J479" i="9"/>
  <c r="I480" i="9"/>
  <c r="J480" i="9"/>
  <c r="I481" i="9"/>
  <c r="J481" i="9"/>
  <c r="I482" i="9"/>
  <c r="J482" i="9"/>
  <c r="I483" i="9"/>
  <c r="J483" i="9"/>
  <c r="I484" i="9"/>
  <c r="J484" i="9"/>
  <c r="I485" i="9"/>
  <c r="J485" i="9"/>
  <c r="I486" i="9"/>
  <c r="J486" i="9"/>
  <c r="I487" i="9"/>
  <c r="J487" i="9"/>
  <c r="I488" i="9"/>
  <c r="J488" i="9"/>
  <c r="I489" i="9"/>
  <c r="J489" i="9"/>
  <c r="I490" i="9"/>
  <c r="J490" i="9"/>
  <c r="I491" i="9"/>
  <c r="J491" i="9"/>
  <c r="I492" i="9"/>
  <c r="J492" i="9"/>
  <c r="I493" i="9"/>
  <c r="J493" i="9"/>
  <c r="I494" i="9"/>
  <c r="J494" i="9"/>
  <c r="I495" i="9"/>
  <c r="J495" i="9"/>
  <c r="I496" i="9"/>
  <c r="J496" i="9"/>
  <c r="I497" i="9"/>
  <c r="J497" i="9"/>
  <c r="I498" i="9"/>
  <c r="J498" i="9"/>
  <c r="I499" i="9"/>
  <c r="J499" i="9"/>
  <c r="I500" i="9"/>
  <c r="J500" i="9"/>
  <c r="I501" i="9"/>
  <c r="J501" i="9"/>
  <c r="I502" i="9"/>
  <c r="J502" i="9"/>
  <c r="I503" i="9"/>
  <c r="J503" i="9"/>
  <c r="I504" i="9"/>
  <c r="J504" i="9"/>
  <c r="I505" i="9"/>
  <c r="J505" i="9"/>
  <c r="I506" i="9"/>
  <c r="J506" i="9"/>
  <c r="I507" i="9"/>
  <c r="J507" i="9"/>
  <c r="I508" i="9"/>
  <c r="J508" i="9"/>
  <c r="I509" i="9"/>
  <c r="J509" i="9"/>
  <c r="I510" i="9"/>
  <c r="J510" i="9"/>
  <c r="I511" i="9"/>
  <c r="J511" i="9"/>
  <c r="I512" i="9"/>
  <c r="J512" i="9"/>
  <c r="I513" i="9"/>
  <c r="J513" i="9"/>
  <c r="I514" i="9"/>
  <c r="J514" i="9"/>
  <c r="I515" i="9"/>
  <c r="J515" i="9"/>
  <c r="I516" i="9"/>
  <c r="J516" i="9"/>
  <c r="I517" i="9"/>
  <c r="J517" i="9"/>
  <c r="I518" i="9"/>
  <c r="J518" i="9"/>
  <c r="I520" i="9"/>
  <c r="J520" i="9"/>
  <c r="I521" i="9"/>
  <c r="J521" i="9"/>
  <c r="I522" i="9"/>
  <c r="J522" i="9"/>
  <c r="I523" i="9"/>
  <c r="J523" i="9"/>
  <c r="I524" i="9"/>
  <c r="J524" i="9"/>
  <c r="I525" i="9"/>
  <c r="J525" i="9"/>
  <c r="I527" i="9"/>
  <c r="J527" i="9"/>
  <c r="I528" i="9"/>
  <c r="J528" i="9"/>
  <c r="I529" i="9"/>
  <c r="J529" i="9"/>
  <c r="I530" i="9"/>
  <c r="J530" i="9"/>
  <c r="I531" i="9"/>
  <c r="J531" i="9"/>
  <c r="I533" i="9"/>
  <c r="J533" i="9"/>
  <c r="I534" i="9"/>
  <c r="J534" i="9"/>
  <c r="I535" i="9"/>
  <c r="J535" i="9"/>
  <c r="I536" i="9"/>
  <c r="J536" i="9"/>
  <c r="I537" i="9"/>
  <c r="J537" i="9"/>
  <c r="I538" i="9"/>
  <c r="J538" i="9"/>
  <c r="I539" i="9"/>
  <c r="J539" i="9"/>
  <c r="I540" i="9"/>
  <c r="J540" i="9"/>
  <c r="I601" i="9"/>
  <c r="J601" i="9"/>
  <c r="I602" i="9"/>
  <c r="J602" i="9"/>
  <c r="I603" i="9"/>
  <c r="J603" i="9"/>
  <c r="I604" i="9"/>
  <c r="J604" i="9"/>
  <c r="I605" i="9"/>
  <c r="J605" i="9"/>
  <c r="I606" i="9"/>
  <c r="J606" i="9"/>
  <c r="I607" i="9"/>
  <c r="J607" i="9"/>
  <c r="I608" i="9"/>
  <c r="J608" i="9"/>
  <c r="I609" i="9"/>
  <c r="J609" i="9"/>
  <c r="I610" i="9"/>
  <c r="J610" i="9"/>
  <c r="I611" i="9"/>
  <c r="J611" i="9"/>
  <c r="I612" i="9"/>
  <c r="J612" i="9"/>
  <c r="I613" i="9"/>
  <c r="J613" i="9"/>
  <c r="I614" i="9"/>
  <c r="J614" i="9"/>
  <c r="I615" i="9"/>
  <c r="J615" i="9"/>
  <c r="I616" i="9"/>
  <c r="J616" i="9"/>
  <c r="I617" i="9"/>
  <c r="J617" i="9"/>
  <c r="I618" i="9"/>
  <c r="J618" i="9"/>
  <c r="I619" i="9"/>
  <c r="J619" i="9"/>
  <c r="I620" i="9"/>
  <c r="J620" i="9"/>
  <c r="I621" i="9"/>
  <c r="J621" i="9"/>
  <c r="I622" i="9"/>
  <c r="J622" i="9"/>
  <c r="I623" i="9"/>
  <c r="J623" i="9"/>
  <c r="I843" i="9"/>
  <c r="J843" i="9"/>
  <c r="I844" i="9"/>
  <c r="J844" i="9"/>
  <c r="I624" i="9"/>
  <c r="J624" i="9"/>
  <c r="I625" i="9"/>
  <c r="J625" i="9"/>
  <c r="I626" i="9"/>
  <c r="J626" i="9"/>
  <c r="I627" i="9"/>
  <c r="J627" i="9"/>
  <c r="I628" i="9"/>
  <c r="J628" i="9"/>
  <c r="I629" i="9"/>
  <c r="J629" i="9"/>
  <c r="I630" i="9"/>
  <c r="J630" i="9"/>
  <c r="I631" i="9"/>
  <c r="J631" i="9"/>
  <c r="I632" i="9"/>
  <c r="J632" i="9"/>
  <c r="I633" i="9"/>
  <c r="J633" i="9"/>
  <c r="I634" i="9"/>
  <c r="J634" i="9"/>
  <c r="I635" i="9"/>
  <c r="J635" i="9"/>
  <c r="I636" i="9"/>
  <c r="J636" i="9"/>
  <c r="I637" i="9"/>
  <c r="J637" i="9"/>
  <c r="I638" i="9"/>
  <c r="J638" i="9"/>
  <c r="I639" i="9"/>
  <c r="J639" i="9"/>
  <c r="I640" i="9"/>
  <c r="J640" i="9"/>
  <c r="I641" i="9"/>
  <c r="J641" i="9"/>
  <c r="I642" i="9"/>
  <c r="J642" i="9"/>
  <c r="I643" i="9"/>
  <c r="J643" i="9"/>
  <c r="I644" i="9"/>
  <c r="J644" i="9"/>
  <c r="I645" i="9"/>
  <c r="J645" i="9"/>
  <c r="I646" i="9"/>
  <c r="J646" i="9"/>
  <c r="I647" i="9"/>
  <c r="J647" i="9"/>
  <c r="I648" i="9"/>
  <c r="J648" i="9"/>
  <c r="I649" i="9"/>
  <c r="J649" i="9"/>
  <c r="I650" i="9"/>
  <c r="J650" i="9"/>
  <c r="I651" i="9"/>
  <c r="J651" i="9"/>
  <c r="I652" i="9"/>
  <c r="J652" i="9"/>
  <c r="I653" i="9"/>
  <c r="J653" i="9"/>
  <c r="I654" i="9"/>
  <c r="J654" i="9"/>
  <c r="I655" i="9"/>
  <c r="J655" i="9"/>
  <c r="I656" i="9"/>
  <c r="J656" i="9"/>
  <c r="I657" i="9"/>
  <c r="J657" i="9"/>
  <c r="I658" i="9"/>
  <c r="J658" i="9"/>
  <c r="I659" i="9"/>
  <c r="J659" i="9"/>
  <c r="I660" i="9"/>
  <c r="J660" i="9"/>
  <c r="I661" i="9"/>
  <c r="J661" i="9"/>
  <c r="I662" i="9"/>
  <c r="J662" i="9"/>
  <c r="I663" i="9"/>
  <c r="J663" i="9"/>
  <c r="I664" i="9"/>
  <c r="J664" i="9"/>
  <c r="I665" i="9"/>
  <c r="J665" i="9"/>
  <c r="I666" i="9"/>
  <c r="J666" i="9"/>
  <c r="I667" i="9"/>
  <c r="J667" i="9"/>
  <c r="I668" i="9"/>
  <c r="J668" i="9"/>
  <c r="I669" i="9"/>
  <c r="J669" i="9"/>
  <c r="I670" i="9"/>
  <c r="J670" i="9"/>
  <c r="I671" i="9"/>
  <c r="J671" i="9"/>
  <c r="I672" i="9"/>
  <c r="J672" i="9"/>
  <c r="I673" i="9"/>
  <c r="J673" i="9"/>
  <c r="I674" i="9"/>
  <c r="J674" i="9"/>
  <c r="I675" i="9"/>
  <c r="J675" i="9"/>
  <c r="I676" i="9"/>
  <c r="J676" i="9"/>
  <c r="I677" i="9"/>
  <c r="J677" i="9"/>
  <c r="I678" i="9"/>
  <c r="J678" i="9"/>
  <c r="I679" i="9"/>
  <c r="J679" i="9"/>
  <c r="I680" i="9"/>
  <c r="J680" i="9"/>
  <c r="I681" i="9"/>
  <c r="J681" i="9"/>
  <c r="I682" i="9"/>
  <c r="J682" i="9"/>
  <c r="I683" i="9"/>
  <c r="J683" i="9"/>
  <c r="I684" i="9"/>
  <c r="J684" i="9"/>
  <c r="I685" i="9"/>
  <c r="J685" i="9"/>
  <c r="I686" i="9"/>
  <c r="J686" i="9"/>
  <c r="I687" i="9"/>
  <c r="J687" i="9"/>
  <c r="I688" i="9"/>
  <c r="J688" i="9"/>
  <c r="I689" i="9"/>
  <c r="J689" i="9"/>
  <c r="I690" i="9"/>
  <c r="J690" i="9"/>
  <c r="I691" i="9"/>
  <c r="J691" i="9"/>
  <c r="I692" i="9"/>
  <c r="J692" i="9"/>
  <c r="I693" i="9"/>
  <c r="J693" i="9"/>
  <c r="I694" i="9"/>
  <c r="J694" i="9"/>
  <c r="I695" i="9"/>
  <c r="J695" i="9"/>
  <c r="I696" i="9"/>
  <c r="J696" i="9"/>
  <c r="I697" i="9"/>
  <c r="J697" i="9"/>
  <c r="I698" i="9"/>
  <c r="J698" i="9"/>
  <c r="I699" i="9"/>
  <c r="J699" i="9"/>
  <c r="I700" i="9"/>
  <c r="J700" i="9"/>
  <c r="I701" i="9"/>
  <c r="J701" i="9"/>
  <c r="I702" i="9"/>
  <c r="J702" i="9"/>
  <c r="I703" i="9"/>
  <c r="J703" i="9"/>
  <c r="I704" i="9"/>
  <c r="J704" i="9"/>
  <c r="I705" i="9"/>
  <c r="J705" i="9"/>
  <c r="I706" i="9"/>
  <c r="J706" i="9"/>
  <c r="I707" i="9"/>
  <c r="J707" i="9"/>
  <c r="I708" i="9"/>
  <c r="J708" i="9"/>
  <c r="I709" i="9"/>
  <c r="J709" i="9"/>
  <c r="I710" i="9"/>
  <c r="J710" i="9"/>
  <c r="I711" i="9"/>
  <c r="J711" i="9"/>
  <c r="I712" i="9"/>
  <c r="J712" i="9"/>
  <c r="I713" i="9"/>
  <c r="J713" i="9"/>
  <c r="I714" i="9"/>
  <c r="J714" i="9"/>
  <c r="I715" i="9"/>
  <c r="J715" i="9"/>
  <c r="I716" i="9"/>
  <c r="J716" i="9"/>
  <c r="I717" i="9"/>
  <c r="J717" i="9"/>
  <c r="I718" i="9"/>
  <c r="J718" i="9"/>
  <c r="I719" i="9"/>
  <c r="J719" i="9"/>
  <c r="I720" i="9"/>
  <c r="J720" i="9"/>
  <c r="I721" i="9"/>
  <c r="J721" i="9"/>
  <c r="I722" i="9"/>
  <c r="J722" i="9"/>
  <c r="I723" i="9"/>
  <c r="J723" i="9"/>
  <c r="I724" i="9"/>
  <c r="J724" i="9"/>
  <c r="I725" i="9"/>
  <c r="J725" i="9"/>
  <c r="I726" i="9"/>
  <c r="J726" i="9"/>
  <c r="I727" i="9"/>
  <c r="J727" i="9"/>
  <c r="I728" i="9"/>
  <c r="J728" i="9"/>
  <c r="I729" i="9"/>
  <c r="J729" i="9"/>
  <c r="I730" i="9"/>
  <c r="J730" i="9"/>
  <c r="I731" i="9"/>
  <c r="J731" i="9"/>
  <c r="I732" i="9"/>
  <c r="J732" i="9"/>
  <c r="I733" i="9"/>
  <c r="J733" i="9"/>
  <c r="I734" i="9"/>
  <c r="J734" i="9"/>
  <c r="I735" i="9"/>
  <c r="J735" i="9"/>
  <c r="I736" i="9"/>
  <c r="J736" i="9"/>
  <c r="I737" i="9"/>
  <c r="J737" i="9"/>
  <c r="I738" i="9"/>
  <c r="J738" i="9"/>
  <c r="I739" i="9"/>
  <c r="J739" i="9"/>
  <c r="I740" i="9"/>
  <c r="J740" i="9"/>
  <c r="I741" i="9"/>
  <c r="J741" i="9"/>
  <c r="I742" i="9"/>
  <c r="J742" i="9"/>
  <c r="I743" i="9"/>
  <c r="J743" i="9"/>
  <c r="I744" i="9"/>
  <c r="J744" i="9"/>
  <c r="I745" i="9"/>
  <c r="J745" i="9"/>
  <c r="I746" i="9"/>
  <c r="J746" i="9"/>
  <c r="I747" i="9"/>
  <c r="J747" i="9"/>
  <c r="I748" i="9"/>
  <c r="J748" i="9"/>
  <c r="I749" i="9"/>
  <c r="J749" i="9"/>
  <c r="I750" i="9"/>
  <c r="J750" i="9"/>
  <c r="I751" i="9"/>
  <c r="J751" i="9"/>
  <c r="I752" i="9"/>
  <c r="J752" i="9"/>
  <c r="I753" i="9"/>
  <c r="J753" i="9"/>
  <c r="I754" i="9"/>
  <c r="J754" i="9"/>
  <c r="I755" i="9"/>
  <c r="J755" i="9"/>
  <c r="I756" i="9"/>
  <c r="J756" i="9"/>
  <c r="I757" i="9"/>
  <c r="J757" i="9"/>
  <c r="I758" i="9"/>
  <c r="J758" i="9"/>
  <c r="I759" i="9"/>
  <c r="J759" i="9"/>
  <c r="I760" i="9"/>
  <c r="J760" i="9"/>
  <c r="I761" i="9"/>
  <c r="J761" i="9"/>
  <c r="I762" i="9"/>
  <c r="J762" i="9"/>
  <c r="I763" i="9"/>
  <c r="J763" i="9"/>
  <c r="I764" i="9"/>
  <c r="J764" i="9"/>
  <c r="I765" i="9"/>
  <c r="J765" i="9"/>
  <c r="I766" i="9"/>
  <c r="J766" i="9"/>
  <c r="I767" i="9"/>
  <c r="J767" i="9"/>
  <c r="I768" i="9"/>
  <c r="J768" i="9"/>
  <c r="I769" i="9"/>
  <c r="J769" i="9"/>
  <c r="I770" i="9"/>
  <c r="J770" i="9"/>
  <c r="I771" i="9"/>
  <c r="J771" i="9"/>
  <c r="I772" i="9"/>
  <c r="J772" i="9"/>
  <c r="I773" i="9"/>
  <c r="J773" i="9"/>
  <c r="I774" i="9"/>
  <c r="J774" i="9"/>
  <c r="I775" i="9"/>
  <c r="J775" i="9"/>
  <c r="I776" i="9"/>
  <c r="J776" i="9"/>
  <c r="I777" i="9"/>
  <c r="J777" i="9"/>
  <c r="I778" i="9"/>
  <c r="J778" i="9"/>
  <c r="I779" i="9"/>
  <c r="J779" i="9"/>
  <c r="I780" i="9"/>
  <c r="J780" i="9"/>
  <c r="I781" i="9"/>
  <c r="J781" i="9"/>
  <c r="I782" i="9"/>
  <c r="J782" i="9"/>
  <c r="I783" i="9"/>
  <c r="J783" i="9"/>
  <c r="I784" i="9"/>
  <c r="J784" i="9"/>
  <c r="I785" i="9"/>
  <c r="J785" i="9"/>
  <c r="I786" i="9"/>
  <c r="J786" i="9"/>
  <c r="I787" i="9"/>
  <c r="J787" i="9"/>
  <c r="I788" i="9"/>
  <c r="J788" i="9"/>
  <c r="I789" i="9"/>
  <c r="J789" i="9"/>
  <c r="I790" i="9"/>
  <c r="J790" i="9"/>
  <c r="I791" i="9"/>
  <c r="J791" i="9"/>
  <c r="I792" i="9"/>
  <c r="J792" i="9"/>
  <c r="I793" i="9"/>
  <c r="J793" i="9"/>
  <c r="I794" i="9"/>
  <c r="J794" i="9"/>
  <c r="I795" i="9"/>
  <c r="J795" i="9"/>
  <c r="I823" i="9"/>
  <c r="J823" i="9"/>
  <c r="I824" i="9"/>
  <c r="J824" i="9"/>
  <c r="I825" i="9"/>
  <c r="J825" i="9"/>
  <c r="I826" i="9"/>
  <c r="J826" i="9"/>
  <c r="I827" i="9"/>
  <c r="J827" i="9"/>
  <c r="I828" i="9"/>
  <c r="J828" i="9"/>
  <c r="I829" i="9"/>
  <c r="J829" i="9"/>
  <c r="I830" i="9"/>
  <c r="J830" i="9"/>
  <c r="I847" i="9"/>
  <c r="J847" i="9"/>
  <c r="I848" i="9"/>
  <c r="J848" i="9"/>
  <c r="I849" i="9"/>
  <c r="J849" i="9"/>
  <c r="I850" i="9"/>
  <c r="J850" i="9"/>
  <c r="I851" i="9"/>
  <c r="J851" i="9"/>
  <c r="I852" i="9"/>
  <c r="J852" i="9"/>
  <c r="I853" i="9"/>
  <c r="J853" i="9"/>
  <c r="I854" i="9"/>
  <c r="J854" i="9"/>
  <c r="I855" i="9"/>
  <c r="J855" i="9"/>
  <c r="I856" i="9"/>
  <c r="J856" i="9"/>
  <c r="I857" i="9"/>
  <c r="J857" i="9"/>
  <c r="I858" i="9"/>
  <c r="J858" i="9"/>
  <c r="I859" i="9"/>
  <c r="J859" i="9"/>
  <c r="I860" i="9"/>
  <c r="J860" i="9"/>
  <c r="I861" i="9"/>
  <c r="J861" i="9"/>
  <c r="I862" i="9"/>
  <c r="J862" i="9"/>
  <c r="I863" i="9"/>
  <c r="J863" i="9"/>
  <c r="I864" i="9"/>
  <c r="J864" i="9"/>
  <c r="I865" i="9"/>
  <c r="J865" i="9"/>
  <c r="I866" i="9"/>
  <c r="J866" i="9"/>
  <c r="I867" i="9"/>
  <c r="J867" i="9"/>
  <c r="I868" i="9"/>
  <c r="J868" i="9"/>
  <c r="I869" i="9"/>
  <c r="J869" i="9"/>
  <c r="I870" i="9"/>
  <c r="J870" i="9"/>
  <c r="I871" i="9"/>
  <c r="J871" i="9"/>
  <c r="I872" i="9"/>
  <c r="J872" i="9"/>
  <c r="I873" i="9"/>
  <c r="J873" i="9"/>
  <c r="I874" i="9"/>
  <c r="J874" i="9"/>
  <c r="I875" i="9"/>
  <c r="J875" i="9"/>
  <c r="I876" i="9"/>
  <c r="J876" i="9"/>
  <c r="I877" i="9"/>
  <c r="J877" i="9"/>
  <c r="I878" i="9"/>
  <c r="J878" i="9"/>
  <c r="I879" i="9"/>
  <c r="J879" i="9"/>
  <c r="I880" i="9"/>
  <c r="J880" i="9"/>
  <c r="I881" i="9"/>
  <c r="J881" i="9"/>
  <c r="I882" i="9"/>
  <c r="J882" i="9"/>
  <c r="I883" i="9"/>
  <c r="J883" i="9"/>
  <c r="I884" i="9"/>
  <c r="J884" i="9"/>
  <c r="I885" i="9"/>
  <c r="J885" i="9"/>
  <c r="I886" i="9"/>
  <c r="J886" i="9"/>
  <c r="I887" i="9"/>
  <c r="J887" i="9"/>
  <c r="I888" i="9"/>
  <c r="J888" i="9"/>
  <c r="I889" i="9"/>
  <c r="J889" i="9"/>
  <c r="I890" i="9"/>
  <c r="J890" i="9"/>
  <c r="I891" i="9"/>
  <c r="J891" i="9"/>
  <c r="I892" i="9"/>
  <c r="J892" i="9"/>
  <c r="I893" i="9"/>
  <c r="J893" i="9"/>
  <c r="I894" i="9"/>
  <c r="J894" i="9"/>
  <c r="I895" i="9"/>
  <c r="J895" i="9"/>
  <c r="I896" i="9"/>
  <c r="J896" i="9"/>
  <c r="I897" i="9"/>
  <c r="J897" i="9"/>
  <c r="I898" i="9"/>
  <c r="J898" i="9"/>
  <c r="I899" i="9"/>
  <c r="J899" i="9"/>
  <c r="I900" i="9"/>
  <c r="J900" i="9"/>
  <c r="I901" i="9"/>
  <c r="J901" i="9"/>
  <c r="I902" i="9"/>
  <c r="J902" i="9"/>
  <c r="I903" i="9"/>
  <c r="J903" i="9"/>
  <c r="I904" i="9"/>
  <c r="J904" i="9"/>
  <c r="I905" i="9"/>
  <c r="J905" i="9"/>
  <c r="I906" i="9"/>
  <c r="J906" i="9"/>
  <c r="I907" i="9"/>
  <c r="J907" i="9"/>
  <c r="I908" i="9"/>
  <c r="J908" i="9"/>
  <c r="I909" i="9"/>
  <c r="J909" i="9"/>
  <c r="I910" i="9"/>
  <c r="J910" i="9"/>
  <c r="I912" i="9"/>
  <c r="J912" i="9"/>
  <c r="I913" i="9"/>
  <c r="J913" i="9"/>
  <c r="I914" i="9"/>
  <c r="J914" i="9"/>
  <c r="I915" i="9"/>
  <c r="J915" i="9"/>
  <c r="I916" i="9"/>
  <c r="J916" i="9"/>
  <c r="I917" i="9"/>
  <c r="J917" i="9"/>
  <c r="I918" i="9"/>
  <c r="J918" i="9"/>
  <c r="I919" i="9"/>
  <c r="J919" i="9"/>
  <c r="I920" i="9"/>
  <c r="J920" i="9"/>
  <c r="I921" i="9"/>
  <c r="J921" i="9"/>
  <c r="I922" i="9"/>
  <c r="J922" i="9"/>
  <c r="I923" i="9"/>
  <c r="J923" i="9"/>
  <c r="I924" i="9"/>
  <c r="J924" i="9"/>
  <c r="I925" i="9"/>
  <c r="J925" i="9"/>
  <c r="I926" i="9"/>
  <c r="J926" i="9"/>
  <c r="I927" i="9"/>
  <c r="J927" i="9"/>
  <c r="I928" i="9"/>
  <c r="J928" i="9"/>
  <c r="I929" i="9"/>
  <c r="J929" i="9"/>
  <c r="I930" i="9"/>
  <c r="J930" i="9"/>
  <c r="I931" i="9"/>
  <c r="J931" i="9"/>
  <c r="I932" i="9"/>
  <c r="J932" i="9"/>
  <c r="I933" i="9"/>
  <c r="J933" i="9"/>
  <c r="I934" i="9"/>
  <c r="J934" i="9"/>
  <c r="I935" i="9"/>
  <c r="J935" i="9"/>
  <c r="I936" i="9"/>
  <c r="J936" i="9"/>
  <c r="I937" i="9"/>
  <c r="J937" i="9"/>
  <c r="I938" i="9"/>
  <c r="J938" i="9"/>
  <c r="I939" i="9"/>
  <c r="J939" i="9"/>
  <c r="I940" i="9"/>
  <c r="J940" i="9"/>
  <c r="I941" i="9"/>
  <c r="J941" i="9"/>
  <c r="I942" i="9"/>
  <c r="J942" i="9"/>
  <c r="I943" i="9"/>
  <c r="J943" i="9"/>
  <c r="I944" i="9"/>
  <c r="J944" i="9"/>
  <c r="I945" i="9"/>
  <c r="J945" i="9"/>
  <c r="I946" i="9"/>
  <c r="J946" i="9"/>
  <c r="I947" i="9"/>
  <c r="J947" i="9"/>
  <c r="I948" i="9"/>
  <c r="J948" i="9"/>
  <c r="I949" i="9"/>
  <c r="J949" i="9"/>
  <c r="I950" i="9"/>
  <c r="J950" i="9"/>
  <c r="I951" i="9"/>
  <c r="J951" i="9"/>
  <c r="I964" i="9"/>
  <c r="J964" i="9"/>
  <c r="I965" i="9"/>
  <c r="J965" i="9"/>
  <c r="I966" i="9"/>
  <c r="J966" i="9"/>
  <c r="I967" i="9"/>
  <c r="J967" i="9"/>
  <c r="I968" i="9"/>
  <c r="J968" i="9"/>
  <c r="I969" i="9"/>
  <c r="J969" i="9"/>
  <c r="I970" i="9"/>
  <c r="J970" i="9"/>
  <c r="I971" i="9"/>
  <c r="J971" i="9"/>
  <c r="I972" i="9"/>
  <c r="J972" i="9"/>
  <c r="I973" i="9"/>
  <c r="J973" i="9"/>
  <c r="I974" i="9"/>
  <c r="J974" i="9"/>
  <c r="I975" i="9"/>
  <c r="J975" i="9"/>
  <c r="I976" i="9"/>
  <c r="J976" i="9"/>
  <c r="I977" i="9"/>
  <c r="J977" i="9"/>
  <c r="I978" i="9"/>
  <c r="J978" i="9"/>
  <c r="I979" i="9"/>
  <c r="J979" i="9"/>
  <c r="I980" i="9"/>
  <c r="J980" i="9"/>
  <c r="I981" i="9"/>
  <c r="J981" i="9"/>
  <c r="I982" i="9"/>
  <c r="J982" i="9"/>
  <c r="I983" i="9"/>
  <c r="J983" i="9"/>
  <c r="I984" i="9"/>
  <c r="J984" i="9"/>
  <c r="I985" i="9"/>
  <c r="J985" i="9"/>
  <c r="I986" i="9"/>
  <c r="J986" i="9"/>
  <c r="I987" i="9"/>
  <c r="J987" i="9"/>
  <c r="I988" i="9"/>
  <c r="J988" i="9"/>
  <c r="I989" i="9"/>
  <c r="J989" i="9"/>
  <c r="I990" i="9"/>
  <c r="J990" i="9"/>
  <c r="I991" i="9"/>
  <c r="J991" i="9"/>
  <c r="I992" i="9"/>
  <c r="J992" i="9"/>
  <c r="I993" i="9"/>
  <c r="J993" i="9"/>
  <c r="I994" i="9"/>
  <c r="J994" i="9"/>
  <c r="I995" i="9"/>
  <c r="J995" i="9"/>
  <c r="I996" i="9"/>
  <c r="J996" i="9"/>
  <c r="I997" i="9"/>
  <c r="J997" i="9"/>
  <c r="I998" i="9"/>
  <c r="J998" i="9"/>
  <c r="I999" i="9"/>
  <c r="J999" i="9"/>
  <c r="I1000" i="9"/>
  <c r="J1000" i="9"/>
  <c r="I1001" i="9"/>
  <c r="J1001" i="9"/>
  <c r="I1002" i="9"/>
  <c r="J1002" i="9"/>
  <c r="I1003" i="9"/>
  <c r="J1003" i="9"/>
  <c r="I1004" i="9"/>
  <c r="J1004" i="9"/>
  <c r="I1005" i="9"/>
  <c r="J1005" i="9"/>
  <c r="I1006" i="9"/>
  <c r="J1006" i="9"/>
  <c r="I1007" i="9"/>
  <c r="J1007" i="9"/>
  <c r="I1008" i="9"/>
  <c r="J1008" i="9"/>
  <c r="I1009" i="9"/>
  <c r="J1009" i="9"/>
  <c r="I1010" i="9"/>
  <c r="J1010" i="9"/>
  <c r="I1011" i="9"/>
  <c r="J1011" i="9"/>
  <c r="I1201" i="9"/>
  <c r="J1201" i="9"/>
  <c r="I1202" i="9"/>
  <c r="J1202" i="9"/>
  <c r="I1203" i="9"/>
  <c r="J1203" i="9"/>
  <c r="I1204" i="9"/>
  <c r="J1204" i="9"/>
  <c r="I1205" i="9"/>
  <c r="J1205" i="9"/>
  <c r="I1206" i="9"/>
  <c r="J1206" i="9"/>
  <c r="I1207" i="9"/>
  <c r="J1207" i="9"/>
  <c r="I1208" i="9"/>
  <c r="J1208" i="9"/>
  <c r="I1209" i="9"/>
  <c r="J1209" i="9"/>
  <c r="I1210" i="9"/>
  <c r="J1210" i="9"/>
  <c r="I1211" i="9"/>
  <c r="J1211" i="9"/>
  <c r="I1212" i="9"/>
  <c r="J1212" i="9"/>
  <c r="I1213" i="9"/>
  <c r="J1213" i="9"/>
  <c r="I1214" i="9"/>
  <c r="J1214" i="9"/>
  <c r="I1215" i="9"/>
  <c r="J1215" i="9"/>
  <c r="I1216" i="9"/>
  <c r="J1216" i="9"/>
  <c r="I1217" i="9"/>
  <c r="J1217" i="9"/>
  <c r="I1218" i="9"/>
  <c r="J1218" i="9"/>
  <c r="I1219" i="9"/>
  <c r="J1219" i="9"/>
  <c r="I1220" i="9"/>
  <c r="J1220" i="9"/>
  <c r="I1221" i="9"/>
  <c r="J1221" i="9"/>
  <c r="I1222" i="9"/>
  <c r="J1222" i="9"/>
  <c r="I1223" i="9"/>
  <c r="J1223" i="9"/>
  <c r="I1224" i="9"/>
  <c r="J1224" i="9"/>
  <c r="I1225" i="9"/>
  <c r="J1225" i="9"/>
  <c r="I1226" i="9"/>
  <c r="J1226" i="9"/>
  <c r="I1227" i="9"/>
  <c r="J1227" i="9"/>
  <c r="I1228" i="9"/>
  <c r="J1228" i="9"/>
  <c r="I1229" i="9"/>
  <c r="J1229" i="9"/>
  <c r="I1230" i="9"/>
  <c r="J1230" i="9"/>
  <c r="I1231" i="9"/>
  <c r="J1231" i="9"/>
  <c r="I1232" i="9"/>
  <c r="J1232" i="9"/>
  <c r="I1233" i="9"/>
  <c r="J1233" i="9"/>
  <c r="I1234" i="9"/>
  <c r="J1234" i="9"/>
  <c r="I1235" i="9"/>
  <c r="J1235" i="9"/>
  <c r="I1236" i="9"/>
  <c r="J1236" i="9"/>
  <c r="I1237" i="9"/>
  <c r="J1237" i="9"/>
  <c r="I1238" i="9"/>
  <c r="J1238" i="9"/>
  <c r="I1239" i="9"/>
  <c r="J1239" i="9"/>
  <c r="I1240" i="9"/>
  <c r="J1240" i="9"/>
  <c r="I1241" i="9"/>
  <c r="J1241" i="9"/>
  <c r="I1242" i="9"/>
  <c r="J1242" i="9"/>
  <c r="I1243" i="9"/>
  <c r="J1243" i="9"/>
  <c r="I1244" i="9"/>
  <c r="J1244" i="9"/>
  <c r="I1245" i="9"/>
  <c r="J1245" i="9"/>
  <c r="I1246" i="9"/>
  <c r="J1246" i="9"/>
  <c r="I1247" i="9"/>
  <c r="J1247" i="9"/>
  <c r="I1248" i="9"/>
  <c r="J1248" i="9"/>
  <c r="I1249" i="9"/>
  <c r="J1249" i="9"/>
  <c r="I1250" i="9"/>
  <c r="J1250" i="9"/>
  <c r="I1251" i="9"/>
  <c r="J1251" i="9"/>
  <c r="I1252" i="9"/>
  <c r="J1252" i="9"/>
  <c r="I1253" i="9"/>
  <c r="J1253" i="9"/>
  <c r="I1254" i="9"/>
  <c r="J1254" i="9"/>
  <c r="I1255" i="9"/>
  <c r="J1255" i="9"/>
  <c r="I1256" i="9"/>
  <c r="J1256" i="9"/>
  <c r="I1257" i="9"/>
  <c r="J1257" i="9"/>
  <c r="I1258" i="9"/>
  <c r="J1258" i="9"/>
  <c r="I1259" i="9"/>
  <c r="J1259" i="9"/>
  <c r="I1260" i="9"/>
  <c r="J1260" i="9"/>
  <c r="I1261" i="9"/>
  <c r="J1261" i="9"/>
  <c r="I1262" i="9"/>
  <c r="J1262" i="9"/>
  <c r="I1263" i="9"/>
  <c r="J1263" i="9"/>
  <c r="I1264" i="9"/>
  <c r="J1264" i="9"/>
  <c r="I1265" i="9"/>
  <c r="J1265" i="9"/>
  <c r="I1266" i="9"/>
  <c r="J1266" i="9"/>
  <c r="I1267" i="9"/>
  <c r="J1267" i="9"/>
  <c r="I1268" i="9"/>
  <c r="J1268" i="9"/>
  <c r="I1269" i="9"/>
  <c r="J1269" i="9"/>
  <c r="I1270" i="9"/>
  <c r="J1270" i="9"/>
  <c r="I1271" i="9"/>
  <c r="J1271" i="9"/>
  <c r="I1272" i="9"/>
  <c r="J1272" i="9"/>
  <c r="I1273" i="9"/>
  <c r="J1273" i="9"/>
  <c r="I1274" i="9"/>
  <c r="J1274" i="9"/>
  <c r="I1275" i="9"/>
  <c r="J1275" i="9"/>
  <c r="I1276" i="9"/>
  <c r="J1276" i="9"/>
  <c r="I1277" i="9"/>
  <c r="J1277" i="9"/>
  <c r="I1278" i="9"/>
  <c r="J1278" i="9"/>
  <c r="I1279" i="9"/>
  <c r="J1279" i="9"/>
  <c r="I1280" i="9"/>
  <c r="J1280" i="9"/>
  <c r="I1281" i="9"/>
  <c r="J1281" i="9"/>
  <c r="I1284" i="9"/>
  <c r="J1284" i="9"/>
  <c r="I1285" i="9"/>
  <c r="J1285" i="9"/>
  <c r="I1286" i="9"/>
  <c r="J1286" i="9"/>
  <c r="I1287" i="9"/>
  <c r="J1287" i="9"/>
  <c r="I1288" i="9"/>
  <c r="J1288" i="9"/>
  <c r="I1289" i="9"/>
  <c r="J1289" i="9"/>
  <c r="I1290" i="9"/>
  <c r="J1290" i="9"/>
  <c r="I1291" i="9"/>
  <c r="J1291" i="9"/>
  <c r="I1292" i="9"/>
  <c r="J1292" i="9"/>
  <c r="I1293" i="9"/>
  <c r="J1293" i="9"/>
  <c r="I1294" i="9"/>
  <c r="J1294" i="9"/>
  <c r="I1295" i="9"/>
  <c r="J1295" i="9"/>
  <c r="I1296" i="9"/>
  <c r="J1296" i="9"/>
  <c r="I1297" i="9"/>
  <c r="J1297" i="9"/>
  <c r="I1298" i="9"/>
  <c r="J1298" i="9"/>
  <c r="I1299" i="9"/>
  <c r="J1299" i="9"/>
  <c r="I1300" i="9"/>
  <c r="J1300" i="9"/>
  <c r="I1301" i="9"/>
  <c r="J1301" i="9"/>
  <c r="I1302" i="9"/>
  <c r="J1302" i="9"/>
  <c r="I1303" i="9"/>
  <c r="J1303" i="9"/>
  <c r="I1304" i="9"/>
  <c r="J1304" i="9"/>
  <c r="I1305" i="9"/>
  <c r="J1305" i="9"/>
  <c r="I1306" i="9"/>
  <c r="J1306" i="9"/>
  <c r="I1307" i="9"/>
  <c r="J1307" i="9"/>
  <c r="I1308" i="9"/>
  <c r="J1308" i="9"/>
  <c r="I1309" i="9"/>
  <c r="J1309" i="9"/>
  <c r="I1310" i="9"/>
  <c r="J1310" i="9"/>
  <c r="I1311" i="9"/>
  <c r="J1311" i="9"/>
  <c r="I1312" i="9"/>
  <c r="J1312" i="9"/>
  <c r="I1313" i="9"/>
  <c r="J1313" i="9"/>
  <c r="I1314" i="9"/>
  <c r="J1314" i="9"/>
  <c r="I1315" i="9"/>
  <c r="J1315" i="9"/>
  <c r="I1316" i="9"/>
  <c r="J1316" i="9"/>
  <c r="I1317" i="9"/>
  <c r="J1317" i="9"/>
  <c r="I1318" i="9"/>
  <c r="J1318" i="9"/>
  <c r="I1319" i="9"/>
  <c r="J1319" i="9"/>
  <c r="I1320" i="9"/>
  <c r="J1320" i="9"/>
  <c r="I1321" i="9"/>
  <c r="J1321" i="9"/>
  <c r="I1322" i="9"/>
  <c r="J1322" i="9"/>
  <c r="I1323" i="9"/>
  <c r="J1323" i="9"/>
  <c r="I1324" i="9"/>
  <c r="J1324" i="9"/>
  <c r="I1325" i="9"/>
  <c r="J1325" i="9"/>
  <c r="I1326" i="9"/>
  <c r="J1326" i="9"/>
  <c r="I1327" i="9"/>
  <c r="J1327" i="9"/>
  <c r="I1328" i="9"/>
  <c r="J1328" i="9"/>
  <c r="I1329" i="9"/>
  <c r="J1329" i="9"/>
  <c r="I1330" i="9"/>
  <c r="J1330" i="9"/>
  <c r="I1331" i="9"/>
  <c r="J1331" i="9"/>
  <c r="I1332" i="9"/>
  <c r="J1332" i="9"/>
  <c r="I1333" i="9"/>
  <c r="J1333" i="9"/>
  <c r="I1334" i="9"/>
  <c r="J1334" i="9"/>
  <c r="I1335" i="9"/>
  <c r="J1335" i="9"/>
  <c r="I1336" i="9"/>
  <c r="J1336" i="9"/>
  <c r="I1337" i="9"/>
  <c r="J1337" i="9"/>
  <c r="I1338" i="9"/>
  <c r="J1338" i="9"/>
  <c r="I1339" i="9"/>
  <c r="J1339" i="9"/>
  <c r="I1340" i="9"/>
  <c r="J1340" i="9"/>
  <c r="I1341" i="9"/>
  <c r="J1341" i="9"/>
  <c r="I1342" i="9"/>
  <c r="J1342" i="9"/>
  <c r="I1343" i="9"/>
  <c r="J1343" i="9"/>
  <c r="I1344" i="9"/>
  <c r="J1344" i="9"/>
  <c r="I1345" i="9"/>
  <c r="J1345" i="9"/>
  <c r="I1346" i="9"/>
  <c r="J1346" i="9"/>
  <c r="I1347" i="9"/>
  <c r="J1347" i="9"/>
  <c r="I1348" i="9"/>
  <c r="J1348" i="9"/>
  <c r="I1349" i="9"/>
  <c r="J1349" i="9"/>
  <c r="I1350" i="9"/>
  <c r="J1350" i="9"/>
  <c r="I1351" i="9"/>
  <c r="J1351" i="9"/>
  <c r="I1352" i="9"/>
  <c r="J1352" i="9"/>
  <c r="I1353" i="9"/>
  <c r="J1353" i="9"/>
  <c r="I1354" i="9"/>
  <c r="J1354" i="9"/>
  <c r="I1355" i="9"/>
  <c r="J1355" i="9"/>
  <c r="I1356" i="9"/>
  <c r="J1356" i="9"/>
  <c r="I1357" i="9"/>
  <c r="J1357" i="9"/>
  <c r="I1358" i="9"/>
  <c r="J1358" i="9"/>
  <c r="I1359" i="9"/>
  <c r="J1359" i="9"/>
  <c r="I1360" i="9"/>
  <c r="J1360" i="9"/>
  <c r="I1361" i="9"/>
  <c r="J1361" i="9"/>
  <c r="I1362" i="9"/>
  <c r="J1362" i="9"/>
  <c r="I1363" i="9"/>
  <c r="J1363" i="9"/>
  <c r="I1364" i="9"/>
  <c r="J1364" i="9"/>
  <c r="I1365" i="9"/>
  <c r="J1365" i="9"/>
  <c r="I1366" i="9"/>
  <c r="J1366" i="9"/>
  <c r="I1367" i="9"/>
  <c r="J1367" i="9"/>
  <c r="I1368" i="9"/>
  <c r="J1368" i="9"/>
  <c r="I1369" i="9"/>
  <c r="J1369" i="9"/>
  <c r="I1370" i="9"/>
  <c r="J1370" i="9"/>
  <c r="I1371" i="9"/>
  <c r="J1371" i="9"/>
  <c r="I1372" i="9"/>
  <c r="J1372" i="9"/>
  <c r="I1373" i="9"/>
  <c r="J1373" i="9"/>
  <c r="I1374" i="9"/>
  <c r="J1374" i="9"/>
  <c r="I1375" i="9"/>
  <c r="J1375" i="9"/>
  <c r="I1376" i="9"/>
  <c r="J1376" i="9"/>
  <c r="I1377" i="9"/>
  <c r="J1377" i="9"/>
  <c r="I1378" i="9"/>
  <c r="J1378" i="9"/>
  <c r="I1379" i="9"/>
  <c r="J1379" i="9"/>
  <c r="I1380" i="9"/>
  <c r="J1380" i="9"/>
  <c r="I1381" i="9"/>
  <c r="J1381" i="9"/>
  <c r="I1382" i="9"/>
  <c r="J1382" i="9"/>
  <c r="I1383" i="9"/>
  <c r="J1383" i="9"/>
  <c r="I1384" i="9"/>
  <c r="J1384" i="9"/>
  <c r="I1385" i="9"/>
  <c r="J1385" i="9"/>
  <c r="I1386" i="9"/>
  <c r="J1386" i="9"/>
  <c r="I1387" i="9"/>
  <c r="J1387" i="9"/>
  <c r="I1388" i="9"/>
  <c r="J1388" i="9"/>
  <c r="I1389" i="9"/>
  <c r="J1389" i="9"/>
  <c r="I1390" i="9"/>
  <c r="J1390" i="9"/>
  <c r="I1392" i="9"/>
  <c r="J1392" i="9"/>
  <c r="I1393" i="9"/>
  <c r="J1393" i="9"/>
  <c r="I1394" i="9"/>
  <c r="J1394" i="9"/>
  <c r="I1395" i="9"/>
  <c r="J1395" i="9"/>
  <c r="I1396" i="9"/>
  <c r="J1396" i="9"/>
  <c r="I1397" i="9"/>
  <c r="J1397" i="9"/>
  <c r="I1398" i="9"/>
  <c r="J1398" i="9"/>
  <c r="I1399" i="9"/>
  <c r="J1399" i="9"/>
  <c r="I1400" i="9"/>
  <c r="J1400" i="9"/>
  <c r="I1401" i="9"/>
  <c r="J1401" i="9"/>
  <c r="I1402" i="9"/>
  <c r="J1402" i="9"/>
  <c r="I1403" i="9"/>
  <c r="J1403" i="9"/>
  <c r="I1404" i="9"/>
  <c r="J1404" i="9"/>
  <c r="I1405" i="9"/>
  <c r="J1405" i="9"/>
  <c r="I1406" i="9"/>
  <c r="J1406" i="9"/>
  <c r="I1407" i="9"/>
  <c r="J1407" i="9"/>
  <c r="I1408" i="9"/>
  <c r="J1408" i="9"/>
  <c r="I1409" i="9"/>
  <c r="J1409" i="9"/>
  <c r="I1410" i="9"/>
  <c r="J1410" i="9"/>
  <c r="I1411" i="9"/>
  <c r="J1411" i="9"/>
  <c r="I1412" i="9"/>
  <c r="J1412" i="9"/>
  <c r="I1414" i="9"/>
  <c r="J1414" i="9"/>
  <c r="I1415" i="9"/>
  <c r="J1415" i="9"/>
  <c r="I1416" i="9"/>
  <c r="J1416" i="9"/>
  <c r="I1417" i="9"/>
  <c r="J1417" i="9"/>
  <c r="I1418" i="9"/>
  <c r="J1418" i="9"/>
  <c r="I1419" i="9"/>
  <c r="J1419" i="9"/>
  <c r="I1420" i="9"/>
  <c r="J1420" i="9"/>
  <c r="I1421" i="9"/>
  <c r="J1421" i="9"/>
  <c r="I1422" i="9"/>
  <c r="J1422" i="9"/>
  <c r="I1423" i="9"/>
  <c r="J1423" i="9"/>
  <c r="I1424" i="9"/>
  <c r="J1424" i="9"/>
  <c r="I1425" i="9"/>
  <c r="J1425" i="9"/>
  <c r="I1426" i="9"/>
  <c r="J1426" i="9"/>
  <c r="I1427" i="9"/>
  <c r="J1427" i="9"/>
  <c r="I1428" i="9"/>
  <c r="J1428" i="9"/>
  <c r="I1429" i="9"/>
  <c r="J1429" i="9"/>
  <c r="I1430" i="9"/>
  <c r="J1430" i="9"/>
  <c r="I1431" i="9"/>
  <c r="J1431" i="9"/>
  <c r="I1432" i="9"/>
  <c r="J1432" i="9"/>
  <c r="I1433" i="9"/>
  <c r="J1433" i="9"/>
  <c r="I1434" i="9"/>
  <c r="J1434" i="9"/>
  <c r="I1435" i="9"/>
  <c r="J1435" i="9"/>
  <c r="I1436" i="9"/>
  <c r="J1436" i="9"/>
  <c r="I1437" i="9"/>
  <c r="J1437" i="9"/>
  <c r="I1438" i="9"/>
  <c r="J1438" i="9"/>
  <c r="I1439" i="9"/>
  <c r="J1439" i="9"/>
  <c r="I1440" i="9"/>
  <c r="J1440" i="9"/>
  <c r="I1441" i="9"/>
  <c r="J1441" i="9"/>
  <c r="I1442" i="9"/>
  <c r="J1442" i="9"/>
  <c r="I1443" i="9"/>
  <c r="J1443" i="9"/>
  <c r="I1444" i="9"/>
  <c r="J1444" i="9"/>
  <c r="I1445" i="9"/>
  <c r="J1445" i="9"/>
  <c r="I1446" i="9"/>
  <c r="J1446" i="9"/>
  <c r="I1447" i="9"/>
  <c r="J1447" i="9"/>
  <c r="I1448" i="9"/>
  <c r="J1448" i="9"/>
  <c r="I1449" i="9"/>
  <c r="J1449" i="9"/>
  <c r="I1450" i="9"/>
  <c r="J1450" i="9"/>
  <c r="I1451" i="9"/>
  <c r="J1451" i="9"/>
  <c r="I1452" i="9"/>
  <c r="J1452" i="9"/>
  <c r="I1453" i="9"/>
  <c r="J1453" i="9"/>
  <c r="I1454" i="9"/>
  <c r="J1454" i="9"/>
  <c r="I1455" i="9"/>
  <c r="J1455" i="9"/>
  <c r="I1456" i="9"/>
  <c r="J1456" i="9"/>
  <c r="I1457" i="9"/>
  <c r="J1457" i="9"/>
  <c r="I1458" i="9"/>
  <c r="J1458" i="9"/>
  <c r="I1459" i="9"/>
  <c r="J1459" i="9"/>
  <c r="I1460" i="9"/>
  <c r="J1460" i="9"/>
  <c r="I1461" i="9"/>
  <c r="J1461" i="9"/>
  <c r="I1462" i="9"/>
  <c r="J1462" i="9"/>
  <c r="I1463" i="9"/>
  <c r="J1463" i="9"/>
  <c r="I1464" i="9"/>
  <c r="J1464" i="9"/>
  <c r="I1465" i="9"/>
  <c r="J1465" i="9"/>
  <c r="I1466" i="9"/>
  <c r="J1466" i="9"/>
  <c r="I1467" i="9"/>
  <c r="J1467" i="9"/>
  <c r="I1468" i="9"/>
  <c r="J1468" i="9"/>
  <c r="I1469" i="9"/>
  <c r="J1469" i="9"/>
  <c r="I1470" i="9"/>
  <c r="J1470" i="9"/>
  <c r="I1471" i="9"/>
  <c r="J1471" i="9"/>
  <c r="I1472" i="9"/>
  <c r="J1472" i="9"/>
  <c r="I1473" i="9"/>
  <c r="J1473" i="9"/>
  <c r="I1474" i="9"/>
  <c r="J1474" i="9"/>
  <c r="I1475" i="9"/>
  <c r="J1475" i="9"/>
  <c r="I1476" i="9"/>
  <c r="J1476" i="9"/>
  <c r="I1477" i="9"/>
  <c r="J1477" i="9"/>
  <c r="I1478" i="9"/>
  <c r="J1478" i="9"/>
  <c r="I1479" i="9"/>
  <c r="J1479" i="9"/>
  <c r="I1480" i="9"/>
  <c r="J1480" i="9"/>
  <c r="I1481" i="9"/>
  <c r="J1481" i="9"/>
  <c r="I1482" i="9"/>
  <c r="J1482" i="9"/>
  <c r="I1483" i="9"/>
  <c r="J1483" i="9"/>
  <c r="I1484" i="9"/>
  <c r="J1484" i="9"/>
  <c r="I1485" i="9"/>
  <c r="J1485" i="9"/>
  <c r="I1486" i="9"/>
  <c r="J1486" i="9"/>
  <c r="I1487" i="9"/>
  <c r="J1487" i="9"/>
  <c r="I1488" i="9"/>
  <c r="J1488" i="9"/>
  <c r="I1489" i="9"/>
  <c r="J1489" i="9"/>
  <c r="I1490" i="9"/>
  <c r="J1490" i="9"/>
  <c r="I1491" i="9"/>
  <c r="J1491" i="9"/>
  <c r="I1492" i="9"/>
  <c r="J1492" i="9"/>
  <c r="I1493" i="9"/>
  <c r="J1493" i="9"/>
  <c r="I1494" i="9"/>
  <c r="J1494" i="9"/>
  <c r="I1495" i="9"/>
  <c r="J1495" i="9"/>
  <c r="I1496" i="9"/>
  <c r="J1496" i="9"/>
  <c r="I1497" i="9"/>
  <c r="J1497" i="9"/>
  <c r="I1498" i="9"/>
  <c r="J1498" i="9"/>
  <c r="I1499" i="9"/>
  <c r="J1499" i="9"/>
  <c r="I1500" i="9"/>
  <c r="J1500" i="9"/>
  <c r="I1501" i="9"/>
  <c r="J1501" i="9"/>
  <c r="I1502" i="9"/>
  <c r="J1502" i="9"/>
  <c r="I1503" i="9"/>
  <c r="J1503" i="9"/>
  <c r="I1568" i="9"/>
  <c r="J1568" i="9"/>
  <c r="I1569" i="9"/>
  <c r="J1569" i="9"/>
  <c r="I1570" i="9"/>
  <c r="J1570" i="9"/>
  <c r="I1571" i="9"/>
  <c r="J1571" i="9"/>
  <c r="I1572" i="9"/>
  <c r="J1572" i="9"/>
  <c r="I1573" i="9"/>
  <c r="J1573" i="9"/>
  <c r="I1574" i="9"/>
  <c r="J1574" i="9"/>
  <c r="I1575" i="9"/>
  <c r="J1575" i="9"/>
  <c r="I1576" i="9"/>
  <c r="J1576" i="9"/>
  <c r="I1577" i="9"/>
  <c r="J1577" i="9"/>
  <c r="I1578" i="9"/>
  <c r="J1578" i="9"/>
  <c r="I1579" i="9"/>
  <c r="J1579" i="9"/>
  <c r="I1580" i="9"/>
  <c r="J1580" i="9"/>
  <c r="I1581" i="9"/>
  <c r="J1581" i="9"/>
  <c r="I1582" i="9"/>
  <c r="J1582" i="9"/>
  <c r="I1583" i="9"/>
  <c r="J1583" i="9"/>
  <c r="I1584" i="9"/>
  <c r="J1584" i="9"/>
  <c r="I1585" i="9"/>
  <c r="J1585" i="9"/>
  <c r="I1586" i="9"/>
  <c r="J1586" i="9"/>
  <c r="I1587" i="9"/>
  <c r="J1587" i="9"/>
  <c r="I1588" i="9"/>
  <c r="J1588" i="9"/>
  <c r="I1589" i="9"/>
  <c r="J1589" i="9"/>
  <c r="I1590" i="9"/>
  <c r="J1590" i="9"/>
  <c r="I1591" i="9"/>
  <c r="J1591" i="9"/>
  <c r="I1592" i="9"/>
  <c r="J1592" i="9"/>
  <c r="I1593" i="9"/>
  <c r="J1593" i="9"/>
  <c r="I1594" i="9"/>
  <c r="J1594" i="9"/>
  <c r="I1595" i="9"/>
  <c r="J1595" i="9"/>
  <c r="I1596" i="9"/>
  <c r="J1596" i="9"/>
  <c r="I1597" i="9"/>
  <c r="J1597" i="9"/>
  <c r="I1598" i="9"/>
  <c r="J1598" i="9"/>
  <c r="I1599" i="9"/>
  <c r="J1599" i="9"/>
  <c r="I1600" i="9"/>
  <c r="J1600" i="9"/>
  <c r="I1601" i="9"/>
  <c r="J1601" i="9"/>
  <c r="I1602" i="9"/>
  <c r="J1602" i="9"/>
  <c r="I1603" i="9"/>
  <c r="J1603" i="9"/>
  <c r="I1604" i="9"/>
  <c r="J1604" i="9"/>
  <c r="I1605" i="9"/>
  <c r="J1605" i="9"/>
  <c r="I1606" i="9"/>
  <c r="J1606" i="9"/>
  <c r="I1607" i="9"/>
  <c r="J1607" i="9"/>
  <c r="I1608" i="9"/>
  <c r="J1608" i="9"/>
  <c r="I1609" i="9"/>
  <c r="J1609" i="9"/>
  <c r="I1610" i="9"/>
  <c r="J1610" i="9"/>
  <c r="I1611" i="9"/>
  <c r="J1611" i="9"/>
  <c r="I1612" i="9"/>
  <c r="J1612" i="9"/>
  <c r="I1613" i="9"/>
  <c r="J1613" i="9"/>
  <c r="I1614" i="9"/>
  <c r="J1614" i="9"/>
  <c r="I1615" i="9"/>
  <c r="J1615" i="9"/>
  <c r="I1616" i="9"/>
  <c r="J1616" i="9"/>
  <c r="I1617" i="9"/>
  <c r="J1617" i="9"/>
  <c r="I1618" i="9"/>
  <c r="J1618" i="9"/>
  <c r="I1619" i="9"/>
  <c r="J1619" i="9"/>
  <c r="I1620" i="9"/>
  <c r="J1620" i="9"/>
  <c r="I1621" i="9"/>
  <c r="J1621" i="9"/>
  <c r="I1622" i="9"/>
  <c r="J1622" i="9"/>
  <c r="I1623" i="9"/>
  <c r="J1623" i="9"/>
  <c r="I1624" i="9"/>
  <c r="J1624" i="9"/>
  <c r="I1625" i="9"/>
  <c r="J1625" i="9"/>
  <c r="I1626" i="9"/>
  <c r="J1626" i="9"/>
  <c r="I1627" i="9"/>
  <c r="J1627" i="9"/>
  <c r="I1628" i="9"/>
  <c r="J1628" i="9"/>
  <c r="I1629" i="9"/>
  <c r="J1629" i="9"/>
  <c r="I1630" i="9"/>
  <c r="J1630" i="9"/>
  <c r="I1631" i="9"/>
  <c r="J1631" i="9"/>
  <c r="I1632" i="9"/>
  <c r="J1632" i="9"/>
  <c r="I1633" i="9"/>
  <c r="J1633" i="9"/>
  <c r="I1634" i="9"/>
  <c r="J1634" i="9"/>
  <c r="I1635" i="9"/>
  <c r="J1635" i="9"/>
  <c r="I1636" i="9"/>
  <c r="J1636" i="9"/>
  <c r="I1637" i="9"/>
  <c r="J1637" i="9"/>
  <c r="I1638" i="9"/>
  <c r="J1638" i="9"/>
  <c r="I1639" i="9"/>
  <c r="J1639" i="9"/>
  <c r="I1640" i="9"/>
  <c r="J1640" i="9"/>
  <c r="I1641" i="9"/>
  <c r="J1641" i="9"/>
  <c r="I1642" i="9"/>
  <c r="J1642" i="9"/>
  <c r="I1643" i="9"/>
  <c r="J1643" i="9"/>
  <c r="I1644" i="9"/>
  <c r="J1644" i="9"/>
  <c r="I1645" i="9"/>
  <c r="J1645" i="9"/>
  <c r="I1646" i="9"/>
  <c r="J1646" i="9"/>
  <c r="I1647" i="9"/>
  <c r="J1647" i="9"/>
  <c r="I1648" i="9"/>
  <c r="J1648" i="9"/>
  <c r="I1649" i="9"/>
  <c r="J1649" i="9"/>
  <c r="I1650" i="9"/>
  <c r="J1650" i="9"/>
  <c r="I1651" i="9"/>
  <c r="J1651" i="9"/>
  <c r="I1652" i="9"/>
  <c r="J1652" i="9"/>
  <c r="I1653" i="9"/>
  <c r="J1653" i="9"/>
  <c r="I1654" i="9"/>
  <c r="J1654" i="9"/>
  <c r="I1655" i="9"/>
  <c r="J1655" i="9"/>
  <c r="I1656" i="9"/>
  <c r="J1656" i="9"/>
  <c r="I1657" i="9"/>
  <c r="J1657" i="9"/>
  <c r="I1658" i="9"/>
  <c r="J1658" i="9"/>
  <c r="I1659" i="9"/>
  <c r="J1659" i="9"/>
  <c r="I1660" i="9"/>
  <c r="J1660" i="9"/>
  <c r="I1661" i="9"/>
  <c r="J1661" i="9"/>
  <c r="I1662" i="9"/>
  <c r="J1662" i="9"/>
  <c r="I1663" i="9"/>
  <c r="J1663" i="9"/>
  <c r="I1664" i="9"/>
  <c r="J1664" i="9"/>
  <c r="I1665" i="9"/>
  <c r="J1665" i="9"/>
  <c r="I1666" i="9"/>
  <c r="J1666" i="9"/>
  <c r="I1716" i="9"/>
  <c r="J1716" i="9"/>
  <c r="I1717" i="9"/>
  <c r="J1717" i="9"/>
  <c r="I1669" i="9"/>
  <c r="J1669" i="9"/>
  <c r="I1670" i="9"/>
  <c r="J1670" i="9"/>
  <c r="I1671" i="9"/>
  <c r="J1671" i="9"/>
  <c r="I1672" i="9"/>
  <c r="J1672" i="9"/>
  <c r="I1673" i="9"/>
  <c r="J1673" i="9"/>
  <c r="I1674" i="9"/>
  <c r="J1674" i="9"/>
  <c r="I1675" i="9"/>
  <c r="J1675" i="9"/>
  <c r="I1676" i="9"/>
  <c r="J1676" i="9"/>
  <c r="I1677" i="9"/>
  <c r="J1677" i="9"/>
  <c r="I1678" i="9"/>
  <c r="J1678" i="9"/>
  <c r="I1679" i="9"/>
  <c r="J1679" i="9"/>
  <c r="I1680" i="9"/>
  <c r="J1680" i="9"/>
  <c r="I1681" i="9"/>
  <c r="J1681" i="9"/>
  <c r="I1682" i="9"/>
  <c r="J1682" i="9"/>
  <c r="I1683" i="9"/>
  <c r="J1683" i="9"/>
  <c r="I4" i="9"/>
  <c r="J4" i="9"/>
  <c r="O4" i="14"/>
  <c r="P4" i="14" s="1"/>
  <c r="O5" i="14"/>
  <c r="P5" i="14"/>
  <c r="O6" i="14"/>
  <c r="P6" i="14" s="1"/>
  <c r="O7" i="14"/>
  <c r="P7" i="14"/>
  <c r="X493" i="6"/>
  <c r="X501" i="6"/>
  <c r="X509" i="6"/>
  <c r="X517" i="6"/>
  <c r="X525" i="6"/>
  <c r="X533" i="6"/>
  <c r="X541" i="6"/>
  <c r="X549" i="6"/>
  <c r="X8" i="6"/>
  <c r="X16" i="6"/>
  <c r="X24" i="6"/>
  <c r="X32" i="6"/>
  <c r="X40" i="6"/>
  <c r="X48" i="6"/>
  <c r="X56" i="6"/>
  <c r="X64" i="6"/>
  <c r="X72" i="6"/>
  <c r="X80" i="6"/>
  <c r="X88" i="6"/>
  <c r="X96" i="6"/>
  <c r="X104" i="6"/>
  <c r="X112" i="6"/>
  <c r="X120" i="6"/>
  <c r="X128" i="6"/>
  <c r="X136" i="6"/>
  <c r="X144" i="6"/>
  <c r="X152" i="6"/>
  <c r="X160" i="6"/>
  <c r="X168" i="6"/>
  <c r="X176" i="6"/>
  <c r="X184" i="6"/>
  <c r="X192" i="6"/>
  <c r="X200" i="6"/>
  <c r="X208" i="6"/>
  <c r="X216" i="6"/>
  <c r="X224" i="6"/>
  <c r="X232" i="6"/>
  <c r="X240" i="6"/>
  <c r="X248" i="6"/>
  <c r="X256" i="6"/>
  <c r="X264" i="6"/>
  <c r="X272" i="6"/>
  <c r="X280" i="6"/>
  <c r="X288" i="6"/>
  <c r="X296" i="6"/>
  <c r="X304" i="6"/>
  <c r="X312" i="6"/>
  <c r="X320" i="6"/>
  <c r="X348" i="6"/>
  <c r="X356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12" i="6"/>
  <c r="X520" i="6"/>
  <c r="X544" i="6"/>
  <c r="X11" i="6"/>
  <c r="X35" i="6"/>
  <c r="X59" i="6"/>
  <c r="X75" i="6"/>
  <c r="X99" i="6"/>
  <c r="X123" i="6"/>
  <c r="X139" i="6"/>
  <c r="X155" i="6"/>
  <c r="X179" i="6"/>
  <c r="X195" i="6"/>
  <c r="X219" i="6"/>
  <c r="X243" i="6"/>
  <c r="X267" i="6"/>
  <c r="X275" i="6"/>
  <c r="X494" i="6"/>
  <c r="X502" i="6"/>
  <c r="X510" i="6"/>
  <c r="X518" i="6"/>
  <c r="X526" i="6"/>
  <c r="X534" i="6"/>
  <c r="X542" i="6"/>
  <c r="X550" i="6"/>
  <c r="X9" i="6"/>
  <c r="X17" i="6"/>
  <c r="X25" i="6"/>
  <c r="X33" i="6"/>
  <c r="X41" i="6"/>
  <c r="X49" i="6"/>
  <c r="X57" i="6"/>
  <c r="X65" i="6"/>
  <c r="X73" i="6"/>
  <c r="X81" i="6"/>
  <c r="X89" i="6"/>
  <c r="X97" i="6"/>
  <c r="X105" i="6"/>
  <c r="X113" i="6"/>
  <c r="X121" i="6"/>
  <c r="X129" i="6"/>
  <c r="X137" i="6"/>
  <c r="X145" i="6"/>
  <c r="X153" i="6"/>
  <c r="X161" i="6"/>
  <c r="X169" i="6"/>
  <c r="X177" i="6"/>
  <c r="X185" i="6"/>
  <c r="X193" i="6"/>
  <c r="X201" i="6"/>
  <c r="X209" i="6"/>
  <c r="X217" i="6"/>
  <c r="X225" i="6"/>
  <c r="X233" i="6"/>
  <c r="X241" i="6"/>
  <c r="X249" i="6"/>
  <c r="X257" i="6"/>
  <c r="X265" i="6"/>
  <c r="X273" i="6"/>
  <c r="X281" i="6"/>
  <c r="X289" i="6"/>
  <c r="X297" i="6"/>
  <c r="X305" i="6"/>
  <c r="X313" i="6"/>
  <c r="X321" i="6"/>
  <c r="X349" i="6"/>
  <c r="X357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3" i="6"/>
  <c r="X504" i="6"/>
  <c r="X528" i="6"/>
  <c r="X552" i="6"/>
  <c r="X27" i="6"/>
  <c r="X43" i="6"/>
  <c r="X67" i="6"/>
  <c r="X91" i="6"/>
  <c r="X115" i="6"/>
  <c r="X131" i="6"/>
  <c r="X163" i="6"/>
  <c r="X187" i="6"/>
  <c r="X211" i="6"/>
  <c r="X235" i="6"/>
  <c r="X251" i="6"/>
  <c r="X283" i="6"/>
  <c r="X495" i="6"/>
  <c r="X503" i="6"/>
  <c r="X511" i="6"/>
  <c r="X519" i="6"/>
  <c r="X527" i="6"/>
  <c r="X535" i="6"/>
  <c r="X543" i="6"/>
  <c r="X551" i="6"/>
  <c r="X10" i="6"/>
  <c r="X18" i="6"/>
  <c r="X26" i="6"/>
  <c r="X34" i="6"/>
  <c r="X42" i="6"/>
  <c r="X50" i="6"/>
  <c r="X58" i="6"/>
  <c r="X66" i="6"/>
  <c r="X74" i="6"/>
  <c r="X82" i="6"/>
  <c r="X90" i="6"/>
  <c r="X98" i="6"/>
  <c r="X106" i="6"/>
  <c r="X114" i="6"/>
  <c r="X122" i="6"/>
  <c r="X130" i="6"/>
  <c r="X138" i="6"/>
  <c r="X146" i="6"/>
  <c r="X154" i="6"/>
  <c r="X162" i="6"/>
  <c r="X170" i="6"/>
  <c r="X178" i="6"/>
  <c r="X186" i="6"/>
  <c r="X194" i="6"/>
  <c r="X202" i="6"/>
  <c r="X210" i="6"/>
  <c r="X218" i="6"/>
  <c r="X226" i="6"/>
  <c r="X234" i="6"/>
  <c r="X242" i="6"/>
  <c r="X250" i="6"/>
  <c r="X258" i="6"/>
  <c r="X266" i="6"/>
  <c r="X274" i="6"/>
  <c r="X282" i="6"/>
  <c r="X290" i="6"/>
  <c r="X298" i="6"/>
  <c r="X306" i="6"/>
  <c r="X314" i="6"/>
  <c r="X322" i="6"/>
  <c r="X350" i="6"/>
  <c r="X358" i="6"/>
  <c r="X366" i="6"/>
  <c r="X374" i="6"/>
  <c r="X382" i="6"/>
  <c r="X390" i="6"/>
  <c r="X398" i="6"/>
  <c r="X406" i="6"/>
  <c r="X414" i="6"/>
  <c r="X422" i="6"/>
  <c r="X430" i="6"/>
  <c r="X438" i="6"/>
  <c r="X446" i="6"/>
  <c r="X454" i="6"/>
  <c r="X462" i="6"/>
  <c r="X470" i="6"/>
  <c r="X478" i="6"/>
  <c r="X486" i="6"/>
  <c r="X496" i="6"/>
  <c r="X536" i="6"/>
  <c r="X19" i="6"/>
  <c r="X51" i="6"/>
  <c r="X83" i="6"/>
  <c r="X107" i="6"/>
  <c r="X147" i="6"/>
  <c r="X171" i="6"/>
  <c r="X203" i="6"/>
  <c r="X227" i="6"/>
  <c r="X259" i="6"/>
  <c r="X497" i="6"/>
  <c r="X505" i="6"/>
  <c r="X513" i="6"/>
  <c r="X521" i="6"/>
  <c r="X529" i="6"/>
  <c r="X537" i="6"/>
  <c r="X545" i="6"/>
  <c r="X4" i="6"/>
  <c r="X12" i="6"/>
  <c r="X20" i="6"/>
  <c r="X28" i="6"/>
  <c r="X36" i="6"/>
  <c r="X44" i="6"/>
  <c r="X52" i="6"/>
  <c r="X60" i="6"/>
  <c r="X68" i="6"/>
  <c r="X76" i="6"/>
  <c r="X84" i="6"/>
  <c r="X92" i="6"/>
  <c r="X100" i="6"/>
  <c r="X108" i="6"/>
  <c r="X116" i="6"/>
  <c r="X124" i="6"/>
  <c r="X132" i="6"/>
  <c r="X140" i="6"/>
  <c r="X148" i="6"/>
  <c r="X156" i="6"/>
  <c r="X164" i="6"/>
  <c r="X172" i="6"/>
  <c r="X180" i="6"/>
  <c r="X188" i="6"/>
  <c r="X196" i="6"/>
  <c r="X204" i="6"/>
  <c r="X212" i="6"/>
  <c r="X220" i="6"/>
  <c r="X228" i="6"/>
  <c r="X236" i="6"/>
  <c r="X244" i="6"/>
  <c r="X252" i="6"/>
  <c r="X260" i="6"/>
  <c r="X268" i="6"/>
  <c r="X276" i="6"/>
  <c r="X284" i="6"/>
  <c r="X292" i="6"/>
  <c r="X300" i="6"/>
  <c r="X308" i="6"/>
  <c r="X316" i="6"/>
  <c r="X344" i="6"/>
  <c r="X352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8" i="6"/>
  <c r="X506" i="6"/>
  <c r="X514" i="6"/>
  <c r="X522" i="6"/>
  <c r="X530" i="6"/>
  <c r="X538" i="6"/>
  <c r="X546" i="6"/>
  <c r="X5" i="6"/>
  <c r="X13" i="6"/>
  <c r="X21" i="6"/>
  <c r="X29" i="6"/>
  <c r="X37" i="6"/>
  <c r="X45" i="6"/>
  <c r="X499" i="6"/>
  <c r="X507" i="6"/>
  <c r="X515" i="6"/>
  <c r="X523" i="6"/>
  <c r="X531" i="6"/>
  <c r="X539" i="6"/>
  <c r="X547" i="6"/>
  <c r="X6" i="6"/>
  <c r="X14" i="6"/>
  <c r="X22" i="6"/>
  <c r="X30" i="6"/>
  <c r="X38" i="6"/>
  <c r="X46" i="6"/>
  <c r="X54" i="6"/>
  <c r="X62" i="6"/>
  <c r="X70" i="6"/>
  <c r="X78" i="6"/>
  <c r="X86" i="6"/>
  <c r="X94" i="6"/>
  <c r="X102" i="6"/>
  <c r="X110" i="6"/>
  <c r="X118" i="6"/>
  <c r="X126" i="6"/>
  <c r="X134" i="6"/>
  <c r="X142" i="6"/>
  <c r="X150" i="6"/>
  <c r="X158" i="6"/>
  <c r="X166" i="6"/>
  <c r="X174" i="6"/>
  <c r="X182" i="6"/>
  <c r="X190" i="6"/>
  <c r="X198" i="6"/>
  <c r="X206" i="6"/>
  <c r="X214" i="6"/>
  <c r="X222" i="6"/>
  <c r="X230" i="6"/>
  <c r="X238" i="6"/>
  <c r="X246" i="6"/>
  <c r="X254" i="6"/>
  <c r="X262" i="6"/>
  <c r="X270" i="6"/>
  <c r="X278" i="6"/>
  <c r="X286" i="6"/>
  <c r="X294" i="6"/>
  <c r="X302" i="6"/>
  <c r="X310" i="6"/>
  <c r="X318" i="6"/>
  <c r="X346" i="6"/>
  <c r="X354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500" i="6"/>
  <c r="X508" i="6"/>
  <c r="X516" i="6"/>
  <c r="X524" i="6"/>
  <c r="X532" i="6"/>
  <c r="X540" i="6"/>
  <c r="X548" i="6"/>
  <c r="X7" i="6"/>
  <c r="X15" i="6"/>
  <c r="X23" i="6"/>
  <c r="X31" i="6"/>
  <c r="X39" i="6"/>
  <c r="X47" i="6"/>
  <c r="X55" i="6"/>
  <c r="X63" i="6"/>
  <c r="X71" i="6"/>
  <c r="X79" i="6"/>
  <c r="X87" i="6"/>
  <c r="X95" i="6"/>
  <c r="X53" i="6"/>
  <c r="X109" i="6"/>
  <c r="X141" i="6"/>
  <c r="X173" i="6"/>
  <c r="X205" i="6"/>
  <c r="X237" i="6"/>
  <c r="X269" i="6"/>
  <c r="X295" i="6"/>
  <c r="X317" i="6"/>
  <c r="X359" i="6"/>
  <c r="X379" i="6"/>
  <c r="X401" i="6"/>
  <c r="X423" i="6"/>
  <c r="X443" i="6"/>
  <c r="X465" i="6"/>
  <c r="X487" i="6"/>
  <c r="X189" i="6"/>
  <c r="X191" i="6"/>
  <c r="X479" i="6"/>
  <c r="X61" i="6"/>
  <c r="X111" i="6"/>
  <c r="X143" i="6"/>
  <c r="X175" i="6"/>
  <c r="X207" i="6"/>
  <c r="X239" i="6"/>
  <c r="X271" i="6"/>
  <c r="X299" i="6"/>
  <c r="X319" i="6"/>
  <c r="X361" i="6"/>
  <c r="X383" i="6"/>
  <c r="X403" i="6"/>
  <c r="X425" i="6"/>
  <c r="X447" i="6"/>
  <c r="X467" i="6"/>
  <c r="X489" i="6"/>
  <c r="X119" i="6"/>
  <c r="X183" i="6"/>
  <c r="X247" i="6"/>
  <c r="X303" i="6"/>
  <c r="X367" i="6"/>
  <c r="X387" i="6"/>
  <c r="X431" i="6"/>
  <c r="X473" i="6"/>
  <c r="X125" i="6"/>
  <c r="X221" i="6"/>
  <c r="X285" i="6"/>
  <c r="X347" i="6"/>
  <c r="X411" i="6"/>
  <c r="X475" i="6"/>
  <c r="X127" i="6"/>
  <c r="X223" i="6"/>
  <c r="X287" i="6"/>
  <c r="X351" i="6"/>
  <c r="X435" i="6"/>
  <c r="X69" i="6"/>
  <c r="X117" i="6"/>
  <c r="X149" i="6"/>
  <c r="X181" i="6"/>
  <c r="X213" i="6"/>
  <c r="X245" i="6"/>
  <c r="X277" i="6"/>
  <c r="X301" i="6"/>
  <c r="X343" i="6"/>
  <c r="X363" i="6"/>
  <c r="X385" i="6"/>
  <c r="X407" i="6"/>
  <c r="X427" i="6"/>
  <c r="X449" i="6"/>
  <c r="X471" i="6"/>
  <c r="X491" i="6"/>
  <c r="X77" i="6"/>
  <c r="X151" i="6"/>
  <c r="X215" i="6"/>
  <c r="X279" i="6"/>
  <c r="X345" i="6"/>
  <c r="X409" i="6"/>
  <c r="X451" i="6"/>
  <c r="X85" i="6"/>
  <c r="X253" i="6"/>
  <c r="X307" i="6"/>
  <c r="X369" i="6"/>
  <c r="X433" i="6"/>
  <c r="X93" i="6"/>
  <c r="X255" i="6"/>
  <c r="X309" i="6"/>
  <c r="X371" i="6"/>
  <c r="X457" i="6"/>
  <c r="X101" i="6"/>
  <c r="X133" i="6"/>
  <c r="X165" i="6"/>
  <c r="X197" i="6"/>
  <c r="X229" i="6"/>
  <c r="X261" i="6"/>
  <c r="X291" i="6"/>
  <c r="X311" i="6"/>
  <c r="X353" i="6"/>
  <c r="X375" i="6"/>
  <c r="X395" i="6"/>
  <c r="X417" i="6"/>
  <c r="X439" i="6"/>
  <c r="X459" i="6"/>
  <c r="X481" i="6"/>
  <c r="X103" i="6"/>
  <c r="X135" i="6"/>
  <c r="X167" i="6"/>
  <c r="X199" i="6"/>
  <c r="X231" i="6"/>
  <c r="X263" i="6"/>
  <c r="X293" i="6"/>
  <c r="X315" i="6"/>
  <c r="X355" i="6"/>
  <c r="X377" i="6"/>
  <c r="X399" i="6"/>
  <c r="X419" i="6"/>
  <c r="X441" i="6"/>
  <c r="X463" i="6"/>
  <c r="X483" i="6"/>
  <c r="X157" i="6"/>
  <c r="X391" i="6"/>
  <c r="X455" i="6"/>
  <c r="X159" i="6"/>
  <c r="X393" i="6"/>
  <c r="X415" i="6"/>
</calcChain>
</file>

<file path=xl/comments1.xml><?xml version="1.0" encoding="utf-8"?>
<comments xmlns="http://schemas.openxmlformats.org/spreadsheetml/2006/main">
  <authors>
    <author>Wacky</author>
  </authors>
  <commentLis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勇者
1 战士
2 射手
3 坦克
4 刺客
5 法师
6 辅助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Wacky wu</author>
    <author>Wacky</author>
  </authors>
  <commentLis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1 敌人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ad
ap
arm
mr
hp：最大生命值
cur_hp：当前生命值
losehp：已损失生命值
lv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使用技能后出发后续状态
0 被动
1 普通攻击
其他 技能id
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
被动：0</t>
        </r>
        <r>
          <rPr>
            <sz val="9"/>
            <color indexed="81"/>
            <rFont val="宋体"/>
            <family val="3"/>
            <charset val="134"/>
          </rPr>
          <t xml:space="preserve">
普攻法球 1
症状触发 2
弱化触发 3
控制触发 4
主动技能 5
受伤触发 6
组合技能 7
必杀技 8
行动触发 9
暴击触发 10
吟唱 11
组合技 12
被暴击时 13
冷却时 14
所有冷却 15
被动吟唱——组合技前释放 12
(攻击触发+skillbenefit=0 则被任何行动触发；+skillbenefit=id，则施放id技能时将buff触发到全局。
超必杀 15</t>
        </r>
      </text>
    </comment>
    <comment ref="N2" authorId="1" shapeId="0">
      <text>
        <r>
          <rPr>
            <b/>
            <sz val="9"/>
            <color indexed="81"/>
            <rFont val="宋体"/>
            <family val="3"/>
            <charset val="134"/>
          </rPr>
          <t>Wacky:
0 无
1 火
2 冰
3 光
4 暗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物理
1 法术
2 真实
3 治疗</t>
        </r>
      </text>
    </comment>
    <comment ref="W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被动
1 主动
2 必杀
3 触发
4 吟唱</t>
        </r>
      </text>
    </comment>
    <comment ref="X2" authorId="1" shapeId="0">
      <text>
        <r>
          <rPr>
            <b/>
            <sz val="9"/>
            <color indexed="81"/>
            <rFont val="宋体"/>
            <family val="3"/>
            <charset val="134"/>
          </rPr>
          <t>Wacky:</t>
        </r>
        <r>
          <rPr>
            <sz val="9"/>
            <color indexed="81"/>
            <rFont val="宋体"/>
            <family val="3"/>
            <charset val="134"/>
          </rPr>
          <t xml:space="preserve">
1 不显示图标技能</t>
        </r>
      </text>
    </comment>
    <comment ref="AA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不传入技能等级
1 传入技能等级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敌人
1 队伍
2 个人</t>
        </r>
      </text>
    </comment>
    <comment ref="AG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敌人
1 队伍
2 个人</t>
        </r>
      </text>
    </comment>
  </commentList>
</comments>
</file>

<file path=xl/comments3.xml><?xml version="1.0" encoding="utf-8"?>
<comments xmlns="http://schemas.openxmlformats.org/spreadsheetml/2006/main">
  <authors>
    <author>Wacky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勇者
1 战士
2 射手
3 坦克
4 刺客
5 法师
6 辅助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<sst xmlns="http://schemas.openxmlformats.org/spreadsheetml/2006/main" count="13255" uniqueCount="9279">
  <si>
    <t>物穿</t>
    <phoneticPr fontId="1" type="noConversion"/>
  </si>
  <si>
    <t>法穿</t>
    <phoneticPr fontId="1" type="noConversion"/>
  </si>
  <si>
    <t>多重施法</t>
    <phoneticPr fontId="1" type="noConversion"/>
  </si>
  <si>
    <t>name</t>
    <phoneticPr fontId="1" type="noConversion"/>
  </si>
  <si>
    <t>name</t>
    <phoneticPr fontId="1" type="noConversion"/>
  </si>
  <si>
    <t>count</t>
    <phoneticPr fontId="1" type="noConversion"/>
  </si>
  <si>
    <t>持续时间</t>
    <phoneticPr fontId="1" type="noConversion"/>
  </si>
  <si>
    <t>层数</t>
    <phoneticPr fontId="1" type="noConversion"/>
  </si>
  <si>
    <t>战斗力+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</si>
  <si>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</si>
  <si>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</si>
  <si>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</si>
  <si>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</si>
  <si>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暴击+</t>
    <phoneticPr fontId="1" type="noConversion"/>
  </si>
  <si>
    <t>暴伤+</t>
    <phoneticPr fontId="1" type="noConversion"/>
  </si>
  <si>
    <t>速度+</t>
    <phoneticPr fontId="1" type="noConversion"/>
  </si>
  <si>
    <t>治疗效果+</t>
    <phoneticPr fontId="1" type="noConversion"/>
  </si>
  <si>
    <t>附加状态</t>
    <phoneticPr fontId="1" type="noConversion"/>
  </si>
  <si>
    <t>附加状态几率</t>
    <phoneticPr fontId="1" type="noConversion"/>
  </si>
  <si>
    <t>生命偷取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</si>
  <si>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</si>
  <si>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</si>
  <si>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</si>
  <si>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</si>
  <si>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adi</t>
    <phoneticPr fontId="1" type="noConversion"/>
  </si>
  <si>
    <t>api</t>
    <phoneticPr fontId="1" type="noConversion"/>
  </si>
  <si>
    <t>rating</t>
    <phoneticPr fontId="1" type="noConversion"/>
  </si>
  <si>
    <t>speed</t>
    <phoneticPr fontId="1" type="noConversion"/>
  </si>
  <si>
    <t>steal</t>
    <phoneticPr fontId="1" type="noConversion"/>
  </si>
  <si>
    <t>等级</t>
    <phoneticPr fontId="1" type="noConversion"/>
  </si>
  <si>
    <t>ratingdamage</t>
    <phoneticPr fontId="1" type="noConversion"/>
  </si>
  <si>
    <t>普通攻击</t>
    <phoneticPr fontId="1" type="noConversion"/>
  </si>
  <si>
    <t>duochong</t>
    <phoneticPr fontId="1" type="noConversion"/>
  </si>
  <si>
    <t>状态目标</t>
    <phoneticPr fontId="1" type="noConversion"/>
  </si>
  <si>
    <t>zhanli_per</t>
    <phoneticPr fontId="1" type="noConversion"/>
  </si>
  <si>
    <t>迅捷</t>
    <phoneticPr fontId="1" type="noConversion"/>
  </si>
  <si>
    <t>heal</t>
    <phoneticPr fontId="1" type="noConversion"/>
  </si>
  <si>
    <t>damaup</t>
    <phoneticPr fontId="1" type="noConversion"/>
  </si>
  <si>
    <t>出血</t>
  </si>
  <si>
    <t>技能点</t>
    <phoneticPr fontId="1" type="noConversion"/>
  </si>
  <si>
    <t>sp</t>
    <phoneticPr fontId="1" type="noConversion"/>
  </si>
  <si>
    <t>白色</t>
    <phoneticPr fontId="1" type="noConversion"/>
  </si>
  <si>
    <t>绿色</t>
    <phoneticPr fontId="1" type="noConversion"/>
  </si>
  <si>
    <t>蓝色</t>
    <phoneticPr fontId="1" type="noConversion"/>
  </si>
  <si>
    <t>紫色</t>
    <phoneticPr fontId="1" type="noConversion"/>
  </si>
  <si>
    <t>橙色</t>
    <phoneticPr fontId="1" type="noConversion"/>
  </si>
  <si>
    <t>解锁对应序列</t>
    <phoneticPr fontId="1" type="noConversion"/>
  </si>
  <si>
    <t>备注</t>
    <phoneticPr fontId="1" type="noConversion"/>
  </si>
  <si>
    <t>condition</t>
    <phoneticPr fontId="1" type="noConversion"/>
  </si>
  <si>
    <t>con1</t>
    <phoneticPr fontId="1" type="noConversion"/>
  </si>
  <si>
    <t>con2</t>
    <phoneticPr fontId="1" type="noConversion"/>
  </si>
  <si>
    <t>回合数</t>
    <phoneticPr fontId="1" type="noConversion"/>
  </si>
  <si>
    <t>大于</t>
    <phoneticPr fontId="1" type="noConversion"/>
  </si>
  <si>
    <t>小于</t>
    <phoneticPr fontId="1" type="noConversion"/>
  </si>
  <si>
    <t>等于</t>
    <phoneticPr fontId="1" type="noConversion"/>
  </si>
  <si>
    <t>回合参数</t>
    <phoneticPr fontId="1" type="noConversion"/>
  </si>
  <si>
    <t>敌人血量</t>
    <phoneticPr fontId="1" type="noConversion"/>
  </si>
  <si>
    <t>具体血量</t>
    <phoneticPr fontId="1" type="noConversion"/>
  </si>
  <si>
    <t>百分之80</t>
    <phoneticPr fontId="1" type="noConversion"/>
  </si>
  <si>
    <t>第二回合</t>
    <phoneticPr fontId="1" type="noConversion"/>
  </si>
  <si>
    <t>自己血量</t>
    <phoneticPr fontId="1" type="noConversion"/>
  </si>
  <si>
    <t>状态</t>
    <phoneticPr fontId="1" type="noConversion"/>
  </si>
  <si>
    <t>状态名称</t>
    <phoneticPr fontId="1" type="noConversion"/>
  </si>
  <si>
    <t>状态层数</t>
    <phoneticPr fontId="1" type="noConversion"/>
  </si>
  <si>
    <t>第7个状态附加&gt;=3层</t>
    <phoneticPr fontId="1" type="noConversion"/>
  </si>
  <si>
    <t>buff:</t>
    <phoneticPr fontId="1" type="noConversion"/>
  </si>
  <si>
    <t>满级500左右</t>
    <phoneticPr fontId="1" type="noConversion"/>
  </si>
  <si>
    <t>ad,ap,arm,mr,speed,暴击</t>
    <phoneticPr fontId="1" type="noConversion"/>
  </si>
  <si>
    <t>主动技能</t>
    <phoneticPr fontId="1" type="noConversion"/>
  </si>
  <si>
    <t>1+2被动</t>
    <phoneticPr fontId="1" type="noConversion"/>
  </si>
  <si>
    <t>主动技能</t>
    <phoneticPr fontId="1" type="noConversion"/>
  </si>
  <si>
    <t>1+1</t>
    <phoneticPr fontId="1" type="noConversion"/>
  </si>
  <si>
    <t>必杀技</t>
    <phoneticPr fontId="1" type="noConversion"/>
  </si>
  <si>
    <t>1+1</t>
    <phoneticPr fontId="1" type="noConversion"/>
  </si>
  <si>
    <t>8~10</t>
    <phoneticPr fontId="1" type="noConversion"/>
  </si>
  <si>
    <t>特效</t>
    <phoneticPr fontId="1" type="noConversion"/>
  </si>
  <si>
    <t>主动技能</t>
    <phoneticPr fontId="1" type="noConversion"/>
  </si>
  <si>
    <t>2*2*2</t>
    <phoneticPr fontId="1" type="noConversion"/>
  </si>
  <si>
    <t>特效</t>
    <phoneticPr fontId="1" type="noConversion"/>
  </si>
  <si>
    <t>2*3</t>
    <phoneticPr fontId="1" type="noConversion"/>
  </si>
  <si>
    <t>日蚀</t>
  </si>
  <si>
    <t>破晓之盾</t>
  </si>
  <si>
    <t>特殊标识</t>
    <phoneticPr fontId="1" type="noConversion"/>
  </si>
  <si>
    <t>无尽怒火</t>
    <phoneticPr fontId="1" type="noConversion"/>
  </si>
  <si>
    <t/>
  </si>
  <si>
    <t>jianshang_per</t>
    <phoneticPr fontId="1" type="noConversion"/>
  </si>
  <si>
    <t>欢乐时光</t>
    <phoneticPr fontId="1" type="noConversion"/>
  </si>
  <si>
    <t>img</t>
    <phoneticPr fontId="1" type="noConversion"/>
  </si>
  <si>
    <t>欢乐时光被附加时有(function1)几率提升10倍获得状态(function3)，但是下回合玩家强制进行1次(function2)</t>
    <phoneticPr fontId="1" type="noConversion"/>
  </si>
  <si>
    <t>描述</t>
    <phoneticPr fontId="1" type="noConversion"/>
  </si>
  <si>
    <t>id</t>
    <phoneticPr fontId="1" type="noConversion"/>
  </si>
  <si>
    <t>复仇</t>
    <phoneticPr fontId="1" type="noConversion"/>
  </si>
  <si>
    <t>1.0*a.ad+0.2*a.ap</t>
    <phoneticPr fontId="1" type="noConversion"/>
  </si>
  <si>
    <t>arm_per</t>
    <phoneticPr fontId="1" type="noConversion"/>
  </si>
  <si>
    <t>mr_per</t>
    <phoneticPr fontId="1" type="noConversion"/>
  </si>
  <si>
    <t>ap_per</t>
    <phoneticPr fontId="1" type="noConversion"/>
  </si>
  <si>
    <t>ad_per</t>
    <phoneticPr fontId="1" type="noConversion"/>
  </si>
  <si>
    <t>命令光环</t>
  </si>
  <si>
    <t>专注光环</t>
  </si>
  <si>
    <t>强击光环</t>
  </si>
  <si>
    <t>吸血光环</t>
  </si>
  <si>
    <t>剧毒爪击</t>
  </si>
  <si>
    <t>剧毒撕咬</t>
  </si>
  <si>
    <t>剧毒咆哮</t>
  </si>
  <si>
    <t>40%几率造成(105+45*lv)%AP的魔法伤害</t>
  </si>
  <si>
    <t>power</t>
    <phoneticPr fontId="1" type="noConversion"/>
  </si>
  <si>
    <t>Hit Physical</t>
  </si>
  <si>
    <t>Shoot Normal</t>
  </si>
  <si>
    <t>Hit Ice</t>
  </si>
  <si>
    <t>Fire One 1</t>
  </si>
  <si>
    <t>Slash Physical</t>
  </si>
  <si>
    <t>Claw Physical</t>
  </si>
  <si>
    <t>Hit Fire</t>
  </si>
  <si>
    <t>Slash Effect</t>
  </si>
  <si>
    <t>Pierce Ice</t>
  </si>
  <si>
    <t>Hit Effect</t>
  </si>
  <si>
    <t>Ball of Light</t>
  </si>
  <si>
    <t>Heal One 1</t>
  </si>
  <si>
    <t>Hit Thunder</t>
  </si>
  <si>
    <t>Claw Effect</t>
  </si>
  <si>
    <t>无情连打</t>
    <phoneticPr fontId="1" type="noConversion"/>
  </si>
  <si>
    <t>function</t>
    <phoneticPr fontId="1" type="noConversion"/>
  </si>
  <si>
    <t>gold</t>
    <phoneticPr fontId="1" type="noConversion"/>
  </si>
  <si>
    <t>gold+goldlv*lv</t>
    <phoneticPr fontId="1" type="noConversion"/>
  </si>
  <si>
    <t>狂热</t>
    <phoneticPr fontId="1" type="noConversion"/>
  </si>
  <si>
    <t>Shout</t>
  </si>
  <si>
    <t>CCBI_SKILL1702</t>
  </si>
  <si>
    <t>handbook</t>
    <phoneticPr fontId="1" type="noConversion"/>
  </si>
  <si>
    <t>秘术强化</t>
    <phoneticPr fontId="1" type="noConversion"/>
  </si>
  <si>
    <t>减伤</t>
    <phoneticPr fontId="1" type="noConversion"/>
  </si>
  <si>
    <t>固定回合数</t>
    <phoneticPr fontId="1" type="noConversion"/>
  </si>
  <si>
    <t>A</t>
    <phoneticPr fontId="1" type="noConversion"/>
  </si>
  <si>
    <t>B</t>
    <phoneticPr fontId="1" type="noConversion"/>
  </si>
  <si>
    <t>1+2N回合释放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</si>
  <si>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</si>
  <si>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</si>
  <si>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</si>
  <si>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</si>
  <si>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</si>
  <si>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</si>
  <si>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</si>
  <si>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</si>
  <si>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每次法术攻击提高[30+10*lv]的攻击力(fuction1)，每次物理攻击提高[30+10*lv](fuction2)的法术强度</t>
    <phoneticPr fontId="1" type="noConversion"/>
  </si>
  <si>
    <t>品质</t>
    <phoneticPr fontId="1" type="noConversion"/>
  </si>
  <si>
    <t>最强男军人</t>
    <phoneticPr fontId="1" type="noConversion"/>
  </si>
  <si>
    <t>最强女军人</t>
    <phoneticPr fontId="1" type="noConversion"/>
  </si>
  <si>
    <t>男警察</t>
    <phoneticPr fontId="1" type="noConversion"/>
  </si>
  <si>
    <t>女警察</t>
    <phoneticPr fontId="1" type="noConversion"/>
  </si>
  <si>
    <t>男战士</t>
    <phoneticPr fontId="1" type="noConversion"/>
  </si>
  <si>
    <t>女战士</t>
    <phoneticPr fontId="1" type="noConversion"/>
  </si>
  <si>
    <t>皇后</t>
    <phoneticPr fontId="1" type="noConversion"/>
  </si>
  <si>
    <t>国王</t>
    <phoneticPr fontId="1" type="noConversion"/>
  </si>
  <si>
    <t>黄精灵</t>
    <phoneticPr fontId="1" type="noConversion"/>
  </si>
  <si>
    <t>红精灵</t>
    <phoneticPr fontId="1" type="noConversion"/>
  </si>
  <si>
    <t>吱吱</t>
    <phoneticPr fontId="1" type="noConversion"/>
  </si>
  <si>
    <t>咩咩</t>
    <phoneticPr fontId="2" type="noConversion"/>
  </si>
  <si>
    <t>火法</t>
    <phoneticPr fontId="1" type="noConversion"/>
  </si>
  <si>
    <t>奥法</t>
    <phoneticPr fontId="1" type="noConversion"/>
  </si>
  <si>
    <t>魔化老太婆</t>
    <phoneticPr fontId="1" type="noConversion"/>
  </si>
  <si>
    <t>阿拉伯</t>
    <phoneticPr fontId="1" type="noConversion"/>
  </si>
  <si>
    <t>老太婆</t>
    <phoneticPr fontId="1" type="noConversion"/>
  </si>
  <si>
    <t>绿发游侠</t>
    <phoneticPr fontId="1" type="noConversion"/>
  </si>
  <si>
    <t>黄发游侠</t>
    <phoneticPr fontId="1" type="noConversion"/>
  </si>
  <si>
    <t>黑皮少女</t>
    <phoneticPr fontId="1" type="noConversion"/>
  </si>
  <si>
    <t>黑皮少年</t>
    <phoneticPr fontId="1" type="noConversion"/>
  </si>
  <si>
    <t>汪汪</t>
    <phoneticPr fontId="1" type="noConversion"/>
  </si>
  <si>
    <t>喵喵</t>
    <phoneticPr fontId="1" type="noConversion"/>
  </si>
  <si>
    <t>武道家</t>
    <phoneticPr fontId="1" type="noConversion"/>
  </si>
  <si>
    <t>女武道家</t>
    <phoneticPr fontId="1" type="noConversion"/>
  </si>
  <si>
    <t>头盔人</t>
    <phoneticPr fontId="1" type="noConversion"/>
  </si>
  <si>
    <t>钢盔人</t>
    <phoneticPr fontId="1" type="noConversion"/>
  </si>
  <si>
    <t>哥布林</t>
    <phoneticPr fontId="1" type="noConversion"/>
  </si>
  <si>
    <t>牛头怪</t>
    <phoneticPr fontId="1" type="noConversion"/>
  </si>
  <si>
    <t>火焰冲击</t>
  </si>
  <si>
    <t>火焰飞弹</t>
  </si>
  <si>
    <t>提高[20+10*lv]点法术强度</t>
    <phoneticPr fontId="1" type="noConversion"/>
  </si>
  <si>
    <t>(100+1*lv)/100*a.ap</t>
  </si>
  <si>
    <t>(100+2.5*lv)/100*a.ap</t>
  </si>
  <si>
    <t>(100+5*lv)/100*a.ap</t>
  </si>
  <si>
    <t>(60+2*lv)/100*a.ap</t>
  </si>
  <si>
    <t>(80+2*lv)/100*a.ap</t>
  </si>
  <si>
    <t>(80+4*lv)/100*a.ap</t>
  </si>
  <si>
    <t>火焰射击</t>
  </si>
  <si>
    <t>提高(40+12*lv)点护甲和魔抗</t>
    <phoneticPr fontId="1" type="noConversion"/>
  </si>
  <si>
    <t>战斗力基数</t>
    <phoneticPr fontId="1" type="noConversion"/>
  </si>
  <si>
    <t>小英勇意志</t>
    <phoneticPr fontId="1" type="noConversion"/>
  </si>
  <si>
    <t>提高法术穿透数值相当于[0.5+0.3*lv]%的攻击力，提高护甲穿透数值相当于[0.5+0.3*lv]%的法术强度。</t>
    <phoneticPr fontId="1" type="noConversion"/>
  </si>
  <si>
    <t>(0.5+0.3*lv)/100</t>
    <phoneticPr fontId="1" type="noConversion"/>
  </si>
  <si>
    <t>无情乱打</t>
    <phoneticPr fontId="1" type="noConversion"/>
  </si>
  <si>
    <t>80-0.5*lv</t>
    <phoneticPr fontId="1" type="noConversion"/>
  </si>
  <si>
    <t>无情怒火</t>
    <phoneticPr fontId="1" type="noConversion"/>
  </si>
  <si>
    <t>敌人受到【虚弱】，【重伤】，【击晕】时15%几率获得【死亡标记】，【死亡标记】使下一次伤害提(3+3*lv)%</t>
    <phoneticPr fontId="1" type="noConversion"/>
  </si>
  <si>
    <t>孙悟空碎片</t>
  </si>
  <si>
    <t>战略性技能</t>
    <phoneticPr fontId="1" type="noConversion"/>
  </si>
  <si>
    <t>橙色</t>
    <phoneticPr fontId="1" type="noConversion"/>
  </si>
  <si>
    <t>紫色</t>
    <phoneticPr fontId="1" type="noConversion"/>
  </si>
  <si>
    <t>治疗</t>
    <phoneticPr fontId="1" type="noConversion"/>
  </si>
  <si>
    <t>能力分布</t>
    <phoneticPr fontId="1" type="noConversion"/>
  </si>
  <si>
    <t>zhanli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</si>
  <si>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</si>
  <si>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</si>
  <si>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</si>
  <si>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</si>
  <si>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adi</t>
    <phoneticPr fontId="1" type="noConversion"/>
  </si>
  <si>
    <t>api</t>
    <phoneticPr fontId="1" type="noConversion"/>
  </si>
  <si>
    <t>rating</t>
    <phoneticPr fontId="1" type="noConversion"/>
  </si>
  <si>
    <t>speed</t>
    <phoneticPr fontId="1" type="noConversion"/>
  </si>
  <si>
    <t>steal</t>
    <phoneticPr fontId="1" type="noConversion"/>
  </si>
  <si>
    <t>heal</t>
    <phoneticPr fontId="1" type="noConversion"/>
  </si>
  <si>
    <t>技能评估</t>
    <phoneticPr fontId="1" type="noConversion"/>
  </si>
  <si>
    <t>被动技能</t>
    <phoneticPr fontId="1" type="noConversion"/>
  </si>
  <si>
    <t>红色</t>
    <phoneticPr fontId="1" type="noConversion"/>
  </si>
  <si>
    <t>天气手</t>
    <phoneticPr fontId="1" type="noConversion"/>
  </si>
  <si>
    <t>关于如何组队的配置</t>
    <phoneticPr fontId="1" type="noConversion"/>
  </si>
  <si>
    <t>在队伍中加上hot，物理提升or魔法提升，免疫死亡</t>
    <phoneticPr fontId="1" type="noConversion"/>
  </si>
  <si>
    <t>强化手</t>
    <phoneticPr fontId="1" type="noConversion"/>
  </si>
  <si>
    <t>全攻击力and速度and 属性强化</t>
    <phoneticPr fontId="1" type="noConversion"/>
  </si>
  <si>
    <t>1.5~3倍伤害提升</t>
    <phoneticPr fontId="1" type="noConversion"/>
  </si>
  <si>
    <t>2~3倍伤害提升</t>
    <phoneticPr fontId="1" type="noConversion"/>
  </si>
  <si>
    <t>削弱手</t>
    <phoneticPr fontId="1" type="noConversion"/>
  </si>
  <si>
    <t>对敌方防御和减伤进行削弱</t>
    <phoneticPr fontId="1" type="noConversion"/>
  </si>
  <si>
    <t>dot手</t>
    <phoneticPr fontId="1" type="noConversion"/>
  </si>
  <si>
    <t>对敌方上dot</t>
    <phoneticPr fontId="1" type="noConversion"/>
  </si>
  <si>
    <t>吟唱</t>
    <phoneticPr fontId="1" type="noConversion"/>
  </si>
  <si>
    <t>将某类内容转化为永久</t>
    <phoneticPr fontId="1" type="noConversion"/>
  </si>
  <si>
    <t>解锁技能</t>
    <phoneticPr fontId="1" type="noConversion"/>
  </si>
  <si>
    <t>技能名</t>
    <phoneticPr fontId="1" type="noConversion"/>
  </si>
  <si>
    <t>特殊状态</t>
    <phoneticPr fontId="1" type="noConversion"/>
  </si>
  <si>
    <t>技能属性</t>
    <phoneticPr fontId="1" type="noConversion"/>
  </si>
  <si>
    <t>怒气</t>
    <phoneticPr fontId="1" type="noConversion"/>
  </si>
  <si>
    <t>能量</t>
    <phoneticPr fontId="1" type="noConversion"/>
  </si>
  <si>
    <t>法力</t>
    <phoneticPr fontId="1" type="noConversion"/>
  </si>
  <si>
    <t>伤害提升A类增伤</t>
    <phoneticPr fontId="1" type="noConversion"/>
  </si>
  <si>
    <t>攻击百分比</t>
    <phoneticPr fontId="1" type="noConversion"/>
  </si>
  <si>
    <t>法强百分比</t>
    <phoneticPr fontId="1" type="noConversion"/>
  </si>
  <si>
    <t>speed_per</t>
    <phoneticPr fontId="1" type="noConversion"/>
  </si>
  <si>
    <t>速度百分比</t>
    <phoneticPr fontId="1" type="noConversion"/>
  </si>
  <si>
    <t>pvpjs_per</t>
    <phoneticPr fontId="1" type="noConversion"/>
  </si>
  <si>
    <t>pvp减伤</t>
    <phoneticPr fontId="1" type="noConversion"/>
  </si>
  <si>
    <t>maxhp</t>
    <phoneticPr fontId="1" type="noConversion"/>
  </si>
  <si>
    <t>skilldama</t>
    <phoneticPr fontId="1" type="noConversion"/>
  </si>
  <si>
    <t>技能名</t>
    <phoneticPr fontId="1" type="noConversion"/>
  </si>
  <si>
    <t>战力百分比</t>
    <phoneticPr fontId="1" type="noConversion"/>
  </si>
  <si>
    <t>护甲百分比</t>
    <phoneticPr fontId="1" type="noConversion"/>
  </si>
  <si>
    <t>魔抗百分比</t>
    <phoneticPr fontId="1" type="noConversion"/>
  </si>
  <si>
    <t>火属性强化</t>
    <phoneticPr fontId="1" type="noConversion"/>
  </si>
  <si>
    <t>fireup</t>
    <phoneticPr fontId="1" type="noConversion"/>
  </si>
  <si>
    <t>冰属性强化</t>
    <phoneticPr fontId="1" type="noConversion"/>
  </si>
  <si>
    <t>iceup</t>
    <phoneticPr fontId="1" type="noConversion"/>
  </si>
  <si>
    <t>光属性强化</t>
    <phoneticPr fontId="1" type="noConversion"/>
  </si>
  <si>
    <t>lightup</t>
    <phoneticPr fontId="1" type="noConversion"/>
  </si>
  <si>
    <t>暗属性强化</t>
    <phoneticPr fontId="1" type="noConversion"/>
  </si>
  <si>
    <t>darkup</t>
    <phoneticPr fontId="1" type="noConversion"/>
  </si>
  <si>
    <t>全属性强化</t>
    <phoneticPr fontId="1" type="noConversion"/>
  </si>
  <si>
    <t>elementup</t>
    <phoneticPr fontId="1" type="noConversion"/>
  </si>
  <si>
    <t>refire</t>
    <phoneticPr fontId="1" type="noConversion"/>
  </si>
  <si>
    <t>reice</t>
    <phoneticPr fontId="1" type="noConversion"/>
  </si>
  <si>
    <t>relight</t>
    <phoneticPr fontId="1" type="noConversion"/>
  </si>
  <si>
    <t>redark</t>
    <phoneticPr fontId="1" type="noConversion"/>
  </si>
  <si>
    <t>reelement</t>
    <phoneticPr fontId="1" type="noConversion"/>
  </si>
  <si>
    <t>攻击附加伤害</t>
    <phoneticPr fontId="1" type="noConversion"/>
  </si>
  <si>
    <t>被攻击造成伤害</t>
  </si>
  <si>
    <t>hurt_damage</t>
    <phoneticPr fontId="1" type="noConversion"/>
  </si>
  <si>
    <t>atk_damage</t>
    <phoneticPr fontId="1" type="noConversion"/>
  </si>
  <si>
    <t>hurt_heal</t>
    <phoneticPr fontId="1" type="noConversion"/>
  </si>
  <si>
    <t>暴击附加伤害</t>
    <phoneticPr fontId="1" type="noConversion"/>
  </si>
  <si>
    <t>rating_damage</t>
    <phoneticPr fontId="1" type="noConversion"/>
  </si>
  <si>
    <t>回合回复</t>
    <phoneticPr fontId="1" type="noConversion"/>
  </si>
  <si>
    <t>turn_heal</t>
    <phoneticPr fontId="1" type="noConversion"/>
  </si>
  <si>
    <t>回合伤害</t>
    <phoneticPr fontId="1" type="noConversion"/>
  </si>
  <si>
    <t>持续伤害强化</t>
    <phoneticPr fontId="1" type="noConversion"/>
  </si>
  <si>
    <t>dotup</t>
    <phoneticPr fontId="1" type="noConversion"/>
  </si>
  <si>
    <t>行动回怒气</t>
    <phoneticPr fontId="1" type="noConversion"/>
  </si>
  <si>
    <t>几率</t>
    <phoneticPr fontId="1" type="noConversion"/>
  </si>
  <si>
    <t>rageup</t>
    <phoneticPr fontId="1" type="noConversion"/>
  </si>
  <si>
    <t>attach_dama</t>
    <phoneticPr fontId="1" type="noConversion"/>
  </si>
  <si>
    <t>行动回能量</t>
    <phoneticPr fontId="1" type="noConversion"/>
  </si>
  <si>
    <t>行动回法力</t>
    <phoneticPr fontId="1" type="noConversion"/>
  </si>
  <si>
    <t>行动消耗对方怒气</t>
    <phoneticPr fontId="1" type="noConversion"/>
  </si>
  <si>
    <t>行动消耗对方法力</t>
    <phoneticPr fontId="1" type="noConversion"/>
  </si>
  <si>
    <t>行动消耗对方能量</t>
    <phoneticPr fontId="1" type="noConversion"/>
  </si>
  <si>
    <t>energyup</t>
    <phoneticPr fontId="1" type="noConversion"/>
  </si>
  <si>
    <t>manaup</t>
    <phoneticPr fontId="1" type="noConversion"/>
  </si>
  <si>
    <t>ragetaken</t>
    <phoneticPr fontId="1" type="noConversion"/>
  </si>
  <si>
    <t>energytaken</t>
    <phoneticPr fontId="1" type="noConversion"/>
  </si>
  <si>
    <t>manataken</t>
    <phoneticPr fontId="1" type="noConversion"/>
  </si>
  <si>
    <t>流血</t>
    <phoneticPr fontId="1" type="noConversion"/>
  </si>
  <si>
    <t>turn_damage</t>
    <phoneticPr fontId="1" type="noConversion"/>
  </si>
  <si>
    <t>裂伤</t>
    <phoneticPr fontId="1" type="noConversion"/>
  </si>
  <si>
    <t>action_hurt</t>
    <phoneticPr fontId="1" type="noConversion"/>
  </si>
  <si>
    <t>行动时自身受到伤害</t>
    <phoneticPr fontId="1" type="noConversion"/>
  </si>
  <si>
    <t>action_heal</t>
    <phoneticPr fontId="1" type="noConversion"/>
  </si>
  <si>
    <t>行动时治疗</t>
    <phoneticPr fontId="1" type="noConversion"/>
  </si>
  <si>
    <t>减少1%的护甲和魔抗</t>
    <phoneticPr fontId="1" type="noConversion"/>
  </si>
  <si>
    <t>治疗效果降低1%</t>
    <phoneticPr fontId="1" type="noConversion"/>
  </si>
  <si>
    <t>下一次出手不成功</t>
    <phoneticPr fontId="1" type="noConversion"/>
  </si>
  <si>
    <t>减速</t>
    <phoneticPr fontId="1" type="noConversion"/>
  </si>
  <si>
    <t>忘却</t>
    <phoneticPr fontId="1" type="noConversion"/>
  </si>
  <si>
    <t>只能进行【普通攻击】</t>
    <phoneticPr fontId="1" type="noConversion"/>
  </si>
  <si>
    <t>暴怒</t>
    <phoneticPr fontId="1" type="noConversion"/>
  </si>
  <si>
    <t>提高2点属强</t>
    <phoneticPr fontId="1" type="noConversion"/>
  </si>
  <si>
    <t>吸血鬼</t>
    <phoneticPr fontId="1" type="noConversion"/>
  </si>
  <si>
    <t>吸血增加1%</t>
    <phoneticPr fontId="1" type="noConversion"/>
  </si>
  <si>
    <t>护卫</t>
    <phoneticPr fontId="1" type="noConversion"/>
  </si>
  <si>
    <t>免疫1次伤害</t>
    <phoneticPr fontId="1" type="noConversion"/>
  </si>
  <si>
    <t>【吟唱】3回合内提高[0.5*lv+11.5]%速度和吸血</t>
    <phoneticPr fontId="1" type="noConversion"/>
  </si>
  <si>
    <t>造成的持续伤害提高[6+lv]%</t>
    <phoneticPr fontId="1" type="noConversion"/>
  </si>
  <si>
    <t>每消耗1点能量，回复[5*lv+50]点血量</t>
    <phoneticPr fontId="1" type="noConversion"/>
  </si>
  <si>
    <t>单技能增伤</t>
    <phoneticPr fontId="1" type="noConversion"/>
  </si>
  <si>
    <t>技能伤害和治疗效果提升B类</t>
    <phoneticPr fontId="1" type="noConversion"/>
  </si>
  <si>
    <t>眩晕</t>
    <phoneticPr fontId="1" type="noConversion"/>
  </si>
  <si>
    <t>下次出手不成功</t>
    <phoneticPr fontId="1" type="noConversion"/>
  </si>
  <si>
    <t>超凡入圣</t>
    <phoneticPr fontId="1" type="noConversion"/>
  </si>
  <si>
    <t>伤害强化</t>
    <phoneticPr fontId="1" type="noConversion"/>
  </si>
  <si>
    <t>神圣之光</t>
    <phoneticPr fontId="1" type="noConversion"/>
  </si>
  <si>
    <t>攻击力增加百分比</t>
    <phoneticPr fontId="1" type="noConversion"/>
  </si>
  <si>
    <t>攻击强化</t>
    <phoneticPr fontId="1" type="noConversion"/>
  </si>
  <si>
    <t>根据自身护甲增加层数</t>
    <phoneticPr fontId="1" type="noConversion"/>
  </si>
  <si>
    <t>法强强化</t>
    <phoneticPr fontId="1" type="noConversion"/>
  </si>
  <si>
    <t>根据自身魔防增加层数</t>
    <phoneticPr fontId="1" type="noConversion"/>
  </si>
  <si>
    <t>暴怒</t>
    <phoneticPr fontId="1" type="noConversion"/>
  </si>
  <si>
    <t>强化暴击+2%</t>
    <phoneticPr fontId="1" type="noConversion"/>
  </si>
  <si>
    <t>元素强化</t>
    <phoneticPr fontId="1" type="noConversion"/>
  </si>
  <si>
    <t>提高属性强化+2</t>
    <phoneticPr fontId="1" type="noConversion"/>
  </si>
  <si>
    <t>金色</t>
    <phoneticPr fontId="1" type="noConversion"/>
  </si>
  <si>
    <t>其他</t>
    <phoneticPr fontId="1" type="noConversion"/>
  </si>
  <si>
    <t>护卫</t>
    <phoneticPr fontId="1" type="noConversion"/>
  </si>
  <si>
    <t>免疫1次敌方伤害</t>
    <phoneticPr fontId="1" type="noConversion"/>
  </si>
  <si>
    <t>荆棘</t>
    <phoneticPr fontId="1" type="noConversion"/>
  </si>
  <si>
    <t>受到伤害时反伤</t>
    <phoneticPr fontId="1" type="noConversion"/>
  </si>
  <si>
    <t>报复</t>
    <phoneticPr fontId="1" type="noConversion"/>
  </si>
  <si>
    <t>受到伤害反伤+和威力挂钩</t>
    <phoneticPr fontId="1" type="noConversion"/>
  </si>
  <si>
    <t>能力提升</t>
    <phoneticPr fontId="1" type="noConversion"/>
  </si>
  <si>
    <t>保护</t>
    <phoneticPr fontId="1" type="noConversion"/>
  </si>
  <si>
    <t>受到伤害减少</t>
    <phoneticPr fontId="1" type="noConversion"/>
  </si>
  <si>
    <t>吸血鬼</t>
    <phoneticPr fontId="1" type="noConversion"/>
  </si>
  <si>
    <t>增加吸血</t>
    <phoneticPr fontId="1" type="noConversion"/>
  </si>
  <si>
    <t>再生</t>
    <phoneticPr fontId="1" type="noConversion"/>
  </si>
  <si>
    <t>每回合回复1%生命值</t>
    <phoneticPr fontId="1" type="noConversion"/>
  </si>
  <si>
    <t>迅捷</t>
    <phoneticPr fontId="1" type="noConversion"/>
  </si>
  <si>
    <t>增加速度</t>
    <phoneticPr fontId="1" type="noConversion"/>
  </si>
  <si>
    <t>红色</t>
    <phoneticPr fontId="1" type="noConversion"/>
  </si>
  <si>
    <t>症状</t>
    <phoneticPr fontId="1" type="noConversion"/>
  </si>
  <si>
    <t>裂伤</t>
    <phoneticPr fontId="1" type="noConversion"/>
  </si>
  <si>
    <t>行动时造成伤害</t>
    <phoneticPr fontId="1" type="noConversion"/>
  </si>
  <si>
    <t>2%b.maxhp</t>
    <phoneticPr fontId="1" type="noConversion"/>
  </si>
  <si>
    <t>流血</t>
    <phoneticPr fontId="1" type="noConversion"/>
  </si>
  <si>
    <t>1%b.maxhp+ad%</t>
    <phoneticPr fontId="1" type="noConversion"/>
  </si>
  <si>
    <t>灼烧</t>
    <phoneticPr fontId="1" type="noConversion"/>
  </si>
  <si>
    <t>1.5%b.maxhp</t>
    <phoneticPr fontId="1" type="noConversion"/>
  </si>
  <si>
    <t>中毒</t>
    <phoneticPr fontId="1" type="noConversion"/>
  </si>
  <si>
    <t>1%b.maxhp+ap%</t>
    <phoneticPr fontId="1" type="noConversion"/>
  </si>
  <si>
    <t>PVP</t>
    <phoneticPr fontId="1" type="noConversion"/>
  </si>
  <si>
    <t>蓝色</t>
    <phoneticPr fontId="1" type="noConversion"/>
  </si>
  <si>
    <t>弱化</t>
    <phoneticPr fontId="1" type="noConversion"/>
  </si>
  <si>
    <t>破防</t>
    <phoneticPr fontId="1" type="noConversion"/>
  </si>
  <si>
    <t>双抗降低</t>
    <phoneticPr fontId="1" type="noConversion"/>
  </si>
  <si>
    <t>虚弱</t>
    <phoneticPr fontId="1" type="noConversion"/>
  </si>
  <si>
    <t>减少攻击力</t>
    <phoneticPr fontId="1" type="noConversion"/>
  </si>
  <si>
    <t>重伤</t>
    <phoneticPr fontId="1" type="noConversion"/>
  </si>
  <si>
    <t>治疗效果减少</t>
    <phoneticPr fontId="1" type="noConversion"/>
  </si>
  <si>
    <t>控制</t>
    <phoneticPr fontId="1" type="noConversion"/>
  </si>
  <si>
    <t>眩晕</t>
    <phoneticPr fontId="1" type="noConversion"/>
  </si>
  <si>
    <t>下一次出手不成功</t>
    <phoneticPr fontId="1" type="noConversion"/>
  </si>
  <si>
    <t>灰色</t>
    <phoneticPr fontId="1" type="noConversion"/>
  </si>
  <si>
    <t>减速</t>
    <phoneticPr fontId="1" type="noConversion"/>
  </si>
  <si>
    <t>减少速度</t>
    <phoneticPr fontId="1" type="noConversion"/>
  </si>
  <si>
    <t>忘却</t>
    <phoneticPr fontId="1" type="noConversion"/>
  </si>
  <si>
    <t>只能进行普通攻击</t>
    <phoneticPr fontId="1" type="noConversion"/>
  </si>
  <si>
    <t>恶魔变身</t>
    <phoneticPr fontId="1" type="noConversion"/>
  </si>
  <si>
    <t>火焰元素</t>
    <phoneticPr fontId="1" type="noConversion"/>
  </si>
  <si>
    <t>无属性变为火属性</t>
    <phoneticPr fontId="1" type="noConversion"/>
  </si>
  <si>
    <t>star</t>
    <phoneticPr fontId="1" type="noConversion"/>
  </si>
  <si>
    <t>starvalue</t>
    <phoneticPr fontId="1" type="noConversion"/>
  </si>
  <si>
    <t>品质</t>
  </si>
  <si>
    <t>quality</t>
  </si>
  <si>
    <t>星级</t>
    <phoneticPr fontId="1" type="noConversion"/>
  </si>
  <si>
    <t>体力</t>
    <phoneticPr fontId="1" type="noConversion"/>
  </si>
  <si>
    <t>vit</t>
    <phoneticPr fontId="1" type="noConversion"/>
  </si>
  <si>
    <t>进阶</t>
    <phoneticPr fontId="1" type="noConversion"/>
  </si>
  <si>
    <t>zhanli</t>
    <phoneticPr fontId="1" type="noConversion"/>
  </si>
  <si>
    <t>百分比血量</t>
    <phoneticPr fontId="1" type="noConversion"/>
  </si>
  <si>
    <t>固定血量</t>
    <phoneticPr fontId="1" type="noConversion"/>
  </si>
  <si>
    <t>体力百分比</t>
    <phoneticPr fontId="1" type="noConversion"/>
  </si>
  <si>
    <t>health</t>
    <phoneticPr fontId="1" type="noConversion"/>
  </si>
  <si>
    <t>team_ad</t>
    <phoneticPr fontId="1" type="noConversion"/>
  </si>
  <si>
    <t>team_ap</t>
    <phoneticPr fontId="1" type="noConversion"/>
  </si>
  <si>
    <t>队伍AD</t>
    <phoneticPr fontId="1" type="noConversion"/>
  </si>
  <si>
    <t>队伍AP</t>
    <phoneticPr fontId="1" type="noConversion"/>
  </si>
  <si>
    <t>小丑皇</t>
  </si>
  <si>
    <t>雅典娜</t>
  </si>
  <si>
    <t>奥丁</t>
  </si>
  <si>
    <t>洛基</t>
  </si>
  <si>
    <t>索尔</t>
  </si>
  <si>
    <t>所罗门</t>
  </si>
  <si>
    <t>路西法</t>
  </si>
  <si>
    <t>加百列</t>
  </si>
  <si>
    <t>米迦勒</t>
  </si>
  <si>
    <t>关羽</t>
  </si>
  <si>
    <t>吕布</t>
  </si>
  <si>
    <t>诸神黄昏</t>
  </si>
  <si>
    <t>力击连发</t>
  </si>
  <si>
    <t>物理专精</t>
  </si>
  <si>
    <t>嗜血</t>
  </si>
  <si>
    <t>破釜沉舟</t>
  </si>
  <si>
    <t>暴怒</t>
  </si>
  <si>
    <t>狂暴姿态</t>
  </si>
  <si>
    <t>武器大师</t>
  </si>
  <si>
    <t>巴托里之怒</t>
  </si>
  <si>
    <t>致死之击</t>
  </si>
  <si>
    <t>割碎伤口</t>
  </si>
  <si>
    <t>防御姿态</t>
  </si>
  <si>
    <t>启示录</t>
  </si>
  <si>
    <t>风怒打击</t>
  </si>
  <si>
    <t>射手天赋</t>
  </si>
  <si>
    <t>致命射击</t>
  </si>
  <si>
    <t>急速射击</t>
  </si>
  <si>
    <t>火力弹幕</t>
  </si>
  <si>
    <t>3+1.35*lv</t>
    <phoneticPr fontId="1" type="noConversion"/>
  </si>
  <si>
    <t>穿透射击</t>
  </si>
  <si>
    <t>恩赐解脱</t>
  </si>
  <si>
    <t>夺命连射</t>
  </si>
  <si>
    <t>风行步</t>
  </si>
  <si>
    <t>装逼如风</t>
  </si>
  <si>
    <t>神威</t>
  </si>
  <si>
    <t>风行者之护</t>
  </si>
  <si>
    <t>射手姿态</t>
  </si>
  <si>
    <t>自愈</t>
  </si>
  <si>
    <t>快速击杀</t>
  </si>
  <si>
    <t>光暗之子</t>
  </si>
  <si>
    <t>强化风怒</t>
  </si>
  <si>
    <t>连锁大师</t>
  </si>
  <si>
    <t>法术威能</t>
  </si>
  <si>
    <t>神圣复仇</t>
  </si>
  <si>
    <t>法术连击</t>
  </si>
  <si>
    <t>奥能膨胀</t>
  </si>
  <si>
    <t>抗性符文</t>
  </si>
  <si>
    <t>法师结界</t>
  </si>
  <si>
    <t>防爆服</t>
  </si>
  <si>
    <t>熔岩符文</t>
  </si>
  <si>
    <t>连击精通</t>
  </si>
  <si>
    <t>飞升</t>
  </si>
  <si>
    <t>行动时提高[0.2+0.09*lv]多重施法(最多叠加10层）</t>
  </si>
  <si>
    <t>盾牌冲锋</t>
  </si>
  <si>
    <t>魔法护甲</t>
  </si>
  <si>
    <t>转甲</t>
  </si>
  <si>
    <t>剑盾合璧</t>
  </si>
  <si>
    <t>攻击时附加[2+0.9*lv]%护甲的伤害</t>
  </si>
  <si>
    <t>再生之力</t>
  </si>
  <si>
    <t>治愈壁垒</t>
  </si>
  <si>
    <t>连击壁垒</t>
  </si>
  <si>
    <t>盛气凌人</t>
  </si>
  <si>
    <t>无限壁垒</t>
  </si>
  <si>
    <t>坚毅</t>
  </si>
  <si>
    <t>隐秘刀锋</t>
  </si>
  <si>
    <t>隐秘法球</t>
  </si>
  <si>
    <t>刺客之路</t>
  </si>
  <si>
    <t>蓄势待发</t>
  </si>
  <si>
    <t>暗中观察</t>
  </si>
  <si>
    <t>蓄力一击</t>
  </si>
  <si>
    <t>怒火聚焦</t>
  </si>
  <si>
    <t>刺杀大师</t>
  </si>
  <si>
    <t>锋芒毕露</t>
  </si>
  <si>
    <t>正中眉心</t>
  </si>
  <si>
    <t>提高[2+0.9*lv]%暴击</t>
  </si>
  <si>
    <t>洞悉弱点</t>
  </si>
  <si>
    <t>冰冷智慧</t>
  </si>
  <si>
    <t>鲜血盛宴</t>
  </si>
  <si>
    <t>外科手术</t>
  </si>
  <si>
    <t>聚焦之虹</t>
  </si>
  <si>
    <t>破隐一击</t>
  </si>
  <si>
    <t>暴击掌握</t>
  </si>
  <si>
    <t>怒击</t>
  </si>
  <si>
    <t>冒险小队</t>
  </si>
  <si>
    <t>均衡天赋</t>
  </si>
  <si>
    <t>提高[1+0.45*lv]%暴击，提高[1+0.45*lv]%吸血</t>
  </si>
  <si>
    <t>冒险精神</t>
  </si>
  <si>
    <t>魔法偏好</t>
  </si>
  <si>
    <t>破甲偏好</t>
  </si>
  <si>
    <t>连锁偏好</t>
  </si>
  <si>
    <t>连锁技能伤害增加[3+1.35*lv]%</t>
  </si>
  <si>
    <t>怒击强化</t>
  </si>
  <si>
    <t>暴击偏好</t>
  </si>
  <si>
    <t>强力连锁</t>
  </si>
  <si>
    <t>防御专家</t>
  </si>
  <si>
    <t>生存专家</t>
  </si>
  <si>
    <t>2+0.9*lv</t>
  </si>
  <si>
    <t>精力旺盛</t>
  </si>
  <si>
    <t>吸血鬼家族</t>
  </si>
  <si>
    <t>怒击爆炸</t>
  </si>
  <si>
    <t>全能之威</t>
  </si>
  <si>
    <t>幽冥之触</t>
  </si>
  <si>
    <t>5+1*lv</t>
  </si>
  <si>
    <t>溃烂之伤</t>
  </si>
  <si>
    <t>死灵法威</t>
  </si>
  <si>
    <t>幽冥渗透</t>
  </si>
  <si>
    <t>3+1.35*lv</t>
  </si>
  <si>
    <t>死灵之灾</t>
  </si>
  <si>
    <t>亡者之墙</t>
  </si>
  <si>
    <t>死灵缠绕</t>
  </si>
  <si>
    <t>灾祸</t>
  </si>
  <si>
    <t>天照</t>
  </si>
  <si>
    <t>灵魂转换</t>
  </si>
  <si>
    <t>痛苦无常</t>
  </si>
  <si>
    <t>灵魂分流</t>
  </si>
  <si>
    <t>每回合回复[1+0.45*lv]%最大生命值</t>
  </si>
  <si>
    <t>灾难反射</t>
  </si>
  <si>
    <t>大墓地</t>
  </si>
  <si>
    <t>军团之力</t>
  </si>
  <si>
    <t>虚弱诅咒</t>
  </si>
  <si>
    <t>60+2*lv</t>
  </si>
  <si>
    <t>致伤诅咒</t>
  </si>
  <si>
    <t>偷取敌人[1+0.45*lv]%治疗效果</t>
  </si>
  <si>
    <t>灵魂强化</t>
  </si>
  <si>
    <t>辉煌光环</t>
  </si>
  <si>
    <t>虔诚光环</t>
  </si>
  <si>
    <t>元素反射</t>
  </si>
  <si>
    <t>绝望光环</t>
  </si>
  <si>
    <t>炽热防御</t>
  </si>
  <si>
    <t>光明之泉</t>
  </si>
  <si>
    <t>2000+100*lv</t>
  </si>
  <si>
    <t>回春</t>
  </si>
  <si>
    <t>回春2</t>
  </si>
  <si>
    <t>回春3</t>
  </si>
  <si>
    <t>回春4</t>
  </si>
  <si>
    <t>回春5</t>
  </si>
  <si>
    <t>圣光之速</t>
  </si>
  <si>
    <t>光明再生</t>
  </si>
  <si>
    <t>20+4*lv</t>
  </si>
  <si>
    <t>栽培</t>
  </si>
  <si>
    <t>10+2*lv</t>
  </si>
  <si>
    <t>战术深度</t>
  </si>
  <si>
    <t>强化光明之泉</t>
  </si>
  <si>
    <t>弱化</t>
  </si>
  <si>
    <t>深度治疗</t>
  </si>
  <si>
    <t>高速炼成</t>
  </si>
  <si>
    <t>癫狂</t>
  </si>
  <si>
    <t>爆炸浆果</t>
  </si>
  <si>
    <t>上无边界</t>
  </si>
  <si>
    <t>回复糖果</t>
  </si>
  <si>
    <t>热血糖果</t>
  </si>
  <si>
    <t>暴力</t>
  </si>
  <si>
    <t>强化回复</t>
  </si>
  <si>
    <t>热血强化</t>
  </si>
  <si>
    <t>吉兆</t>
  </si>
  <si>
    <t>疯狂炼金师</t>
  </si>
  <si>
    <t>领袖</t>
  </si>
  <si>
    <t>凶兆</t>
  </si>
  <si>
    <t>能量灌注</t>
  </si>
  <si>
    <t>能量灌注2</t>
  </si>
  <si>
    <t>能量灌注3</t>
  </si>
  <si>
    <t>能量灌注4</t>
  </si>
  <si>
    <t>能量灌注5</t>
  </si>
  <si>
    <t>连锁打击</t>
  </si>
  <si>
    <t>冰冻血莓</t>
  </si>
  <si>
    <t>炽热烤肠</t>
  </si>
  <si>
    <t>【吟唱】，下3个火焰技能附加[3+1.5*lv]%伤害</t>
    <phoneticPr fontId="1" type="noConversion"/>
  </si>
  <si>
    <t>光明雪梨</t>
  </si>
  <si>
    <t>剑士之歌</t>
  </si>
  <si>
    <t>牧师之歌</t>
  </si>
  <si>
    <t>杀意之歌</t>
  </si>
  <si>
    <t>贤者的叙述诗</t>
  </si>
  <si>
    <t>贤者的叙述诗2</t>
  </si>
  <si>
    <t>贤者的叙述诗3</t>
  </si>
  <si>
    <t>贤者的叙述诗4</t>
  </si>
  <si>
    <t>贤者的叙述诗5</t>
  </si>
  <si>
    <t>军神的赞美诗</t>
  </si>
  <si>
    <t>军神的赞美诗2</t>
  </si>
  <si>
    <t>军神的赞美诗3</t>
  </si>
  <si>
    <t>军神的赞美诗4</t>
  </si>
  <si>
    <t>军神的赞美诗5</t>
  </si>
  <si>
    <t>颅骨战歌</t>
  </si>
  <si>
    <t>魔界的安魂曲</t>
  </si>
  <si>
    <t>魔界的安魂曲2</t>
  </si>
  <si>
    <t>魔界的安魂曲3</t>
  </si>
  <si>
    <t>魔界的安魂曲4</t>
  </si>
  <si>
    <t>魔界的安魂曲5</t>
  </si>
  <si>
    <t>拔剑神曲</t>
  </si>
  <si>
    <t>核爆神曲</t>
  </si>
  <si>
    <t>超速之歌</t>
  </si>
  <si>
    <t>超速之歌2</t>
  </si>
  <si>
    <t>超速之歌3</t>
  </si>
  <si>
    <t>超速之歌4</t>
  </si>
  <si>
    <t>超速之歌5</t>
  </si>
  <si>
    <t>意气风发</t>
  </si>
  <si>
    <t>审判之锤</t>
  </si>
  <si>
    <t>吸血鬼之歌</t>
  </si>
  <si>
    <t>吸血鬼之歌2</t>
  </si>
  <si>
    <t>吸血鬼之歌3</t>
  </si>
  <si>
    <t>吸血鬼之歌4</t>
  </si>
  <si>
    <t>吸血鬼之歌5</t>
  </si>
  <si>
    <t>坚毅之诗</t>
  </si>
  <si>
    <t>欢乐颂</t>
  </si>
  <si>
    <t>最后的咏叹调</t>
  </si>
  <si>
    <t>命运交响曲</t>
  </si>
  <si>
    <t>最终审判</t>
  </si>
  <si>
    <t>2*lv</t>
    <phoneticPr fontId="1" type="noConversion"/>
  </si>
  <si>
    <t>1*lv</t>
  </si>
  <si>
    <t>【吟唱】，下3个光系技能获得[3+1.35*lv]%吸血</t>
    <phoneticPr fontId="1" type="noConversion"/>
  </si>
  <si>
    <t>comboup</t>
    <phoneticPr fontId="1" type="noConversion"/>
  </si>
  <si>
    <t>1.4+0.8*lv</t>
  </si>
  <si>
    <t>【普通攻击】附加敌方[2+0.5*lv]%护甲的伤害</t>
    <phoneticPr fontId="1" type="noConversion"/>
  </si>
  <si>
    <t>2+lv</t>
    <phoneticPr fontId="1" type="noConversion"/>
  </si>
  <si>
    <t>11+1*lv</t>
  </si>
  <si>
    <t>提高[0.3+0.1*lv]%多重施法，[0.3+0.1*lv]%吸血</t>
    <phoneticPr fontId="1" type="noConversion"/>
  </si>
  <si>
    <t>3.8+0.8*lv</t>
  </si>
  <si>
    <t>1+1*lv</t>
  </si>
  <si>
    <t>提高[4+1*lv]点能量上限</t>
    <phoneticPr fontId="1" type="noConversion"/>
  </si>
  <si>
    <t>10级后提高3点光属性强化</t>
  </si>
  <si>
    <t>提高[60+30*lv]点速度</t>
    <phoneticPr fontId="1" type="noConversion"/>
  </si>
  <si>
    <t>6+1*lv</t>
  </si>
  <si>
    <t>圣盾加护</t>
  </si>
  <si>
    <t>日耀守护</t>
  </si>
  <si>
    <t>耀斑</t>
  </si>
  <si>
    <t>贯穿之矛</t>
  </si>
  <si>
    <t>穿心长矛</t>
  </si>
  <si>
    <t>神之进军</t>
  </si>
  <si>
    <t>圣盾庇护</t>
  </si>
  <si>
    <t>神圣之盾</t>
  </si>
  <si>
    <t>净化之焰</t>
  </si>
  <si>
    <t>炎羽乱舞</t>
  </si>
  <si>
    <t>烈焰斩狱审判</t>
  </si>
  <si>
    <t>圣诞流陨</t>
  </si>
  <si>
    <t>圣洁之盾</t>
  </si>
  <si>
    <t>天堂冲击</t>
  </si>
  <si>
    <t>赤炎裁决</t>
  </si>
  <si>
    <t>圣十字洗礼</t>
  </si>
  <si>
    <t>爆炸黏胶</t>
  </si>
  <si>
    <t>蝙蝠爪</t>
  </si>
  <si>
    <t>搏击专注</t>
  </si>
  <si>
    <t>冲刺铁拳</t>
  </si>
  <si>
    <t>壁垒</t>
  </si>
  <si>
    <t>科学怪人</t>
  </si>
  <si>
    <t>方块勇士</t>
  </si>
  <si>
    <t>大福勇士</t>
  </si>
  <si>
    <t>塑料构造体</t>
  </si>
  <si>
    <t>实习程序员</t>
  </si>
  <si>
    <t>矮人矿工</t>
  </si>
  <si>
    <t>地精海贼</t>
  </si>
  <si>
    <t>隐匿者</t>
  </si>
  <si>
    <t>亚马逊杀手</t>
  </si>
  <si>
    <t>亚马孙是我们的！</t>
  </si>
  <si>
    <t>黑衣人</t>
  </si>
  <si>
    <t>猜猜我是谁！</t>
  </si>
  <si>
    <t>外星人</t>
  </si>
  <si>
    <t>小混混</t>
  </si>
  <si>
    <t>恐龙妹</t>
  </si>
  <si>
    <t>3+lv</t>
    <phoneticPr fontId="1" type="noConversion"/>
  </si>
  <si>
    <t>行动时有$y20%$w几率附加[50+16*lv]点伤害</t>
    <phoneticPr fontId="1" type="noConversion"/>
  </si>
  <si>
    <t>45+16*lv</t>
    <phoneticPr fontId="1" type="noConversion"/>
  </si>
  <si>
    <t>60+18*lv</t>
    <phoneticPr fontId="1" type="noConversion"/>
  </si>
  <si>
    <t>20+10*lv</t>
    <phoneticPr fontId="1" type="noConversion"/>
  </si>
  <si>
    <t>10+2*lv</t>
    <phoneticPr fontId="1" type="noConversion"/>
  </si>
  <si>
    <t>提高[0.6+0.1*lv]%暴击伤害</t>
    <phoneticPr fontId="1" type="noConversion"/>
  </si>
  <si>
    <t>28+12*lv</t>
    <phoneticPr fontId="1" type="noConversion"/>
  </si>
  <si>
    <t>17+5*lv</t>
    <phoneticPr fontId="1" type="noConversion"/>
  </si>
  <si>
    <t>10+10*lv</t>
    <phoneticPr fontId="1" type="noConversion"/>
  </si>
  <si>
    <t>全军突击</t>
    <phoneticPr fontId="1" type="noConversion"/>
  </si>
  <si>
    <t>心眼</t>
    <phoneticPr fontId="1" type="noConversion"/>
  </si>
  <si>
    <t>亚伯</t>
  </si>
  <si>
    <t>该隐</t>
  </si>
  <si>
    <t>美杜莎</t>
  </si>
  <si>
    <t>达摩</t>
  </si>
  <si>
    <t>塔纳托斯</t>
  </si>
  <si>
    <t>阿尔忒弥斯</t>
  </si>
  <si>
    <t>开膛手杰克</t>
  </si>
  <si>
    <t>叶卡捷琳娜二世</t>
  </si>
  <si>
    <t>盖瑞</t>
  </si>
  <si>
    <t>孙悟空</t>
  </si>
  <si>
    <t>范海辛</t>
  </si>
  <si>
    <t>凯撒大帝</t>
  </si>
  <si>
    <t>圣女贞德</t>
  </si>
  <si>
    <t>湿婆</t>
  </si>
  <si>
    <t>织田信长</t>
  </si>
  <si>
    <t>许褚</t>
  </si>
  <si>
    <t>典韦</t>
  </si>
  <si>
    <t>爱迪生</t>
  </si>
  <si>
    <t>聂隐娘</t>
  </si>
  <si>
    <t>阿瑞斯</t>
  </si>
  <si>
    <t>卡戎</t>
  </si>
  <si>
    <t>狄俄尼索斯</t>
  </si>
  <si>
    <t>土方岁三</t>
  </si>
  <si>
    <t>赫菲斯托斯</t>
  </si>
  <si>
    <t>阿芙洛狄忒</t>
  </si>
  <si>
    <t>麦哲伦</t>
  </si>
  <si>
    <t>乌尔班二世</t>
  </si>
  <si>
    <t>风魔小太郎</t>
  </si>
  <si>
    <t>服部半藏</t>
  </si>
  <si>
    <t>猿飞佐助</t>
  </si>
  <si>
    <t>秦琼</t>
  </si>
  <si>
    <t>李逵</t>
  </si>
  <si>
    <t>阿喀琉斯</t>
  </si>
  <si>
    <t>宙斯</t>
  </si>
  <si>
    <t>天照大神</t>
  </si>
  <si>
    <t>普罗米修斯</t>
  </si>
  <si>
    <t>兰斯洛特</t>
  </si>
  <si>
    <t>亚瑟</t>
  </si>
  <si>
    <t>霍去病</t>
  </si>
  <si>
    <t>姜子牙</t>
  </si>
  <si>
    <t>释尊</t>
  </si>
  <si>
    <t>爱德华蒂奇</t>
  </si>
  <si>
    <t>专诸</t>
  </si>
  <si>
    <t>佐罗</t>
  </si>
  <si>
    <t>金刚夜叉明王</t>
  </si>
  <si>
    <t>张飞</t>
  </si>
  <si>
    <t>波塞冬</t>
  </si>
  <si>
    <t>暗夜骑士</t>
  </si>
  <si>
    <t>弗兰肯斯坦</t>
  </si>
  <si>
    <t>阿努比斯</t>
  </si>
  <si>
    <t>哈迪斯</t>
  </si>
  <si>
    <t>恶魔真实</t>
  </si>
  <si>
    <t>攻击时附加$o[0.3*lv+0.8]%敌方最大生命值$w的真实伤害</t>
  </si>
  <si>
    <t>id</t>
  </si>
  <si>
    <t>必暴</t>
    <phoneticPr fontId="1" type="noConversion"/>
  </si>
  <si>
    <t>10000</t>
    <phoneticPr fontId="1" type="noConversion"/>
  </si>
  <si>
    <t>5*lv+50</t>
    <phoneticPr fontId="1" type="noConversion"/>
  </si>
  <si>
    <t>干杯！</t>
  </si>
  <si>
    <t>酒桶</t>
  </si>
  <si>
    <t>200+20*lv+(100+8*lv)/100*a.ap</t>
  </si>
  <si>
    <t>当怒气&gt;80(function2)，$y15(function3)%$w造成$r[100+20*lv]+[(50+8*lv)](function1)%*攻击力$w的真实伤害。</t>
    <phoneticPr fontId="1" type="noConversion"/>
  </si>
  <si>
    <r>
      <t>释放连锁技时有[2+0.9*lv]%的概率</t>
    </r>
    <r>
      <rPr>
        <sz val="11"/>
        <color rgb="FFFF0000"/>
        <rFont val="DengXian"/>
        <family val="2"/>
        <scheme val="minor"/>
      </rPr>
      <t>再释放</t>
    </r>
    <r>
      <rPr>
        <sz val="11"/>
        <color theme="1"/>
        <rFont val="DengXian"/>
        <family val="2"/>
        <scheme val="minor"/>
      </rPr>
      <t>一次该连锁技</t>
    </r>
    <phoneticPr fontId="1" type="noConversion"/>
  </si>
  <si>
    <t>行动1次后会被消耗</t>
    <phoneticPr fontId="1" type="noConversion"/>
  </si>
  <si>
    <t>回复速度提高10%</t>
  </si>
  <si>
    <t>圣银弩箭</t>
  </si>
  <si>
    <t>必定为真实伤害</t>
  </si>
  <si>
    <t>牧羊人长笛</t>
  </si>
  <si>
    <t>欧皇特权</t>
  </si>
  <si>
    <t>免疫非暴击伤害</t>
  </si>
  <si>
    <t>下一次连锁技能</t>
  </si>
  <si>
    <t>行动1次后会被消耗</t>
    <phoneticPr fontId="1" type="noConversion"/>
  </si>
  <si>
    <t>伤害和治疗</t>
    <phoneticPr fontId="1" type="noConversion"/>
  </si>
  <si>
    <t>连锁</t>
    <phoneticPr fontId="1" type="noConversion"/>
  </si>
  <si>
    <t>每回合连锁+1</t>
    <phoneticPr fontId="1" type="noConversion"/>
  </si>
  <si>
    <t>【吟唱】，下3个冰霜技能伤害提高[3+1.35*lv]%</t>
    <phoneticPr fontId="1" type="noConversion"/>
  </si>
  <si>
    <t>3+1.5*lv</t>
  </si>
  <si>
    <r>
      <t>怒气，能量，法力</t>
    </r>
    <r>
      <rPr>
        <sz val="11"/>
        <color rgb="FFFF0000"/>
        <rFont val="DengXian"/>
        <family val="2"/>
        <scheme val="minor"/>
      </rPr>
      <t>回复速度</t>
    </r>
    <r>
      <rPr>
        <sz val="11"/>
        <color theme="1"/>
        <rFont val="DengXian"/>
        <family val="2"/>
        <scheme val="minor"/>
      </rPr>
      <t>提高10%</t>
    </r>
    <phoneticPr fontId="1" type="noConversion"/>
  </si>
  <si>
    <t>【吟唱】，立即结束战斗，但是所有强化效果变为永久</t>
    <phoneticPr fontId="1" type="noConversion"/>
  </si>
  <si>
    <t>(0.5*lv+2)/100*b.hp</t>
    <phoneticPr fontId="1" type="noConversion"/>
  </si>
  <si>
    <t>行动时5%几率伤害变为火属性，持续1回合</t>
    <phoneticPr fontId="1" type="noConversion"/>
  </si>
  <si>
    <t>行动时5%几率伤害变为冰属性，持续1回合</t>
    <phoneticPr fontId="1" type="noConversion"/>
  </si>
  <si>
    <t>提高[0.8+0.2*lv]%血量</t>
    <phoneticPr fontId="1" type="noConversion"/>
  </si>
  <si>
    <t>提高(10+5*lv)点暴击</t>
    <phoneticPr fontId="1" type="noConversion"/>
  </si>
  <si>
    <t>提高[30+15*lv]点速度</t>
    <phoneticPr fontId="1" type="noConversion"/>
  </si>
  <si>
    <t>(0.1*lv+0.1)/100*b.hp</t>
    <phoneticPr fontId="1" type="noConversion"/>
  </si>
  <si>
    <t>300+300*lv</t>
    <phoneticPr fontId="1" type="noConversion"/>
  </si>
  <si>
    <t>200+200*lv</t>
    <phoneticPr fontId="1" type="noConversion"/>
  </si>
  <si>
    <t>誓约胜利之剑</t>
    <phoneticPr fontId="1" type="noConversion"/>
  </si>
  <si>
    <t>发动回合每次行动回复5点能量</t>
  </si>
  <si>
    <t>耐力</t>
    <phoneticPr fontId="1" type="noConversion"/>
  </si>
  <si>
    <t>10*lv</t>
    <phoneticPr fontId="1" type="noConversion"/>
  </si>
  <si>
    <t>5*lv</t>
    <phoneticPr fontId="1" type="noConversion"/>
  </si>
  <si>
    <t>每次受到攻击都会提高[1.5+0.5*lv]点攻击力和法术强度</t>
    <phoneticPr fontId="1" type="noConversion"/>
  </si>
  <si>
    <t>提高[10+7*lv]点攻击力和法术强度</t>
    <phoneticPr fontId="1" type="noConversion"/>
  </si>
  <si>
    <t>20+5*lv</t>
    <phoneticPr fontId="1" type="noConversion"/>
  </si>
  <si>
    <t>发动几率</t>
    <phoneticPr fontId="1" type="noConversion"/>
  </si>
  <si>
    <t>等级参数？</t>
    <phoneticPr fontId="1" type="noConversion"/>
  </si>
  <si>
    <t>受到伤害降低[(3+0.2*lv)]%</t>
    <phoneticPr fontId="1" type="noConversion"/>
  </si>
  <si>
    <t>提高[0.3*lv+1.3]%暴击</t>
    <phoneticPr fontId="1" type="noConversion"/>
  </si>
  <si>
    <t>提高[80+10*lv]的法术强度和法术穿透</t>
    <phoneticPr fontId="1" type="noConversion"/>
  </si>
  <si>
    <t>【炎爆术】伤害提高[(20+5*lv)]%</t>
    <phoneticPr fontId="1" type="noConversion"/>
  </si>
  <si>
    <t>【必杀技】$y12%$w几率造成$b600+[(60+15*lv)]%*法术强度$w的魔法伤害，并回复$g[45+3*lv]%*法术强度$w的生命值</t>
    <phoneticPr fontId="1" type="noConversion"/>
  </si>
  <si>
    <t>【烈火流星】伤害提高[2+2*lv]%并获得[3+0.5*lv]%多重施法</t>
    <phoneticPr fontId="1" type="noConversion"/>
  </si>
  <si>
    <t>提高[50+40*lv]点护甲，提高[40+35*lv]点魔抗</t>
    <phoneticPr fontId="1" type="noConversion"/>
  </si>
  <si>
    <t>提高[20+18*lv]点魔抗，[10+10*lv]点法术穿透</t>
    <phoneticPr fontId="1" type="noConversion"/>
  </si>
  <si>
    <t>降低[80+6*lv]点护甲，提高[150+15*lv]点攻击力，[150+15*lv]点法术强度</t>
    <phoneticPr fontId="1" type="noConversion"/>
  </si>
  <si>
    <t>暴击时附加[1.5+1.5*lv]%*攻击力+[2+2*lv]%*法术强度的伤害</t>
    <phoneticPr fontId="1" type="noConversion"/>
  </si>
  <si>
    <t>消耗所有怒气对敌方造成伤害，每点怒气提高伤害</t>
    <phoneticPr fontId="1" type="noConversion"/>
  </si>
  <si>
    <t>受到伤害后有几率本回合不死，并提高[10+5*lv]%吸血</t>
    <phoneticPr fontId="1" type="noConversion"/>
  </si>
  <si>
    <t>提高[65+15*lv]点速度和[0.4+0.4*lv]点光强</t>
    <phoneticPr fontId="1" type="noConversion"/>
  </si>
  <si>
    <t>面具方阵</t>
    <phoneticPr fontId="1" type="noConversion"/>
  </si>
  <si>
    <t>提高[160+40*lv]点护甲</t>
    <phoneticPr fontId="1" type="noConversion"/>
  </si>
  <si>
    <t>自身必定无法暴击，每1%暴击提高自身[4+0.8*lv]点攻击力</t>
    <phoneticPr fontId="1" type="noConversion"/>
  </si>
  <si>
    <t>提高[1+0.5*lv]点火属性强化和光属性强化</t>
    <phoneticPr fontId="1" type="noConversion"/>
  </si>
  <si>
    <t>提高[1+2*lv]点火属性强化</t>
    <phoneticPr fontId="1" type="noConversion"/>
  </si>
  <si>
    <t>暴击时回复$g[80+15*lv]+[0.8+0.2*lv]%*己方最大生命值$w的生命值</t>
    <phoneticPr fontId="1" type="noConversion"/>
  </si>
  <si>
    <t>【天空霸邪】附加$b[60+20*lv]%*法术强度$w的额外魔法伤害</t>
    <phoneticPr fontId="1" type="noConversion"/>
  </si>
  <si>
    <t>【天空霸邪】释放时[6+3*lv]%几率附加一层【中毒】，【裂伤】和【破防】</t>
    <phoneticPr fontId="1" type="noConversion"/>
  </si>
  <si>
    <t>提高[100+60*lv]点法术穿透</t>
    <phoneticPr fontId="1" type="noConversion"/>
  </si>
  <si>
    <t>强力的手套使得战斗更加得心应手，提高[40+10*lv]点攻击力和[60+20*lv]点速度</t>
    <phoneticPr fontId="1" type="noConversion"/>
  </si>
  <si>
    <t>佩戴特制的力量腰带后力量涌出，提高[0.7+0.2*lv]%暴击率和[1+0.5*lv]%暴击伤害</t>
    <phoneticPr fontId="1" type="noConversion"/>
  </si>
  <si>
    <t>提高[0.8+0.2*lv]%暴击</t>
    <phoneticPr fontId="1" type="noConversion"/>
  </si>
  <si>
    <t>【搏击】伤害提高[5+3*lv]%,并获得[8+5*lv]%多重施法</t>
    <phoneticPr fontId="1" type="noConversion"/>
  </si>
  <si>
    <t>行动时有$y15%$w几率降低敌方[2+lv]点光属性抗性</t>
    <phoneticPr fontId="1" type="noConversion"/>
  </si>
  <si>
    <t>提高[25+9*lv]点护甲和魔法抗性</t>
    <phoneticPr fontId="1" type="noConversion"/>
  </si>
  <si>
    <t>6+lv</t>
    <phoneticPr fontId="1" type="noConversion"/>
  </si>
  <si>
    <t>3+0.5*lv</t>
    <phoneticPr fontId="1" type="noConversion"/>
  </si>
  <si>
    <t>600+100*lv</t>
    <phoneticPr fontId="1" type="noConversion"/>
  </si>
  <si>
    <t>开局6回合提高[4+0.5*lv]%伤害</t>
    <phoneticPr fontId="1" type="noConversion"/>
  </si>
  <si>
    <t>攻击时附加$o[0.1*lv+1%敌方最大生命值$w的真实伤害</t>
    <phoneticPr fontId="1" type="noConversion"/>
  </si>
  <si>
    <t>【雷切】暴击伤害提高[30+5*lv]%，10级后暴击额外恢复30能量</t>
    <phoneticPr fontId="1" type="noConversion"/>
  </si>
  <si>
    <t>提高[3.5+0.5*lv]点光属性强化</t>
    <phoneticPr fontId="1" type="noConversion"/>
  </si>
  <si>
    <t>提高自身[9+4*lv]%暴击率</t>
    <phoneticPr fontId="1" type="noConversion"/>
  </si>
  <si>
    <t>不死之理想乡</t>
    <phoneticPr fontId="1" type="noConversion"/>
  </si>
  <si>
    <t>name</t>
    <phoneticPr fontId="1" type="noConversion"/>
  </si>
  <si>
    <t>(18+3*lv)/100</t>
    <phoneticPr fontId="1" type="noConversion"/>
  </si>
  <si>
    <t>千年杀</t>
    <phoneticPr fontId="1" type="noConversion"/>
  </si>
  <si>
    <t>回合结束时3%几率触发</t>
    <phoneticPr fontId="1" type="noConversion"/>
  </si>
  <si>
    <t>敌人受到【虚弱】，【重伤】，【破防】时$y15%$w几率获得【国王标记】</t>
    <phoneticPr fontId="1" type="noConversion"/>
  </si>
  <si>
    <t>最后的咏叹调</t>
    <phoneticPr fontId="1" type="noConversion"/>
  </si>
  <si>
    <t>提高[20*lv]点法术穿透，[0.6+0.1*lv]%多重施法</t>
    <phoneticPr fontId="1" type="noConversion"/>
  </si>
  <si>
    <t>20*lv</t>
    <phoneticPr fontId="1" type="noConversion"/>
  </si>
  <si>
    <t>提高[15*lv+15]点体力</t>
    <phoneticPr fontId="1" type="noConversion"/>
  </si>
  <si>
    <t>审判连击</t>
    <phoneticPr fontId="1" type="noConversion"/>
  </si>
  <si>
    <t>80-4*lv</t>
    <phoneticPr fontId="1" type="noConversion"/>
  </si>
  <si>
    <t>100+20*lv</t>
    <phoneticPr fontId="1" type="noConversion"/>
  </si>
  <si>
    <t>面具</t>
    <phoneticPr fontId="1" type="noConversion"/>
  </si>
  <si>
    <t>【吟唱】,使用后队伍中所有【佐罗】进入隐身状态，破影时附加[150*lv+100]点伤害，【血腥狂舞·回旋】伤害提高[40+60*lv]%并获得50%吸血</t>
    <phoneticPr fontId="1" type="noConversion"/>
  </si>
  <si>
    <t>破影时附加[150*lv+100]点伤害</t>
    <phoneticPr fontId="1" type="noConversion"/>
  </si>
  <si>
    <t>4000+6000*lv</t>
    <phoneticPr fontId="1" type="noConversion"/>
  </si>
  <si>
    <t>隐身</t>
    <phoneticPr fontId="1" type="noConversion"/>
  </si>
  <si>
    <t>2000+(15+5*lv)%所有ap之和的伤害</t>
    <phoneticPr fontId="1" type="noConversion"/>
  </si>
  <si>
    <t>减少速度200点</t>
    <phoneticPr fontId="1" type="noConversion"/>
  </si>
  <si>
    <t>20+3*lv</t>
    <phoneticPr fontId="1" type="noConversion"/>
  </si>
  <si>
    <t>(lv+6)/100*b.hp</t>
    <phoneticPr fontId="1" type="noConversion"/>
  </si>
  <si>
    <t>割碎伤口：每1层流血，使伤害和持续伤害提高[0.4+0.08*lv]%</t>
    <phoneticPr fontId="1" type="noConversion"/>
  </si>
  <si>
    <t>灭杀</t>
    <phoneticPr fontId="1" type="noConversion"/>
  </si>
  <si>
    <t>暴击时可以灭杀（伤害提高20倍）血量少于[4+0.3*lv]%的对手（PVE效果降低为1/2）</t>
    <phoneticPr fontId="1" type="noConversion"/>
  </si>
  <si>
    <t>割碎伤口</t>
    <phoneticPr fontId="1" type="noConversion"/>
  </si>
  <si>
    <t>(4+0.3*lv)/100</t>
    <phoneticPr fontId="1" type="noConversion"/>
  </si>
  <si>
    <t>秘法连击</t>
    <phoneticPr fontId="1" type="noConversion"/>
  </si>
  <si>
    <t>每一次触发多重施法恢复[2+0.5*lv]点法力值</t>
  </si>
  <si>
    <t>心眼</t>
    <phoneticPr fontId="1" type="noConversion"/>
  </si>
  <si>
    <t>三回合内技能无消耗</t>
    <phoneticPr fontId="1" type="noConversion"/>
  </si>
  <si>
    <t>2+0.5*lv</t>
    <phoneticPr fontId="1" type="noConversion"/>
  </si>
  <si>
    <t>(a.mr/100)</t>
    <phoneticPr fontId="1" type="noConversion"/>
  </si>
  <si>
    <t>提高[5*lv]点火属性抗性</t>
  </si>
  <si>
    <t>提高[5*lv]点冰属性抗性</t>
  </si>
  <si>
    <t>提高[5*lv]点光属性抗性</t>
  </si>
  <si>
    <t>提高[5*lv]点暗属性抗性</t>
  </si>
  <si>
    <t>弱体</t>
  </si>
  <si>
    <t>-25-10*lv</t>
    <phoneticPr fontId="1" type="noConversion"/>
  </si>
  <si>
    <t>马可·波罗</t>
    <phoneticPr fontId="1" type="noConversion"/>
  </si>
  <si>
    <t>600+200*lv</t>
    <phoneticPr fontId="1" type="noConversion"/>
  </si>
  <si>
    <t>lv</t>
    <phoneticPr fontId="1" type="noConversion"/>
  </si>
  <si>
    <t>【大福弹射】伤害提高[70+10*lv]%</t>
    <phoneticPr fontId="1" type="noConversion"/>
  </si>
  <si>
    <t>提高[25+10*lv]点队伍攻击力，[25+10*lv]点护甲穿透</t>
    <phoneticPr fontId="1" type="noConversion"/>
  </si>
  <si>
    <t>被攻击时提高[5+lv]点队伍攻击力</t>
    <phoneticPr fontId="1" type="noConversion"/>
  </si>
  <si>
    <t>20+30*lv</t>
    <phoneticPr fontId="1" type="noConversion"/>
  </si>
  <si>
    <t>小丑魔术</t>
    <phoneticPr fontId="1" type="noConversion"/>
  </si>
  <si>
    <t>800+300*lv</t>
    <phoneticPr fontId="1" type="noConversion"/>
  </si>
  <si>
    <t>100+10*lv</t>
    <phoneticPr fontId="1" type="noConversion"/>
  </si>
  <si>
    <t>沐浴在月女神的恋爱月光之下吧~</t>
    <phoneticPr fontId="1" type="noConversion"/>
  </si>
  <si>
    <t>请问，你是女的吗？</t>
    <phoneticPr fontId="1" type="noConversion"/>
  </si>
  <si>
    <t>整个欧洲都会是我的！</t>
    <phoneticPr fontId="1" type="noConversion"/>
  </si>
  <si>
    <t>吃俺老孙一棒！</t>
    <phoneticPr fontId="1" type="noConversion"/>
  </si>
  <si>
    <t>我的旗帜啊，守护我的同胞吧！</t>
    <phoneticPr fontId="1" type="noConversion"/>
  </si>
  <si>
    <t>吾乃第六天魔王，才不是什么大傻瓜！</t>
    <phoneticPr fontId="1" type="noConversion"/>
  </si>
  <si>
    <t>直流电才是最好的！</t>
    <phoneticPr fontId="1" type="noConversion"/>
  </si>
  <si>
    <t>我会带来恐怖、战栗，惊慌和畏惧</t>
    <phoneticPr fontId="1" type="noConversion"/>
  </si>
  <si>
    <t>背负诚之烙印，前进吧，新选组！</t>
    <phoneticPr fontId="1" type="noConversion"/>
  </si>
  <si>
    <t>海的那边都些什么？</t>
    <phoneticPr fontId="1" type="noConversion"/>
  </si>
  <si>
    <t>十字军，东征！</t>
    <phoneticPr fontId="1" type="noConversion"/>
  </si>
  <si>
    <t>伊贺忍者才是最强的！</t>
    <phoneticPr fontId="1" type="noConversion"/>
  </si>
  <si>
    <t>关云长，出来与我一战！</t>
    <phoneticPr fontId="1" type="noConversion"/>
  </si>
  <si>
    <t>黑旋风！</t>
    <phoneticPr fontId="1" type="noConversion"/>
  </si>
  <si>
    <t>没有脚后跟，我就是无敌的！</t>
    <phoneticPr fontId="1" type="noConversion"/>
  </si>
  <si>
    <t>我拿到了火种！</t>
    <phoneticPr fontId="1" type="noConversion"/>
  </si>
  <si>
    <t>你确定你看到的，就是真的？</t>
    <phoneticPr fontId="1" type="noConversion"/>
  </si>
  <si>
    <t>加冠之时，诞生之刻已至！</t>
    <phoneticPr fontId="1" type="noConversion"/>
  </si>
  <si>
    <t>末日审判就要降临！</t>
    <phoneticPr fontId="1" type="noConversion"/>
  </si>
  <si>
    <t>Z！</t>
    <phoneticPr fontId="1" type="noConversion"/>
  </si>
  <si>
    <t>看我瞪圆的双眼！</t>
    <phoneticPr fontId="1" type="noConversion"/>
  </si>
  <si>
    <t>我也想坐神往的宝座！</t>
    <phoneticPr fontId="1" type="noConversion"/>
  </si>
  <si>
    <t>再说一遍，我可不是狗，是胡狼！【但是，不能攻击】</t>
    <phoneticPr fontId="1" type="noConversion"/>
  </si>
  <si>
    <t>100*lv+(90+30*lv)/100*a.ad</t>
  </si>
  <si>
    <t>100*lv+(90+35*lv)/100*a.ad</t>
  </si>
  <si>
    <t>100*lv+(90+20*lv)/100*a.ad</t>
  </si>
  <si>
    <t>100*lv+(90+40*lv)/100*a.ad</t>
  </si>
  <si>
    <t>90*lv+(90+40*lv)/100*a.ad</t>
  </si>
  <si>
    <t>100*lv+(90+45*lv)/100*a.ad</t>
  </si>
  <si>
    <t>100*lv+(90+32*lv)/100*a.ad</t>
  </si>
  <si>
    <t>100*lv+(90+50*lv)/100*a.ad</t>
  </si>
  <si>
    <t>设定行</t>
    <phoneticPr fontId="1" type="noConversion"/>
  </si>
  <si>
    <t>function()return(para1)end</t>
    <phoneticPr fontId="1" type="noConversion"/>
  </si>
  <si>
    <t>普通攻击</t>
    <phoneticPr fontId="1" type="noConversion"/>
  </si>
  <si>
    <t>普通攻击</t>
    <phoneticPr fontId="1" type="noConversion"/>
  </si>
  <si>
    <t>灼烧</t>
    <phoneticPr fontId="1" type="noConversion"/>
  </si>
  <si>
    <t>中毒</t>
    <phoneticPr fontId="1" type="noConversion"/>
  </si>
  <si>
    <t>破防</t>
    <phoneticPr fontId="1" type="noConversion"/>
  </si>
  <si>
    <t>虚弱</t>
    <phoneticPr fontId="1" type="noConversion"/>
  </si>
  <si>
    <t>减少A类伤害1%</t>
    <phoneticPr fontId="1" type="noConversion"/>
  </si>
  <si>
    <t>重伤</t>
    <phoneticPr fontId="1" type="noConversion"/>
  </si>
  <si>
    <t>眩晕</t>
    <phoneticPr fontId="1" type="noConversion"/>
  </si>
  <si>
    <t>只能进行【普通攻击】</t>
    <phoneticPr fontId="1" type="noConversion"/>
  </si>
  <si>
    <t>A类伤害增强1%</t>
    <phoneticPr fontId="1" type="noConversion"/>
  </si>
  <si>
    <t>攻击强化</t>
    <phoneticPr fontId="1" type="noConversion"/>
  </si>
  <si>
    <t>10000点护甲提高100队伍攻击力</t>
    <phoneticPr fontId="1" type="noConversion"/>
  </si>
  <si>
    <t>(a.arm/100)</t>
    <phoneticPr fontId="1" type="noConversion"/>
  </si>
  <si>
    <t>法术强化</t>
    <phoneticPr fontId="1" type="noConversion"/>
  </si>
  <si>
    <t>10000点魔抗提高100队伍法术强度</t>
    <phoneticPr fontId="1" type="noConversion"/>
  </si>
  <si>
    <t>提高1%暴击</t>
    <phoneticPr fontId="1" type="noConversion"/>
  </si>
  <si>
    <t>威能</t>
    <phoneticPr fontId="1" type="noConversion"/>
  </si>
  <si>
    <t>保护</t>
    <phoneticPr fontId="1" type="noConversion"/>
  </si>
  <si>
    <t>再生</t>
    <phoneticPr fontId="1" type="noConversion"/>
  </si>
  <si>
    <t>每回合恢复1%最大生命值</t>
    <phoneticPr fontId="1" type="noConversion"/>
  </si>
  <si>
    <t>1/100*a.hp</t>
    <phoneticPr fontId="1" type="noConversion"/>
  </si>
  <si>
    <t>增加200点速度</t>
    <phoneticPr fontId="1" type="noConversion"/>
  </si>
  <si>
    <t>护卫</t>
    <phoneticPr fontId="1" type="noConversion"/>
  </si>
  <si>
    <t>免疫1次伤害</t>
    <phoneticPr fontId="1" type="noConversion"/>
  </si>
  <si>
    <t>荆棘</t>
    <phoneticPr fontId="1" type="noConversion"/>
  </si>
  <si>
    <t>报复</t>
    <phoneticPr fontId="1" type="noConversion"/>
  </si>
  <si>
    <t>增伤1%，但是会被行动消耗掉</t>
    <phoneticPr fontId="1" type="noConversion"/>
  </si>
  <si>
    <t>愤怒掌控</t>
    <phoneticPr fontId="1" type="noConversion"/>
  </si>
  <si>
    <t>怒气上限提高4+lv点，5技能</t>
    <phoneticPr fontId="1" type="noConversion"/>
  </si>
  <si>
    <t>4+lv</t>
    <phoneticPr fontId="1" type="noConversion"/>
  </si>
  <si>
    <t>能量掌控</t>
    <phoneticPr fontId="1" type="noConversion"/>
  </si>
  <si>
    <t>能量提高6+lv点,4技能</t>
    <phoneticPr fontId="1" type="noConversion"/>
  </si>
  <si>
    <t>法力掌控</t>
    <phoneticPr fontId="1" type="noConversion"/>
  </si>
  <si>
    <t>法力上限提高6+lv点，4技能</t>
    <phoneticPr fontId="1" type="noConversion"/>
  </si>
  <si>
    <t>火焰元素</t>
    <phoneticPr fontId="1" type="noConversion"/>
  </si>
  <si>
    <t>三回合内无属性变为火属性</t>
    <phoneticPr fontId="1" type="noConversion"/>
  </si>
  <si>
    <t>三回合内技能无消耗</t>
    <phoneticPr fontId="1" type="noConversion"/>
  </si>
  <si>
    <t>20*a.cur_rage</t>
    <phoneticPr fontId="1" type="noConversion"/>
  </si>
  <si>
    <t>提高[0.8+0.3*lv]%吸血</t>
    <phoneticPr fontId="1" type="noConversion"/>
  </si>
  <si>
    <t>80+30*lv</t>
    <phoneticPr fontId="1" type="noConversion"/>
  </si>
  <si>
    <t>【先祖之锤】暴击伤害提高[10+10*lv]%</t>
    <phoneticPr fontId="1" type="noConversion"/>
  </si>
  <si>
    <t>1000+1000*lv</t>
    <phoneticPr fontId="1" type="noConversion"/>
  </si>
  <si>
    <t>0.5*lv+11.5</t>
    <phoneticPr fontId="1" type="noConversion"/>
  </si>
  <si>
    <t>50*lv+1150</t>
    <phoneticPr fontId="1" type="noConversion"/>
  </si>
  <si>
    <t>6+1*lv</t>
    <phoneticPr fontId="1" type="noConversion"/>
  </si>
  <si>
    <t>受到伤害提高[14.5-0.5*lv]%，造成伤害提高[11.5+0.5*lv]%</t>
    <phoneticPr fontId="1" type="noConversion"/>
  </si>
  <si>
    <t>受到伤害减少[0.6+0.4*lv]%，提高2*lv点冰抗性和火抗性</t>
    <phoneticPr fontId="1" type="noConversion"/>
  </si>
  <si>
    <t>2*lv</t>
    <phoneticPr fontId="1" type="noConversion"/>
  </si>
  <si>
    <t>每消耗1点能量，回复[5*lv+50]点血量</t>
    <phoneticPr fontId="1" type="noConversion"/>
  </si>
  <si>
    <t>提高[0.2*lv+1.2]%吸血和[20*lv+120]点护甲</t>
    <phoneticPr fontId="1" type="noConversion"/>
  </si>
  <si>
    <t>20*lv+120</t>
    <phoneticPr fontId="1" type="noConversion"/>
  </si>
  <si>
    <t>【七相·爆裂杀意】伤害提高[6*lv+14]%</t>
    <phoneticPr fontId="1" type="noConversion"/>
  </si>
  <si>
    <t>600*lv+1400</t>
    <phoneticPr fontId="1" type="noConversion"/>
  </si>
  <si>
    <t>战斗中隐形，提高[20+5*lv]攻击力和法术强度</t>
    <phoneticPr fontId="1" type="noConversion"/>
  </si>
  <si>
    <t>20+5*lv</t>
    <phoneticPr fontId="1" type="noConversion"/>
  </si>
  <si>
    <t>【普通攻击】附加[(10+1*lv)]%*攻击力的伤害</t>
    <phoneticPr fontId="1" type="noConversion"/>
  </si>
  <si>
    <t>(10+lv)/100*a.ad</t>
    <phoneticPr fontId="1" type="noConversion"/>
  </si>
  <si>
    <t>【弱化连锁】提高[600+100*lv]点速度和[20+10*lv]点攻击力</t>
    <phoneticPr fontId="1" type="noConversion"/>
  </si>
  <si>
    <t>(2+0.5*lv)/100*b.arm</t>
    <phoneticPr fontId="1" type="noConversion"/>
  </si>
  <si>
    <t>提高[10+2*lv]点法术强度和[50+10*lv]点速度</t>
    <phoneticPr fontId="1" type="noConversion"/>
  </si>
  <si>
    <t>50+10*lv</t>
    <phoneticPr fontId="1" type="noConversion"/>
  </si>
  <si>
    <t>【虚空奇点】附加[3+lv]%敌方最大生命值的伤害</t>
    <phoneticPr fontId="1" type="noConversion"/>
  </si>
  <si>
    <t>(3+lv)/100*b.cur_hp</t>
    <phoneticPr fontId="1" type="noConversion"/>
  </si>
  <si>
    <t>自身【毁灭跳击】，伤害提升[(50+4*lv)]%</t>
    <phoneticPr fontId="1" type="noConversion"/>
  </si>
  <si>
    <t>5000+400*lv</t>
    <phoneticPr fontId="1" type="noConversion"/>
  </si>
  <si>
    <t>3+0.2*lv</t>
    <phoneticPr fontId="1" type="noConversion"/>
  </si>
  <si>
    <t>攻击时会对敌方造成[(1+1*lv)]%*敌方已损失生命值的伤害</t>
    <phoneticPr fontId="1" type="noConversion"/>
  </si>
  <si>
    <t>提高[140+20*lv]点速度</t>
    <phoneticPr fontId="1" type="noConversion"/>
  </si>
  <si>
    <t>140+20*lv</t>
    <phoneticPr fontId="1" type="noConversion"/>
  </si>
  <si>
    <t>【穿透弹】伤害提高[8+4*lv]%</t>
    <phoneticPr fontId="1" type="noConversion"/>
  </si>
  <si>
    <t>800+400*lv</t>
    <phoneticPr fontId="1" type="noConversion"/>
  </si>
  <si>
    <t>30*lv+130</t>
    <phoneticPr fontId="1" type="noConversion"/>
  </si>
  <si>
    <t>提高[0.2*lv+1.8]%吸血</t>
    <phoneticPr fontId="1" type="noConversion"/>
  </si>
  <si>
    <t>20*lv+180</t>
    <phoneticPr fontId="1" type="noConversion"/>
  </si>
  <si>
    <t>提高[0.2*lv+1]%暴击</t>
    <phoneticPr fontId="1" type="noConversion"/>
  </si>
  <si>
    <t>20*lv+100</t>
    <phoneticPr fontId="1" type="noConversion"/>
  </si>
  <si>
    <t>每次受到攻击都会提高[2+2*lv]点攻击力</t>
    <phoneticPr fontId="1" type="noConversion"/>
  </si>
  <si>
    <t>2+2*lv</t>
    <phoneticPr fontId="1" type="noConversion"/>
  </si>
  <si>
    <t>提高[20*lv+170]点护甲穿透</t>
    <phoneticPr fontId="1" type="noConversion"/>
  </si>
  <si>
    <t>20*lv+170</t>
    <phoneticPr fontId="1" type="noConversion"/>
  </si>
  <si>
    <t>【剑刃风暴】伤害提高[10*lv+20]%</t>
    <phoneticPr fontId="1" type="noConversion"/>
  </si>
  <si>
    <t>1000*lv+2000</t>
    <phoneticPr fontId="1" type="noConversion"/>
  </si>
  <si>
    <t>剑刃风暴获得10%多重施法</t>
    <phoneticPr fontId="1" type="noConversion"/>
  </si>
  <si>
    <t>行动时有[10+lv]%几率减少敌方3点法力值</t>
    <phoneticPr fontId="1" type="noConversion"/>
  </si>
  <si>
    <t>行动时有[10+2*lv]%几率回复3点能量</t>
    <phoneticPr fontId="1" type="noConversion"/>
  </si>
  <si>
    <t>500*lv+a.rating/5</t>
    <phoneticPr fontId="1" type="noConversion"/>
  </si>
  <si>
    <t>提高20+5*lv队伍攻击力</t>
    <phoneticPr fontId="1" type="noConversion"/>
  </si>
  <si>
    <t>提高[100+12*lv]点法术穿透</t>
    <phoneticPr fontId="1" type="noConversion"/>
  </si>
  <si>
    <t>100+12*lv</t>
    <phoneticPr fontId="1" type="noConversion"/>
  </si>
  <si>
    <t>80+10*lv</t>
    <phoneticPr fontId="1" type="noConversion"/>
  </si>
  <si>
    <t>提高[3+lv]点冰属性强化</t>
    <phoneticPr fontId="1" type="noConversion"/>
  </si>
  <si>
    <t>【凛风冲击】伤害提高[5+5*lv]%</t>
    <phoneticPr fontId="1" type="noConversion"/>
  </si>
  <si>
    <t>500+500*lv</t>
    <phoneticPr fontId="1" type="noConversion"/>
  </si>
  <si>
    <t>每次开局获得[(1.5+0.5*lv)]%暴击，持续3回合</t>
    <phoneticPr fontId="1" type="noConversion"/>
  </si>
  <si>
    <t>150+50*lv</t>
    <phoneticPr fontId="1" type="noConversion"/>
  </si>
  <si>
    <t>【火球术】和【炎爆术】额外获得[(20+10*lv)]%暴击伤害</t>
    <phoneticPr fontId="1" type="noConversion"/>
  </si>
  <si>
    <t>2000+1000*lv</t>
    <phoneticPr fontId="1" type="noConversion"/>
  </si>
  <si>
    <t>提高[2*lv]火属性强化</t>
    <phoneticPr fontId="1" type="noConversion"/>
  </si>
  <si>
    <t>2000+500*lv</t>
    <phoneticPr fontId="1" type="noConversion"/>
  </si>
  <si>
    <t>【神圣洗礼】治疗效果提升[(8+3*lv)]%</t>
    <phoneticPr fontId="1" type="noConversion"/>
  </si>
  <si>
    <t>(45+3*lv)/100*a.ap</t>
    <phoneticPr fontId="1" type="noConversion"/>
  </si>
  <si>
    <t>提高[(40+24*lv)]点法术穿透</t>
    <phoneticPr fontId="1" type="noConversion"/>
  </si>
  <si>
    <t>40+24*lv</t>
    <phoneticPr fontId="1" type="noConversion"/>
  </si>
  <si>
    <t>提高[20*lv+80]点速度和[0.3*lv+1.2]%治疗效果</t>
    <phoneticPr fontId="1" type="noConversion"/>
  </si>
  <si>
    <t>20*lv+80</t>
    <phoneticPr fontId="1" type="noConversion"/>
  </si>
  <si>
    <t>30*lv+120</t>
    <phoneticPr fontId="1" type="noConversion"/>
  </si>
  <si>
    <t>提高[1+0.1*lv]%多重施法</t>
    <phoneticPr fontId="1" type="noConversion"/>
  </si>
  <si>
    <t>200+200*lv</t>
    <phoneticPr fontId="1" type="noConversion"/>
  </si>
  <si>
    <t>300+50*lv</t>
    <phoneticPr fontId="1" type="noConversion"/>
  </si>
  <si>
    <t>提高自己[2*lv+12]点火属性强化</t>
    <phoneticPr fontId="1" type="noConversion"/>
  </si>
  <si>
    <t>12+2*lv</t>
    <phoneticPr fontId="1" type="noConversion"/>
  </si>
  <si>
    <t>提高[100+20*lv]点护甲</t>
    <phoneticPr fontId="1" type="noConversion"/>
  </si>
  <si>
    <t>【火箭重锤】伤害提高[10+10*lv]%</t>
    <phoneticPr fontId="1" type="noConversion"/>
  </si>
  <si>
    <t>50+40*lv</t>
    <phoneticPr fontId="1" type="noConversion"/>
  </si>
  <si>
    <t>40+35*lv</t>
    <phoneticPr fontId="1" type="noConversion"/>
  </si>
  <si>
    <t>敌方生命值低于$y40%$w时，提高[(80+80*lv)]点速度</t>
    <phoneticPr fontId="1" type="noConversion"/>
  </si>
  <si>
    <t>80+80*lv</t>
    <phoneticPr fontId="1" type="noConversion"/>
  </si>
  <si>
    <t>敌方生命值低于$y35%$w时，提高[(80+80*lv)]点护甲穿透</t>
    <phoneticPr fontId="1" type="noConversion"/>
  </si>
  <si>
    <t>【最后一击】回复自己$g[(2+2*lv)]%*自己最大生命值$w的血量</t>
    <phoneticPr fontId="1" type="noConversion"/>
  </si>
  <si>
    <t>(2*lv+2)/100*a.hp</t>
    <phoneticPr fontId="1" type="noConversion"/>
  </si>
  <si>
    <t>敌方生命值高于$y75%$w时，提高[(400+600*lv)/100]%治疗效果</t>
    <phoneticPr fontId="1" type="noConversion"/>
  </si>
  <si>
    <t>200+300*lv</t>
    <phoneticPr fontId="1" type="noConversion"/>
  </si>
  <si>
    <t>【普通攻击】附加$r[(5+2*lv)]%*法术强度+[(3+1*lv)]%*攻击力$w的伤害</t>
    <phoneticPr fontId="1" type="noConversion"/>
  </si>
  <si>
    <t>(5+2*lv)/100*a.ap+(3+lv)/100*a.ad</t>
    <phoneticPr fontId="1" type="noConversion"/>
  </si>
  <si>
    <t>提高20+10*lv点护甲</t>
    <phoneticPr fontId="1" type="noConversion"/>
  </si>
  <si>
    <t>20+10*lv</t>
    <phoneticPr fontId="1" type="noConversion"/>
  </si>
  <si>
    <t>提高10+10*lv点护甲和魔抗，提高20+25*lv点AD和AP</t>
    <phoneticPr fontId="1" type="noConversion"/>
  </si>
  <si>
    <t>10+10*lv</t>
    <phoneticPr fontId="1" type="noConversion"/>
  </si>
  <si>
    <t>10+10*lv</t>
    <phoneticPr fontId="1" type="noConversion"/>
  </si>
  <si>
    <t>20+25*lv</t>
    <phoneticPr fontId="1" type="noConversion"/>
  </si>
  <si>
    <t>20+25*lv</t>
    <phoneticPr fontId="1" type="noConversion"/>
  </si>
  <si>
    <t>受到攻击时对敌方造成$o[(5+0.5*lv)]%*攻击力+[(7+0.5*lv)]%*法术强度$w的伤害</t>
    <phoneticPr fontId="1" type="noConversion"/>
  </si>
  <si>
    <t>(5+0.5*lv)/100*a.ad+(7+0.5*lv)/100*a.ap</t>
    <phoneticPr fontId="1" type="noConversion"/>
  </si>
  <si>
    <t>$y12%$w几率造成$b[120+20*lv]+[(100+5*lv)]%*法术强度$w的魔法伤害，受到的伤害降低[(6+lv)]%持续1回合</t>
    <phoneticPr fontId="1" type="noConversion"/>
  </si>
  <si>
    <t>150+25*lv</t>
    <phoneticPr fontId="1" type="noConversion"/>
  </si>
  <si>
    <t>【瞬步】伤害提高[2*lv+12]%</t>
    <phoneticPr fontId="1" type="noConversion"/>
  </si>
  <si>
    <t>200*lv+1200</t>
    <phoneticPr fontId="1" type="noConversion"/>
  </si>
  <si>
    <t>【弹射之刃】伤害提高[(40+10*lv)]%</t>
    <phoneticPr fontId="1" type="noConversion"/>
  </si>
  <si>
    <t>【弹射之刃】获得[20+1*lv]%【多重施法】，【瞬步】获得[23+3*lv]%吸血</t>
    <phoneticPr fontId="1" type="noConversion"/>
  </si>
  <si>
    <t>2000+100*lv</t>
    <phoneticPr fontId="1" type="noConversion"/>
  </si>
  <si>
    <t>2300+300*lv</t>
    <phoneticPr fontId="1" type="noConversion"/>
  </si>
  <si>
    <t>提高[10+18*lv]点护甲，[(50+5*lv)/100]%治疗效果</t>
    <phoneticPr fontId="1" type="noConversion"/>
  </si>
  <si>
    <t>10+18*lv</t>
    <phoneticPr fontId="1" type="noConversion"/>
  </si>
  <si>
    <t>50+5*lv</t>
    <phoneticPr fontId="1" type="noConversion"/>
  </si>
  <si>
    <t>提高[(100+50*lv)/100]%治疗效果，提高[1+0.2*lv]%血量</t>
    <phoneticPr fontId="1" type="noConversion"/>
  </si>
  <si>
    <t>100+50*lv</t>
    <phoneticPr fontId="1" type="noConversion"/>
  </si>
  <si>
    <t>1+0.2*lv</t>
    <phoneticPr fontId="1" type="noConversion"/>
  </si>
  <si>
    <t>20+18*lv</t>
    <phoneticPr fontId="1" type="noConversion"/>
  </si>
  <si>
    <t>自身【德玛西亚正义】伤害提升[12+8*lv]%</t>
    <phoneticPr fontId="1" type="noConversion"/>
  </si>
  <si>
    <t>1200+800*lv</t>
    <phoneticPr fontId="1" type="noConversion"/>
  </si>
  <si>
    <t>-80-6*lv</t>
    <phoneticPr fontId="1" type="noConversion"/>
  </si>
  <si>
    <t>150+15*lv</t>
    <phoneticPr fontId="1" type="noConversion"/>
  </si>
  <si>
    <t>提高[210+20*lv]点速度</t>
    <phoneticPr fontId="1" type="noConversion"/>
  </si>
  <si>
    <t>210+20*lv</t>
    <phoneticPr fontId="1" type="noConversion"/>
  </si>
  <si>
    <t>提高[120+20*lv]点护甲穿透和法术穿透</t>
    <phoneticPr fontId="1" type="noConversion"/>
  </si>
  <si>
    <t>120+20*lv</t>
    <phoneticPr fontId="1" type="noConversion"/>
  </si>
  <si>
    <t>120+20*lv</t>
    <phoneticPr fontId="1" type="noConversion"/>
  </si>
  <si>
    <t>连锁技能伤害提高[4+1*lv]%</t>
    <phoneticPr fontId="1" type="noConversion"/>
  </si>
  <si>
    <t>4+1*lv</t>
    <phoneticPr fontId="1" type="noConversion"/>
  </si>
  <si>
    <t>【秘术射击】伤害提高[15+5*lv]%</t>
    <phoneticPr fontId="1" type="noConversion"/>
  </si>
  <si>
    <t>【秘术射击】和【精准弹幕】获得[1+1*lv]%多重施法，光属性强化+5</t>
    <phoneticPr fontId="1" type="noConversion"/>
  </si>
  <si>
    <t>100+100*lv</t>
    <phoneticPr fontId="1" type="noConversion"/>
  </si>
  <si>
    <t>100+100*lv</t>
    <phoneticPr fontId="1" type="noConversion"/>
  </si>
  <si>
    <t>【精准弹幕】伤害提高[10+15*lv]%</t>
    <phoneticPr fontId="1" type="noConversion"/>
  </si>
  <si>
    <t>1000+1500*lv</t>
    <phoneticPr fontId="1" type="noConversion"/>
  </si>
  <si>
    <t>每次行动回复[0.5+0.05*lv]%*最大生命值的血量，这个效果有8%可能提高10倍，但是下回合使用【干杯！】</t>
    <phoneticPr fontId="1" type="noConversion"/>
  </si>
  <si>
    <t>$y12%$w几率丢出一个酒桶，每回合都有$y15%$w自爆或被其他酒桶引爆，造成$b[200+20*lv]+[(105+15*lv)]%*法术强度$w的魔法伤害并附加1层【虚弱】，每存在1回合【滚动酒桶】伤害增加$y30%</t>
    <phoneticPr fontId="1" type="noConversion"/>
  </si>
  <si>
    <t>提高[1.2+0.2*lv]%暴击</t>
    <phoneticPr fontId="1" type="noConversion"/>
  </si>
  <si>
    <t>(1.5+1.5*lv)/100*a.ad+(2+2*lv)/100*a.ap</t>
    <phoneticPr fontId="1" type="noConversion"/>
  </si>
  <si>
    <t>提高[90+30*lv]点护甲和魔抗</t>
    <phoneticPr fontId="1" type="noConversion"/>
  </si>
  <si>
    <t>90+30*lv</t>
    <phoneticPr fontId="1" type="noConversion"/>
  </si>
  <si>
    <t>【炼狱鬼斩】提高[16+2*lv]%伤害，[16+2*lv]%暴击</t>
    <phoneticPr fontId="1" type="noConversion"/>
  </si>
  <si>
    <t>1600+200*lv</t>
    <phoneticPr fontId="1" type="noConversion"/>
  </si>
  <si>
    <t>1600+200*lv</t>
    <phoneticPr fontId="1" type="noConversion"/>
  </si>
  <si>
    <t>暴击时，提高[23+3*lv]速度和护甲穿透</t>
    <phoneticPr fontId="1" type="noConversion"/>
  </si>
  <si>
    <t>23+3*lv</t>
    <phoneticPr fontId="1" type="noConversion"/>
  </si>
  <si>
    <t>【飞龙·大佛斩】必定暴击，伤害提高[6+4*lv]%</t>
    <phoneticPr fontId="1" type="noConversion"/>
  </si>
  <si>
    <t>600+400*lv</t>
    <phoneticPr fontId="1" type="noConversion"/>
  </si>
  <si>
    <t>【恶魔风脚】伤害提高[13+1*lv]%，并提高[90+30*lv]速度</t>
    <phoneticPr fontId="1" type="noConversion"/>
  </si>
  <si>
    <t>1300+100*lv</t>
    <phoneticPr fontId="1" type="noConversion"/>
  </si>
  <si>
    <t>提高[0.8+0.3*lv]%暴击伤害</t>
    <phoneticPr fontId="1" type="noConversion"/>
  </si>
  <si>
    <t>提高[1.7+0.7*lv]点火属性强化</t>
    <phoneticPr fontId="1" type="noConversion"/>
  </si>
  <si>
    <t>1.7+0.7*lv</t>
    <phoneticPr fontId="1" type="noConversion"/>
  </si>
  <si>
    <t>提高[40+60*lv]护甲穿透，[10+15*lv]点魔抗</t>
    <phoneticPr fontId="1" type="noConversion"/>
  </si>
  <si>
    <t>40+60*lv</t>
    <phoneticPr fontId="1" type="noConversion"/>
  </si>
  <si>
    <t>10+15*lv</t>
    <phoneticPr fontId="1" type="noConversion"/>
  </si>
  <si>
    <t>行动时[1+1*lv]%可以获得球，每颗球提高1%吸血，最多9个</t>
    <phoneticPr fontId="1" type="noConversion"/>
  </si>
  <si>
    <t>30+10*lv</t>
    <phoneticPr fontId="1" type="noConversion"/>
  </si>
  <si>
    <t>30+10*lv</t>
    <phoneticPr fontId="1" type="noConversion"/>
  </si>
  <si>
    <t>行动时有20%几率消耗掉所有球进行攻击，每颗球造成[2+2*lv]%*法术强度的伤害</t>
    <phoneticPr fontId="1" type="noConversion"/>
  </si>
  <si>
    <t>【甜甜甘风】伤害提高[30+20*lv]%</t>
    <phoneticPr fontId="1" type="noConversion"/>
  </si>
  <si>
    <t>3000+2000*lv</t>
    <phoneticPr fontId="1" type="noConversion"/>
  </si>
  <si>
    <t>提高[5*lv]点队伍攻击力</t>
    <phoneticPr fontId="1" type="noConversion"/>
  </si>
  <si>
    <t>【普通攻击】伤害提高[1.8+0.3*lv]%</t>
    <phoneticPr fontId="1" type="noConversion"/>
  </si>
  <si>
    <t>180+30*lv</t>
    <phoneticPr fontId="1" type="noConversion"/>
  </si>
  <si>
    <t>组合技中提高[2+0.2*lv]%伤害和治疗</t>
    <phoneticPr fontId="1" type="noConversion"/>
  </si>
  <si>
    <t>200+20*lv</t>
    <phoneticPr fontId="1" type="noConversion"/>
  </si>
  <si>
    <t>提高[1.1+0.2*lv]%吸血</t>
    <phoneticPr fontId="1" type="noConversion"/>
  </si>
  <si>
    <t>110+20*lv</t>
    <phoneticPr fontId="1" type="noConversion"/>
  </si>
  <si>
    <t>提高[70+30*lv]点护甲和魔抗，[20+10*lv]点速度</t>
    <phoneticPr fontId="1" type="noConversion"/>
  </si>
  <si>
    <t>70+30*lv</t>
    <phoneticPr fontId="1" type="noConversion"/>
  </si>
  <si>
    <t>提高[8+8*lv]点队伍法术强度</t>
    <phoneticPr fontId="1" type="noConversion"/>
  </si>
  <si>
    <t>【豪火球】获得[100+150*lv]点穿透，【火遁·凤仙火】获得[20+5*lv]%暴击伤害</t>
    <phoneticPr fontId="1" type="noConversion"/>
  </si>
  <si>
    <t>100+150*lv</t>
    <phoneticPr fontId="1" type="noConversion"/>
  </si>
  <si>
    <t>2000+500*lv</t>
    <phoneticPr fontId="1" type="noConversion"/>
  </si>
  <si>
    <t>3.5+0.5*lv</t>
    <phoneticPr fontId="1" type="noConversion"/>
  </si>
  <si>
    <t>3000+500*lv</t>
    <phoneticPr fontId="1" type="noConversion"/>
  </si>
  <si>
    <t>900+400*lv</t>
    <phoneticPr fontId="1" type="noConversion"/>
  </si>
  <si>
    <t>$y10%$w几率消耗60能量造成$r[400+100*lv]+[(100+50*lv)]%*攻击力$w的火属性攻击，额外获得[40+10*lv]%暴击伤害，视为【普通攻击】</t>
    <phoneticPr fontId="1" type="noConversion"/>
  </si>
  <si>
    <t>4000+100*lv</t>
    <phoneticPr fontId="1" type="noConversion"/>
  </si>
  <si>
    <t>【雷切】暴击额外恢复30能量</t>
    <phoneticPr fontId="1" type="noConversion"/>
  </si>
  <si>
    <t>33+7*lv</t>
    <phoneticPr fontId="1" type="noConversion"/>
  </si>
  <si>
    <t>【飞雷神之术】同时提高[3+0.5*lv]%伤害</t>
    <phoneticPr fontId="1" type="noConversion"/>
  </si>
  <si>
    <t>4+1*lv</t>
    <phoneticPr fontId="1" type="noConversion"/>
  </si>
  <si>
    <t>【吟唱】，本回合必定暴击，并提高[0.5*lv]%暴击伤害</t>
    <phoneticPr fontId="1" type="noConversion"/>
  </si>
  <si>
    <t>50*lv</t>
    <phoneticPr fontId="1" type="noConversion"/>
  </si>
  <si>
    <t>提高[3.2+0.4*lv]点暗属性强化</t>
    <phoneticPr fontId="1" type="noConversion"/>
  </si>
  <si>
    <t>3.2+0.4*lv</t>
    <phoneticPr fontId="1" type="noConversion"/>
  </si>
  <si>
    <t>提高[30+10*lv]点攻击力</t>
    <phoneticPr fontId="1" type="noConversion"/>
  </si>
  <si>
    <t>4+1*lv</t>
    <phoneticPr fontId="1" type="noConversion"/>
  </si>
  <si>
    <t>提高[1+0.2*lv]%治疗效果</t>
    <phoneticPr fontId="1" type="noConversion"/>
  </si>
  <si>
    <t>100+20*lv</t>
    <phoneticPr fontId="1" type="noConversion"/>
  </si>
  <si>
    <t>【月光剑】伤害提高[26+6*lv]%</t>
    <phoneticPr fontId="1" type="noConversion"/>
  </si>
  <si>
    <t>2600+600*lv</t>
    <phoneticPr fontId="1" type="noConversion"/>
  </si>
  <si>
    <t>提高[60+40*lv]点护甲穿透，[0.6+0.4*lv]%暴击伤害</t>
    <phoneticPr fontId="1" type="noConversion"/>
  </si>
  <si>
    <t>60+40*lv</t>
    <phoneticPr fontId="1" type="noConversion"/>
  </si>
  <si>
    <t>10级后提高3点光属性强化</t>
    <phoneticPr fontId="1" type="noConversion"/>
  </si>
  <si>
    <t>提高[100+35*lv]点护甲</t>
    <phoneticPr fontId="1" type="noConversion"/>
  </si>
  <si>
    <t>100+35*lv</t>
    <phoneticPr fontId="1" type="noConversion"/>
  </si>
  <si>
    <t>消耗所有怒气，每点怒气提高百分比攻击力</t>
    <phoneticPr fontId="1" type="noConversion"/>
  </si>
  <si>
    <t>【蛰刀流断】伤害提升[10+10*lv]%并附加1层【流血】</t>
    <phoneticPr fontId="1" type="noConversion"/>
  </si>
  <si>
    <t>1000+1000*lv</t>
    <phoneticPr fontId="1" type="noConversion"/>
  </si>
  <si>
    <t>并附加1层【流血】</t>
    <phoneticPr fontId="1" type="noConversion"/>
  </si>
  <si>
    <t>(1/100*b.hp+5/100*a.ad)*lv</t>
    <phoneticPr fontId="1" type="noConversion"/>
  </si>
  <si>
    <t>提高[105+15*lv]点穿透</t>
    <phoneticPr fontId="1" type="noConversion"/>
  </si>
  <si>
    <t>105+15*lv</t>
    <phoneticPr fontId="1" type="noConversion"/>
  </si>
  <si>
    <t>【月牙冲天】使用后提高[240+40*lv]点速度，持续1回合</t>
    <phoneticPr fontId="1" type="noConversion"/>
  </si>
  <si>
    <t>240+40*lv</t>
    <phoneticPr fontId="1" type="noConversion"/>
  </si>
  <si>
    <t>提高[30+30*lv]点护甲和魔抗，提高[0.3+0.3*lv]%吸血</t>
    <phoneticPr fontId="1" type="noConversion"/>
  </si>
  <si>
    <t>30+30*lv</t>
    <phoneticPr fontId="1" type="noConversion"/>
  </si>
  <si>
    <t>30+30*lv</t>
    <phoneticPr fontId="1" type="noConversion"/>
  </si>
  <si>
    <t>1000+500*lv</t>
    <phoneticPr fontId="1" type="noConversion"/>
  </si>
  <si>
    <t>【十万伏特】伤害提高[31+7*lv]%</t>
    <phoneticPr fontId="1" type="noConversion"/>
  </si>
  <si>
    <t>3100+700*lv</t>
    <phoneticPr fontId="1" type="noConversion"/>
  </si>
  <si>
    <t>每回合提高[0.2+0.2*lv]点光强，释放光属性技能后重置</t>
    <phoneticPr fontId="1" type="noConversion"/>
  </si>
  <si>
    <t>65+15*lv</t>
    <phoneticPr fontId="1" type="noConversion"/>
  </si>
  <si>
    <t>0.4+0.4*lv</t>
    <phoneticPr fontId="1" type="noConversion"/>
  </si>
  <si>
    <t>提高[140+40*lv]点魔抗和[0.4+0.4*lv]%治疗效果</t>
    <phoneticPr fontId="1" type="noConversion"/>
  </si>
  <si>
    <t>140+40*lv</t>
    <phoneticPr fontId="1" type="noConversion"/>
  </si>
  <si>
    <t>40+40*lv</t>
    <phoneticPr fontId="1" type="noConversion"/>
  </si>
  <si>
    <t>敌方血量高于80%时，【日炎之息】提高[10+15*lv]%暴击，伤害提高[2+3*lv]%</t>
    <phoneticPr fontId="1" type="noConversion"/>
  </si>
  <si>
    <t>王牌飞剑</t>
    <phoneticPr fontId="1" type="noConversion"/>
  </si>
  <si>
    <t>玩具奇观</t>
    <phoneticPr fontId="1" type="noConversion"/>
  </si>
  <si>
    <t>飞沙走石</t>
    <phoneticPr fontId="1" type="noConversion"/>
  </si>
  <si>
    <t>60+30*lv</t>
    <phoneticPr fontId="1" type="noConversion"/>
  </si>
  <si>
    <t>行动时有几率使敌人受到[(2+1*lv)]%*护甲的持续伤害</t>
    <phoneticPr fontId="1" type="noConversion"/>
  </si>
  <si>
    <t>(2+1*lv)/100*a.arm</t>
    <phoneticPr fontId="1" type="noConversion"/>
  </si>
  <si>
    <t>160+40*lv</t>
    <phoneticPr fontId="1" type="noConversion"/>
  </si>
  <si>
    <t>(4+0.8*lv)*a.rating/100</t>
    <phoneticPr fontId="1" type="noConversion"/>
  </si>
  <si>
    <t>【夺命雷霆枪】伤害提高[32+7*lv]%，【凤火燎原】伤害提高[32+7*lv]%</t>
    <phoneticPr fontId="1" type="noConversion"/>
  </si>
  <si>
    <t>3200+700*lv</t>
    <phoneticPr fontId="1" type="noConversion"/>
  </si>
  <si>
    <t>3200+700*lv</t>
    <phoneticPr fontId="1" type="noConversion"/>
  </si>
  <si>
    <t>1+0.5*lv</t>
    <phoneticPr fontId="1" type="noConversion"/>
  </si>
  <si>
    <t>4+4*lv</t>
    <phoneticPr fontId="1" type="noConversion"/>
  </si>
  <si>
    <t>10+5*lv</t>
    <phoneticPr fontId="1" type="noConversion"/>
  </si>
  <si>
    <t>30+12*lv</t>
    <phoneticPr fontId="1" type="noConversion"/>
  </si>
  <si>
    <t>提高[250+200*lv]点血量，提高[50+20*lv]点攻击力。</t>
    <phoneticPr fontId="1" type="noConversion"/>
  </si>
  <si>
    <t>250+200*lv</t>
    <phoneticPr fontId="1" type="noConversion"/>
  </si>
  <si>
    <t>50+20*lv</t>
    <phoneticPr fontId="1" type="noConversion"/>
  </si>
  <si>
    <t>提高护甲相当于[1+1.5*lv]%*队伍攻击力，提高魔抗相当于[1+1.5*lv]%*队伍法术强度。</t>
    <phoneticPr fontId="1" type="noConversion"/>
  </si>
  <si>
    <t>6+2*lv</t>
    <phoneticPr fontId="1" type="noConversion"/>
  </si>
  <si>
    <t>降低[40+15*lv]护甲和魔法抗性，提高[200+25*lv]点攻击力</t>
    <phoneticPr fontId="1" type="noConversion"/>
  </si>
  <si>
    <t>0-40-15*lv</t>
    <phoneticPr fontId="1" type="noConversion"/>
  </si>
  <si>
    <t>200+25*lv</t>
    <phoneticPr fontId="1" type="noConversion"/>
  </si>
  <si>
    <t>攻击造成[2+0.5*lv]%敌方最大生命值的额外伤害</t>
    <phoneticPr fontId="1" type="noConversion"/>
  </si>
  <si>
    <t>【瞬狱杀】有$y[10+5*lv]%$w几率附加两层【灼烧】。</t>
    <phoneticPr fontId="1" type="noConversion"/>
  </si>
  <si>
    <t>3/100*b.hp</t>
    <phoneticPr fontId="1" type="noConversion"/>
  </si>
  <si>
    <t>1+2*lv</t>
    <phoneticPr fontId="1" type="noConversion"/>
  </si>
  <si>
    <t>15+5*lv</t>
    <phoneticPr fontId="1" type="noConversion"/>
  </si>
  <si>
    <t>提高法术穿透相当于[2+1.5*lv]%*攻击力，提高护甲穿透相当于[2+1.5*lv]%*法术强度</t>
    <phoneticPr fontId="1" type="noConversion"/>
  </si>
  <si>
    <t>提高[0.5+0.3*lv]%吸血，[0.8+0.4*lv]%治疗效果</t>
    <phoneticPr fontId="1" type="noConversion"/>
  </si>
  <si>
    <t>50+30*lv</t>
    <phoneticPr fontId="1" type="noConversion"/>
  </si>
  <si>
    <t>80+40*lv</t>
    <phoneticPr fontId="1" type="noConversion"/>
  </si>
  <si>
    <t>【普通攻击】附加[8+2*lv]%*攻击力+[8+2*lv]*法术强度的额外伤害</t>
    <phoneticPr fontId="1" type="noConversion"/>
  </si>
  <si>
    <t>(8+2*lv)/100*a.ad+(8+2*lv)/100*a.ap</t>
    <phoneticPr fontId="1" type="noConversion"/>
  </si>
  <si>
    <t>3+lv</t>
    <phoneticPr fontId="1" type="noConversion"/>
  </si>
  <si>
    <t>(80+15*lv)+(0.2*lv+0.8)/100*a.hp</t>
    <phoneticPr fontId="1" type="noConversion"/>
  </si>
  <si>
    <t>(60+20*lv)/100*a.ap</t>
    <phoneticPr fontId="1" type="noConversion"/>
  </si>
  <si>
    <t>(1/100*b.hp+5/100*a.ap)</t>
    <phoneticPr fontId="1" type="noConversion"/>
  </si>
  <si>
    <t>(1/100*b.hp)</t>
    <phoneticPr fontId="1" type="noConversion"/>
  </si>
  <si>
    <t>100+60*lv</t>
    <phoneticPr fontId="1" type="noConversion"/>
  </si>
  <si>
    <t>40+10*lv</t>
    <phoneticPr fontId="1" type="noConversion"/>
  </si>
  <si>
    <t>70+20*lv</t>
    <phoneticPr fontId="1" type="noConversion"/>
  </si>
  <si>
    <t>提高[40+8*lv]点护甲和魔法抗性</t>
    <phoneticPr fontId="1" type="noConversion"/>
  </si>
  <si>
    <t>40+8*lv</t>
    <phoneticPr fontId="1" type="noConversion"/>
  </si>
  <si>
    <t>40+8*lv</t>
    <phoneticPr fontId="1" type="noConversion"/>
  </si>
  <si>
    <t>1.5+0.5*lv</t>
    <phoneticPr fontId="1" type="noConversion"/>
  </si>
  <si>
    <t>20+6*lv</t>
    <phoneticPr fontId="1" type="noConversion"/>
  </si>
  <si>
    <t>提高[2+lv]点光属性强化</t>
    <phoneticPr fontId="1" type="noConversion"/>
  </si>
  <si>
    <t>【贯穿之矛】伤害提高[2+2*lv]%</t>
    <phoneticPr fontId="1" type="noConversion"/>
  </si>
  <si>
    <t>提高[60+20*lv]点速度</t>
    <phoneticPr fontId="1" type="noConversion"/>
  </si>
  <si>
    <t>60+20*lv</t>
    <phoneticPr fontId="1" type="noConversion"/>
  </si>
  <si>
    <t>受到伤害时提高[20+3*lv]点护甲和魔法抗性</t>
    <phoneticPr fontId="1" type="noConversion"/>
  </si>
  <si>
    <t>20+3*lv</t>
    <phoneticPr fontId="1" type="noConversion"/>
  </si>
  <si>
    <t>提高[80+12*lv]点法术穿透</t>
    <phoneticPr fontId="1" type="noConversion"/>
  </si>
  <si>
    <t>80+12*lv</t>
    <phoneticPr fontId="1" type="noConversion"/>
  </si>
  <si>
    <t>20*lv</t>
    <phoneticPr fontId="1" type="noConversion"/>
  </si>
  <si>
    <t>60+10*lv</t>
    <phoneticPr fontId="1" type="noConversion"/>
  </si>
  <si>
    <t>80+50*lv</t>
    <phoneticPr fontId="1" type="noConversion"/>
  </si>
  <si>
    <t>10+8*lv</t>
    <phoneticPr fontId="1" type="noConversion"/>
  </si>
  <si>
    <t>【吟唱】，本回合提高[400+250*lv]攻击力和法术强度。</t>
    <phoneticPr fontId="1" type="noConversion"/>
  </si>
  <si>
    <t>400+250*lv</t>
    <phoneticPr fontId="1" type="noConversion"/>
  </si>
  <si>
    <t>提高[50+20*lv]点护甲和魔法抗性，提高[0.5*lv]点光属性抗性</t>
    <phoneticPr fontId="1" type="noConversion"/>
  </si>
  <si>
    <t>0.5*lv</t>
    <phoneticPr fontId="1" type="noConversion"/>
  </si>
  <si>
    <t>【万象支配】的伤害提高[20+5*lv+当前魔法值/5]%</t>
    <phoneticPr fontId="1" type="noConversion"/>
  </si>
  <si>
    <t>2000+500*lv+a.cur_mana/5</t>
    <phoneticPr fontId="1" type="noConversion"/>
  </si>
  <si>
    <t>提高[3+0.5*lv]点法力值上限</t>
    <phoneticPr fontId="1" type="noConversion"/>
  </si>
  <si>
    <t>提高[30+20*lv]点速度，[45+25*lv]点法术穿透</t>
    <phoneticPr fontId="1" type="noConversion"/>
  </si>
  <si>
    <t>45+25*lv</t>
    <phoneticPr fontId="1" type="noConversion"/>
  </si>
  <si>
    <t>30+20*lv</t>
    <phoneticPr fontId="1" type="noConversion"/>
  </si>
  <si>
    <t>15+5*lv</t>
    <phoneticPr fontId="1" type="noConversion"/>
  </si>
  <si>
    <t>4+2*lv</t>
    <phoneticPr fontId="1" type="noConversion"/>
  </si>
  <si>
    <t>30+15*lv</t>
    <phoneticPr fontId="1" type="noConversion"/>
  </si>
  <si>
    <t>提高[3+0.5*lv]点火属性强化</t>
    <phoneticPr fontId="1" type="noConversion"/>
  </si>
  <si>
    <t>提高[1+0.2*lv]%治疗效果</t>
    <phoneticPr fontId="1" type="noConversion"/>
  </si>
  <si>
    <t>提高[0.5*lv]点火属性抗性和光属性抗性</t>
    <phoneticPr fontId="1" type="noConversion"/>
  </si>
  <si>
    <t>15+15*lv</t>
    <phoneticPr fontId="1" type="noConversion"/>
  </si>
  <si>
    <t>提高[100+20*lv]点速度</t>
    <phoneticPr fontId="1" type="noConversion"/>
  </si>
  <si>
    <t>行动时8%几率附加$r[6+lv]%*敌方最大生命值$w的伤害</t>
    <phoneticPr fontId="1" type="noConversion"/>
  </si>
  <si>
    <t>【单刀赴会】获得额外[6+lv]%吸血和[600+100*lv]点护甲穿透</t>
    <phoneticPr fontId="1" type="noConversion"/>
  </si>
  <si>
    <t>提高[60*lv]点速度和[10+20*lv]点攻击力</t>
    <phoneticPr fontId="1" type="noConversion"/>
  </si>
  <si>
    <t>60*lv</t>
    <phoneticPr fontId="1" type="noConversion"/>
  </si>
  <si>
    <t>10+20*lv</t>
    <phoneticPr fontId="1" type="noConversion"/>
  </si>
  <si>
    <t>【力劈桃山】会降低敌人[20+8*lv]点护甲和[25+15*lv]点速度</t>
    <phoneticPr fontId="1" type="noConversion"/>
  </si>
  <si>
    <t>-20-8*lv</t>
    <phoneticPr fontId="1" type="noConversion"/>
  </si>
  <si>
    <t>-25-15*lv</t>
    <phoneticPr fontId="1" type="noConversion"/>
  </si>
  <si>
    <t>提高[30+30*lv]点护甲穿透</t>
    <phoneticPr fontId="1" type="noConversion"/>
  </si>
  <si>
    <t>敌方血量低于20%时，攻击附加[6*lv+14]%*攻击力的伤害</t>
    <phoneticPr fontId="1" type="noConversion"/>
  </si>
  <si>
    <t>(14+6*lv)/100*a.ap</t>
    <phoneticPr fontId="1" type="noConversion"/>
  </si>
  <si>
    <t>10+7*lv</t>
    <phoneticPr fontId="1" type="noConversion"/>
  </si>
  <si>
    <t>攻击时$y[10+2*lv]%$w几率获得【元素强化】并附加[100+20*lv]点伤害</t>
    <phoneticPr fontId="1" type="noConversion"/>
  </si>
  <si>
    <t>回复$g[200+60*lv]$w生命值</t>
    <phoneticPr fontId="1" type="noConversion"/>
  </si>
  <si>
    <t>200+60*lv</t>
    <phoneticPr fontId="1" type="noConversion"/>
  </si>
  <si>
    <t>150*lv+100</t>
    <phoneticPr fontId="1" type="noConversion"/>
  </si>
  <si>
    <t>【血腥狂舞·回旋】伤害提高[40+60*lv]%并获得50%吸血</t>
    <phoneticPr fontId="1" type="noConversion"/>
  </si>
  <si>
    <t>5000</t>
    <phoneticPr fontId="1" type="noConversion"/>
  </si>
  <si>
    <t>80+20*lv</t>
    <phoneticPr fontId="1" type="noConversion"/>
  </si>
  <si>
    <t>提高[90+40*lv]点护甲穿透</t>
    <phoneticPr fontId="1" type="noConversion"/>
  </si>
  <si>
    <t>90+40*lv</t>
    <phoneticPr fontId="1" type="noConversion"/>
  </si>
  <si>
    <t>每次释放【阎魔刀】，会使本回合【阎魔刀】伤害提高[6+3*lv]%</t>
    <phoneticPr fontId="1" type="noConversion"/>
  </si>
  <si>
    <t>600+300*lv</t>
    <phoneticPr fontId="1" type="noConversion"/>
  </si>
  <si>
    <t>怒气上限提升[lv]点</t>
    <phoneticPr fontId="1" type="noConversion"/>
  </si>
  <si>
    <t>【超究武神霸斩】会忽略[6+lv]%护甲</t>
    <phoneticPr fontId="1" type="noConversion"/>
  </si>
  <si>
    <t>-6-lv</t>
    <phoneticPr fontId="1" type="noConversion"/>
  </si>
  <si>
    <t>每拥有10点怒气提高[0.2+0.1*lv]%暴击伤害</t>
    <phoneticPr fontId="1" type="noConversion"/>
  </si>
  <si>
    <t>(20+10*lv)*a.cur_rage/10</t>
    <phoneticPr fontId="1" type="noConversion"/>
  </si>
  <si>
    <t>提高[10*lv]点护甲，[20*lv]点魔法抗性</t>
    <phoneticPr fontId="1" type="noConversion"/>
  </si>
  <si>
    <t>【充能洗礼】额外回复$g[50+15*lv]%*攻击力+[650+150*lv]$w的血量</t>
    <phoneticPr fontId="1" type="noConversion"/>
  </si>
  <si>
    <t>(50+15*lv)/100*a.ad+650+150*lv</t>
    <phoneticPr fontId="1" type="noConversion"/>
  </si>
  <si>
    <t>提高[90+60*lv]点速度</t>
    <phoneticPr fontId="1" type="noConversion"/>
  </si>
  <si>
    <t>90+60*lv</t>
    <phoneticPr fontId="1" type="noConversion"/>
  </si>
  <si>
    <t>【普通攻击】会提高[0.5+0.1*lv]%暴击伤害，可叠加</t>
    <phoneticPr fontId="1" type="noConversion"/>
  </si>
  <si>
    <t>50+10*lv</t>
    <phoneticPr fontId="1" type="noConversion"/>
  </si>
  <si>
    <t>提高[50+12*lv]点护甲穿透，[90+25*lv]点速度</t>
    <phoneticPr fontId="1" type="noConversion"/>
  </si>
  <si>
    <t>50+12*lv</t>
    <phoneticPr fontId="1" type="noConversion"/>
  </si>
  <si>
    <t>90+25*lv</t>
    <phoneticPr fontId="1" type="noConversion"/>
  </si>
  <si>
    <t>500+300*lv</t>
    <phoneticPr fontId="1" type="noConversion"/>
  </si>
  <si>
    <t>80+50*lv</t>
    <phoneticPr fontId="1" type="noConversion"/>
  </si>
  <si>
    <t>【冲刺铁拳】伤害提高[6+2*lv]%</t>
    <phoneticPr fontId="1" type="noConversion"/>
  </si>
  <si>
    <t>提高[100+22*lv]点速度</t>
    <phoneticPr fontId="1" type="noConversion"/>
  </si>
  <si>
    <t>100+22*lv</t>
    <phoneticPr fontId="1" type="noConversion"/>
  </si>
  <si>
    <t>180+90*lv</t>
    <phoneticPr fontId="1" type="noConversion"/>
  </si>
  <si>
    <t>行动时提高[20+5*lv]点速度</t>
    <phoneticPr fontId="1" type="noConversion"/>
  </si>
  <si>
    <t>提高[20+5*lv]点攻击力</t>
    <phoneticPr fontId="1" type="noConversion"/>
  </si>
  <si>
    <t>提高[100+17*lv]点护甲</t>
    <phoneticPr fontId="1" type="noConversion"/>
  </si>
  <si>
    <t>100+17*lv</t>
    <phoneticPr fontId="1" type="noConversion"/>
  </si>
  <si>
    <t>提高[0.8+0.2*lv]%吸血，[0.4+0.1*lv]%治疗效果</t>
    <phoneticPr fontId="1" type="noConversion"/>
  </si>
  <si>
    <t>80+20*lv</t>
    <phoneticPr fontId="1" type="noConversion"/>
  </si>
  <si>
    <t>40+10*lv</t>
    <phoneticPr fontId="1" type="noConversion"/>
  </si>
  <si>
    <t>提高[80+15*lv]点护甲和魔抗</t>
    <phoneticPr fontId="1" type="noConversion"/>
  </si>
  <si>
    <t>80+15*lv</t>
    <phoneticPr fontId="1" type="noConversion"/>
  </si>
  <si>
    <t>提高[0.6+0.2*lv]%暴击，提高[1.2+0.8*lv]%暴击伤害</t>
    <phoneticPr fontId="1" type="noConversion"/>
  </si>
  <si>
    <t>120+80*lv</t>
    <phoneticPr fontId="1" type="noConversion"/>
  </si>
  <si>
    <t>提高[20+5*lv]点法术强度和[55+15*lv]法术穿透</t>
    <phoneticPr fontId="1" type="noConversion"/>
  </si>
  <si>
    <t>55+15*lv</t>
    <phoneticPr fontId="1" type="noConversion"/>
  </si>
  <si>
    <t>15+6*lv</t>
    <phoneticPr fontId="1" type="noConversion"/>
  </si>
  <si>
    <t>光属性强化提高[1+lv]</t>
    <phoneticPr fontId="1" type="noConversion"/>
  </si>
  <si>
    <t>1+lv</t>
    <phoneticPr fontId="1" type="noConversion"/>
  </si>
  <si>
    <t>-2-lv</t>
    <phoneticPr fontId="1" type="noConversion"/>
  </si>
  <si>
    <t>提高100点护甲和魔抗</t>
    <phoneticPr fontId="1" type="noConversion"/>
  </si>
  <si>
    <t>提高(20+6*lv)点护甲和魔抗</t>
    <phoneticPr fontId="1" type="noConversion"/>
  </si>
  <si>
    <t>20+6*lv</t>
    <phoneticPr fontId="1" type="noConversion"/>
  </si>
  <si>
    <t>提高[40+40*lv]点血量</t>
    <phoneticPr fontId="1" type="noConversion"/>
  </si>
  <si>
    <t>提高(20+10*lv)点暴击</t>
    <phoneticPr fontId="1" type="noConversion"/>
  </si>
  <si>
    <t>提高(30+15*lv)点暴击</t>
    <phoneticPr fontId="1" type="noConversion"/>
  </si>
  <si>
    <t>40+12*lv</t>
    <phoneticPr fontId="1" type="noConversion"/>
  </si>
  <si>
    <t>提高(60+18*lv)点护甲和魔抗</t>
    <phoneticPr fontId="1" type="noConversion"/>
  </si>
  <si>
    <t>50+50*lv</t>
    <phoneticPr fontId="1" type="noConversion"/>
  </si>
  <si>
    <t>提高[1.2+0.3*lv]%血量</t>
    <phoneticPr fontId="1" type="noConversion"/>
  </si>
  <si>
    <t>60+60*lv</t>
    <phoneticPr fontId="1" type="noConversion"/>
  </si>
  <si>
    <t>提高[10+5*lv]点法术强度</t>
    <phoneticPr fontId="1" type="noConversion"/>
  </si>
  <si>
    <t>提高[30+15*lv]点法术强度</t>
    <phoneticPr fontId="1" type="noConversion"/>
  </si>
  <si>
    <t>提高[10+5*lv]点攻击力</t>
    <phoneticPr fontId="1" type="noConversion"/>
  </si>
  <si>
    <t>提高[20+10*lv]点攻击力</t>
    <phoneticPr fontId="1" type="noConversion"/>
  </si>
  <si>
    <t>提高[30+15*lv]点攻击力</t>
    <phoneticPr fontId="1" type="noConversion"/>
  </si>
  <si>
    <t>提高[10+5*lv]点速度</t>
    <phoneticPr fontId="1" type="noConversion"/>
  </si>
  <si>
    <t>提高[20+10*lv]点速度</t>
    <phoneticPr fontId="1" type="noConversion"/>
  </si>
  <si>
    <t>30+15*lv</t>
    <phoneticPr fontId="1" type="noConversion"/>
  </si>
  <si>
    <t>11+1*lv</t>
    <phoneticPr fontId="1" type="noConversion"/>
  </si>
  <si>
    <t>11.5+1.5*lv</t>
    <phoneticPr fontId="1" type="noConversion"/>
  </si>
  <si>
    <t>提高[10+5*lv]点护甲穿透</t>
    <phoneticPr fontId="1" type="noConversion"/>
  </si>
  <si>
    <t>提高[20+10*lv]点护甲穿透</t>
    <phoneticPr fontId="1" type="noConversion"/>
  </si>
  <si>
    <t>提高[30+15*lv]点护甲穿透</t>
    <phoneticPr fontId="1" type="noConversion"/>
  </si>
  <si>
    <t>提高[10+5*lv]点法术穿透</t>
    <phoneticPr fontId="1" type="noConversion"/>
  </si>
  <si>
    <t>提高[20+10*lv]点法术穿透</t>
    <phoneticPr fontId="1" type="noConversion"/>
  </si>
  <si>
    <t>提高[30+15*lv]点法术穿透</t>
    <phoneticPr fontId="1" type="noConversion"/>
  </si>
  <si>
    <t>【精准射击】伤害提高[10+2*lv]%</t>
    <phoneticPr fontId="1" type="noConversion"/>
  </si>
  <si>
    <t>1000+200*lv</t>
    <phoneticPr fontId="1" type="noConversion"/>
  </si>
  <si>
    <t>【弹幕射击】伤害提高[20+3*lv]%</t>
    <phoneticPr fontId="1" type="noConversion"/>
  </si>
  <si>
    <t>2000+300*lv</t>
    <phoneticPr fontId="1" type="noConversion"/>
  </si>
  <si>
    <t>【爆裂射击】伤害提高[30+5*lv]%</t>
    <phoneticPr fontId="1" type="noConversion"/>
  </si>
  <si>
    <t>提高法术穿透数值相当于[0.5+0.3*lv]%的攻击力，提高护甲穿透数值相当于[0.5+0.3*lv]%的法术强度。</t>
    <phoneticPr fontId="1" type="noConversion"/>
  </si>
  <si>
    <t>(0.5+0.3*lv)/100*a.ap</t>
    <phoneticPr fontId="1" type="noConversion"/>
  </si>
  <si>
    <t>(0.5+0.3*lv)/100*a.ad</t>
    <phoneticPr fontId="1" type="noConversion"/>
  </si>
  <si>
    <t>自身【爆炸射击】释放后本回合所有行动获得[2+1*lv]%暴击，[2+2*lv]%暴击伤害</t>
    <phoneticPr fontId="1" type="noConversion"/>
  </si>
  <si>
    <t>200+100*lv</t>
    <phoneticPr fontId="1" type="noConversion"/>
  </si>
  <si>
    <t>吸血+100+100*lv</t>
    <phoneticPr fontId="1" type="noConversion"/>
  </si>
  <si>
    <t>400+20*lv</t>
    <phoneticPr fontId="1" type="noConversion"/>
  </si>
  <si>
    <t>被攻击时$y5%$w几率提高[(100+100*lv)]点速度，持续1回合</t>
    <phoneticPr fontId="1" type="noConversion"/>
  </si>
  <si>
    <t>提高[15+5*lv]点队伍攻击力</t>
    <phoneticPr fontId="1" type="noConversion"/>
  </si>
  <si>
    <t>25+9*lv</t>
    <phoneticPr fontId="1" type="noConversion"/>
  </si>
  <si>
    <t>25+9*lv</t>
    <phoneticPr fontId="1" type="noConversion"/>
  </si>
  <si>
    <t>2+lv</t>
    <phoneticPr fontId="1" type="noConversion"/>
  </si>
  <si>
    <t>【方块冲击】会使本次战斗所有伤害附加[120+60*lv]点伤害</t>
    <phoneticPr fontId="1" type="noConversion"/>
  </si>
  <si>
    <t>120+60*lv</t>
    <phoneticPr fontId="1" type="noConversion"/>
  </si>
  <si>
    <t>提高[50+15*lv]点速度</t>
    <phoneticPr fontId="1" type="noConversion"/>
  </si>
  <si>
    <t>50+15*lv</t>
    <phoneticPr fontId="1" type="noConversion"/>
  </si>
  <si>
    <t>提高[45+16*lv]点法术穿透</t>
    <phoneticPr fontId="1" type="noConversion"/>
  </si>
  <si>
    <t>行动时有$y15%$w几率提高[1+0.2*lv]%暴击</t>
    <phoneticPr fontId="1" type="noConversion"/>
  </si>
  <si>
    <t>100+20*lv</t>
    <phoneticPr fontId="1" type="noConversion"/>
  </si>
  <si>
    <t>50+16*lv</t>
    <phoneticPr fontId="1" type="noConversion"/>
  </si>
  <si>
    <t>提高[0.5+0.1*lv]%治疗效果</t>
    <phoneticPr fontId="1" type="noConversion"/>
  </si>
  <si>
    <t>50+10*lv</t>
    <phoneticPr fontId="1" type="noConversion"/>
  </si>
  <si>
    <t>每回合结束回复[120+40*lv]点血量</t>
    <phoneticPr fontId="1" type="noConversion"/>
  </si>
  <si>
    <t>120+40*lv</t>
    <phoneticPr fontId="1" type="noConversion"/>
  </si>
  <si>
    <t>被攻击时对敌方造成[150+60*lv]点伤害</t>
    <phoneticPr fontId="1" type="noConversion"/>
  </si>
  <si>
    <t>150+60*lv</t>
    <phoneticPr fontId="1" type="noConversion"/>
  </si>
  <si>
    <t>$y4%$w几率造成$r[60+20*lv]+[200+200*lv]%*攻击力$w的物理伤害，并降低己方6000点速度，持续1回合</t>
    <phoneticPr fontId="1" type="noConversion"/>
  </si>
  <si>
    <t>-6000</t>
    <phoneticPr fontId="1" type="noConversion"/>
  </si>
  <si>
    <t>提高[20+2*lv]点队伍攻击力和队伍法术强度</t>
    <phoneticPr fontId="1" type="noConversion"/>
  </si>
  <si>
    <t>20+2*lv</t>
    <phoneticPr fontId="1" type="noConversion"/>
  </si>
  <si>
    <t>提高[0.6+0.1*lv]%暴击</t>
    <phoneticPr fontId="1" type="noConversion"/>
  </si>
  <si>
    <t>60+10*lv</t>
    <phoneticPr fontId="1" type="noConversion"/>
  </si>
  <si>
    <t>【症状连锁】，提高[6+1*lv]%暴击，持续3回合</t>
    <phoneticPr fontId="1" type="noConversion"/>
  </si>
  <si>
    <t>暴击时提高[20+30*lv]点速度</t>
    <phoneticPr fontId="1" type="noConversion"/>
  </si>
  <si>
    <t>60+18*lv</t>
    <phoneticPr fontId="1" type="noConversion"/>
  </si>
  <si>
    <t>-30-8*lv</t>
    <phoneticPr fontId="1" type="noConversion"/>
  </si>
  <si>
    <t>提高[0.8+0.1*lv]%暴击</t>
    <phoneticPr fontId="1" type="noConversion"/>
  </si>
  <si>
    <t>20+10*lv</t>
    <phoneticPr fontId="1" type="noConversion"/>
  </si>
  <si>
    <t>10+2*lv</t>
    <phoneticPr fontId="1" type="noConversion"/>
  </si>
  <si>
    <t>提高[10+10*lv]点队伍攻击力和队伍法术强度，降低[25+10*lv]点护甲和魔法抗性</t>
    <phoneticPr fontId="1" type="noConversion"/>
  </si>
  <si>
    <t>-25-10*lv</t>
    <phoneticPr fontId="1" type="noConversion"/>
  </si>
  <si>
    <t>提高[30+11*lv]点法术强度</t>
    <phoneticPr fontId="1" type="noConversion"/>
  </si>
  <si>
    <t>30+11*lv</t>
    <phoneticPr fontId="1" type="noConversion"/>
  </si>
  <si>
    <t>提高[45+30*lv]点速度</t>
    <phoneticPr fontId="1" type="noConversion"/>
  </si>
  <si>
    <t>45+30*lv</t>
    <phoneticPr fontId="1" type="noConversion"/>
  </si>
  <si>
    <t>提高[35+11*lv]点护甲穿透</t>
    <phoneticPr fontId="1" type="noConversion"/>
  </si>
  <si>
    <t>35+11*lv</t>
    <phoneticPr fontId="1" type="noConversion"/>
  </si>
  <si>
    <t>提高[0.6+0.1*lv]%暴击伤害</t>
    <phoneticPr fontId="1" type="noConversion"/>
  </si>
  <si>
    <t>行动时有$y10%$w几率降低敌方[0.1+lv]%的护甲</t>
    <phoneticPr fontId="1" type="noConversion"/>
  </si>
  <si>
    <t>-0.1-0.1*lv</t>
    <phoneticPr fontId="1" type="noConversion"/>
  </si>
  <si>
    <t>提高[0.5+0.1*lv]%暴击</t>
    <phoneticPr fontId="1" type="noConversion"/>
  </si>
  <si>
    <t>行动时$y10%$w几率提高[20+8*lv]点法术穿透</t>
    <phoneticPr fontId="1" type="noConversion"/>
  </si>
  <si>
    <t>20+8*lv</t>
    <phoneticPr fontId="1" type="noConversion"/>
  </si>
  <si>
    <t>让别人知道，只有亚马逊人才是这条河的主人！</t>
    <phoneticPr fontId="1" type="noConversion"/>
  </si>
  <si>
    <t>5+lv</t>
    <phoneticPr fontId="1" type="noConversion"/>
  </si>
  <si>
    <t>提高[35+14*lv]点护甲穿透，降低[20+3*lv]点速度</t>
    <phoneticPr fontId="1" type="noConversion"/>
  </si>
  <si>
    <t>35+14*lv</t>
    <phoneticPr fontId="1" type="noConversion"/>
  </si>
  <si>
    <t>-20-3*lv</t>
    <phoneticPr fontId="1" type="noConversion"/>
  </si>
  <si>
    <t>提高[45+12*lv]点速度</t>
    <phoneticPr fontId="1" type="noConversion"/>
  </si>
  <si>
    <t>45+12*lv</t>
    <phoneticPr fontId="1" type="noConversion"/>
  </si>
  <si>
    <t>10+6*lv</t>
    <phoneticPr fontId="1" type="noConversion"/>
  </si>
  <si>
    <t>提高[0.4+0.1*lv]%暴击伤害</t>
    <phoneticPr fontId="1" type="noConversion"/>
  </si>
  <si>
    <t>40+10*lv</t>
    <phoneticPr fontId="1" type="noConversion"/>
  </si>
  <si>
    <t>提高[28+9*lv]点法术强度</t>
    <phoneticPr fontId="1" type="noConversion"/>
  </si>
  <si>
    <t>28+9*lv</t>
    <phoneticPr fontId="1" type="noConversion"/>
  </si>
  <si>
    <t>提高[28+12*lv]点速度</t>
    <phoneticPr fontId="1" type="noConversion"/>
  </si>
  <si>
    <t>行动时降低敌方[12+2*lv]点护甲</t>
    <phoneticPr fontId="1" type="noConversion"/>
  </si>
  <si>
    <t>-12-2*lv</t>
    <phoneticPr fontId="1" type="noConversion"/>
  </si>
  <si>
    <t>行动时降低敌方[12+3*lv]点速度</t>
    <phoneticPr fontId="1" type="noConversion"/>
  </si>
  <si>
    <t>-12-3*lv</t>
    <phoneticPr fontId="1" type="noConversion"/>
  </si>
  <si>
    <t>提高[17+5*lv]点护甲和魔法抗性</t>
    <phoneticPr fontId="1" type="noConversion"/>
  </si>
  <si>
    <t>17+5*lv</t>
    <phoneticPr fontId="1" type="noConversion"/>
  </si>
  <si>
    <t>【扔酒瓶】附加$r[0.5+0.1*lv]%*敌方最大生命值$w的伤害</t>
    <phoneticPr fontId="1" type="noConversion"/>
  </si>
  <si>
    <t>(0.1*lv+0.5)/100*b.hp</t>
    <phoneticPr fontId="1" type="noConversion"/>
  </si>
  <si>
    <t>提高[16+3*lv]点法术穿透</t>
    <phoneticPr fontId="1" type="noConversion"/>
  </si>
  <si>
    <t>16+3*lv</t>
    <phoneticPr fontId="1" type="noConversion"/>
  </si>
  <si>
    <t>提高[15+4*lv]点速度</t>
    <phoneticPr fontId="1" type="noConversion"/>
  </si>
  <si>
    <t>15+4*lv</t>
    <phoneticPr fontId="1" type="noConversion"/>
  </si>
  <si>
    <t>提高[0.2+0.1*lv]%暴击，[0.1+0.1*lv]%暴击伤害</t>
    <phoneticPr fontId="1" type="noConversion"/>
  </si>
  <si>
    <t>行动中透着优雅~</t>
    <phoneticPr fontId="1" type="noConversion"/>
  </si>
  <si>
    <t>100*lv</t>
    <phoneticPr fontId="1" type="noConversion"/>
  </si>
  <si>
    <t>造成$r[100*lv]+[120+30*lv]%*攻击力$w的暗属性物理伤害</t>
  </si>
  <si>
    <t>造成$r[100*lv]+[120+30*lv]%*攻击力$w的火属性物理伤害</t>
  </si>
  <si>
    <t>造成$r[100*lv]+[120+30*lv]%*攻击力$w的冰属性物理伤害</t>
  </si>
  <si>
    <t>造成$r[100*lv]+[120+30*lv]%*攻击力$w的光属性物理伤害</t>
  </si>
  <si>
    <t>40*lv+(50+12*lv)/100*a.ad</t>
  </si>
  <si>
    <t>老头子</t>
    <rPh sb="2" eb="3">
      <t>zi</t>
    </rPh>
    <phoneticPr fontId="1" type="noConversion"/>
  </si>
  <si>
    <t>还是种田适合老子</t>
  </si>
  <si>
    <t>我一个人就是一支军队</t>
  </si>
  <si>
    <t>我超爱在山上修炼瑜伽</t>
  </si>
  <si>
    <t>我的脑后藏了把刀</t>
  </si>
  <si>
    <t>我永远瞄着天蝎座</t>
  </si>
  <si>
    <t>我就爱到处乱逛</t>
  </si>
  <si>
    <t>来一杯葡萄酒吧，贼好喝</t>
  </si>
  <si>
    <t>虽然人长得丑，但是能娶到漂亮老婆就行了</t>
  </si>
  <si>
    <t>爱与美之女神，常有丘比特相随</t>
  </si>
  <si>
    <t>戴上这具假面，必将沉沦为鬼</t>
  </si>
  <si>
    <t>真田十勇士之一</t>
  </si>
  <si>
    <t>战国三英杰之一，统一日本，性别秀吉</t>
  </si>
  <si>
    <t>众神之王</t>
  </si>
  <si>
    <t>我的光辉耀天照地</t>
  </si>
  <si>
    <t>猜猜我手里有几把刀</t>
  </si>
  <si>
    <t>彼方的王啊，请看看这道光吧</t>
  </si>
  <si>
    <t>常胜之王在此高歌手中奇迹之真名</t>
  </si>
  <si>
    <t>可惜英年早逝</t>
  </si>
  <si>
    <t>我能在这钓上一整天</t>
  </si>
  <si>
    <t>我有着一把极具个性的络腮胡</t>
  </si>
  <si>
    <t>这可是从头里蹦出来的</t>
  </si>
  <si>
    <t>为了英灵殿</t>
  </si>
  <si>
    <t>一锤子抡飞天</t>
  </si>
  <si>
    <t>英勇无畏的挑战者，你的圣音回荡在天堂的拱顶</t>
  </si>
  <si>
    <t>或许只是一个被抛弃的失败之作而已</t>
  </si>
  <si>
    <t>一名恪尽职守的警官</t>
  </si>
  <si>
    <t>另一名恪尽职守的警官，还是女的</t>
  </si>
  <si>
    <t>冲锋陷阵的小战士</t>
  </si>
  <si>
    <t>冲锋陷阵的女战士</t>
  </si>
  <si>
    <t>身居后宫的老大</t>
  </si>
  <si>
    <t>掌管国事的大王</t>
  </si>
  <si>
    <t>精灵王国的一员</t>
  </si>
  <si>
    <t>下水道的大领主</t>
  </si>
  <si>
    <t>大牧场的大领主</t>
  </si>
  <si>
    <t>某团的强力党</t>
  </si>
  <si>
    <t>奥能的掌控者</t>
  </si>
  <si>
    <t>善用魔法碰瓷</t>
  </si>
  <si>
    <t>与非洲酋长是好朋友</t>
  </si>
  <si>
    <t>看门的大狗</t>
  </si>
  <si>
    <t>蹲家的小猫</t>
  </si>
  <si>
    <t>喜欢陪别人一起踢馆</t>
  </si>
  <si>
    <t>绿头绿脑的财迷</t>
  </si>
  <si>
    <t>雷霆崖山脚下的怪物</t>
  </si>
  <si>
    <t>头上顶了个大福，让人流口水</t>
  </si>
  <si>
    <t>全身都是塑料，可以拿去对付万磁王</t>
  </si>
  <si>
    <t>地精也需要开拓海上生意</t>
  </si>
  <si>
    <t>你看不见我，看不见我</t>
  </si>
  <si>
    <t>是时候下海放羊了</t>
    <phoneticPr fontId="1" type="noConversion"/>
  </si>
  <si>
    <t>过来看看我的脸，嘶~嘶~</t>
    <phoneticPr fontId="1" type="noConversion"/>
  </si>
  <si>
    <t>隐藏在竹林中的高手，从没拿过冠军，被称为千年老二</t>
    <rPh sb="10" eb="11">
      <t>cong mei</t>
    </rPh>
    <rPh sb="12" eb="13">
      <t>na guo</t>
    </rPh>
    <rPh sb="14" eb="15">
      <t>guan jun</t>
    </rPh>
    <rPh sb="17" eb="18">
      <t>bei</t>
    </rPh>
    <rPh sb="18" eb="19">
      <t>cheng wei</t>
    </rPh>
    <rPh sb="20" eb="21">
      <t>qian nian</t>
    </rPh>
    <rPh sb="22" eb="23">
      <t>lao er</t>
    </rPh>
    <phoneticPr fontId="1" type="noConversion"/>
  </si>
  <si>
    <t>院长之力</t>
    <rPh sb="0" eb="1">
      <t>yuan zhang</t>
    </rPh>
    <phoneticPr fontId="1" type="noConversion"/>
  </si>
  <si>
    <t>院长壁垒</t>
    <rPh sb="0" eb="1">
      <t>yuan zhang</t>
    </rPh>
    <phoneticPr fontId="1" type="noConversion"/>
  </si>
  <si>
    <t>只存在于传说中的方头勇者，后来成为来养老院的院长</t>
    <rPh sb="13" eb="14">
      <t>hou lai</t>
    </rPh>
    <rPh sb="15" eb="16">
      <t>chen wwei</t>
    </rPh>
    <rPh sb="17" eb="18">
      <t>l</t>
    </rPh>
    <rPh sb="18" eb="19">
      <t>yang lao yuan</t>
    </rPh>
    <rPh sb="21" eb="22">
      <t>de</t>
    </rPh>
    <rPh sb="22" eb="23">
      <t>yuan zhang</t>
    </rPh>
    <phoneticPr fontId="1" type="noConversion"/>
  </si>
  <si>
    <t>行动时0.5%几率附加1层【眩晕】</t>
    <rPh sb="0" eb="1">
      <t>xing dong shi</t>
    </rPh>
    <rPh sb="7" eb="8">
      <t>ji lü</t>
    </rPh>
    <rPh sb="9" eb="10">
      <t>ji yun</t>
    </rPh>
    <phoneticPr fontId="1" type="noConversion"/>
  </si>
  <si>
    <t>物魔转换</t>
    <phoneticPr fontId="1" type="noConversion"/>
  </si>
  <si>
    <t>被攻击时20%几率提高10000点护甲，附加2层【裂伤】</t>
  </si>
  <si>
    <t>开窍：&gt;8回合伤害提高15%</t>
    <rPh sb="0" eb="1">
      <t>kai qiao</t>
    </rPh>
    <rPh sb="5" eb="6">
      <t>hui he</t>
    </rPh>
    <rPh sb="7" eb="8">
      <t>shang hai</t>
    </rPh>
    <rPh sb="9" eb="10">
      <t>ti gao</t>
    </rPh>
    <phoneticPr fontId="1" type="noConversion"/>
  </si>
  <si>
    <t>冷却时+2000速度</t>
    <rPh sb="0" eb="1">
      <t>len que</t>
    </rPh>
    <rPh sb="2" eb="3">
      <t>shi</t>
    </rPh>
    <rPh sb="8" eb="9">
      <t>su du</t>
    </rPh>
    <phoneticPr fontId="1" type="noConversion"/>
  </si>
  <si>
    <t>发动回合+1500点护甲穿透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1" type="noConversion"/>
  </si>
  <si>
    <t>开窍</t>
  </si>
  <si>
    <t>冷却时提高2000点速度</t>
    <rPh sb="0" eb="1">
      <t>len que</t>
    </rPh>
    <rPh sb="2" eb="3">
      <t>shi</t>
    </rPh>
    <rPh sb="8" eb="9">
      <t>su du</t>
    </rPh>
    <phoneticPr fontId="1" type="noConversion"/>
  </si>
  <si>
    <t>发动回合提高1500点护甲穿透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1" type="noConversion"/>
  </si>
  <si>
    <t>img</t>
    <phoneticPr fontId="1" type="noConversion"/>
  </si>
  <si>
    <t>【波导弹】伤害提高[10+25*lv]%，【精神干扰】伤害提高[26+6*lv]%</t>
    <phoneticPr fontId="1" type="noConversion"/>
  </si>
  <si>
    <t>100*lv</t>
    <phoneticPr fontId="1" type="noConversion"/>
  </si>
  <si>
    <t>行动时有20%几率减少自身20%最大生命值</t>
  </si>
  <si>
    <t>年轻的森林弓箭手，曾经经历过一些悲伤的往事</t>
    <rPh sb="9" eb="10">
      <t>cen jin</t>
    </rPh>
    <rPh sb="11" eb="12">
      <t>jin li</t>
    </rPh>
    <rPh sb="13" eb="14">
      <t>guo</t>
    </rPh>
    <rPh sb="14" eb="15">
      <t>yi xie</t>
    </rPh>
    <rPh sb="16" eb="17">
      <t>bei shang</t>
    </rPh>
    <rPh sb="18" eb="19">
      <t>d</t>
    </rPh>
    <rPh sb="19" eb="20">
      <t>wang shi</t>
    </rPh>
    <phoneticPr fontId="1" type="noConversion"/>
  </si>
  <si>
    <t>碰瓷达人，第二十届养老院斗技大会冠军</t>
    <rPh sb="5" eb="6">
      <t>di</t>
    </rPh>
    <rPh sb="6" eb="7">
      <t>er shi</t>
    </rPh>
    <rPh sb="8" eb="9">
      <t>jie</t>
    </rPh>
    <rPh sb="9" eb="10">
      <t>yang lao yuan</t>
    </rPh>
    <rPh sb="12" eb="13">
      <t>dou ji</t>
    </rPh>
    <rPh sb="14" eb="15">
      <t>da hui</t>
    </rPh>
    <rPh sb="16" eb="17">
      <t>guan jun</t>
    </rPh>
    <phoneticPr fontId="1" type="noConversion"/>
  </si>
  <si>
    <t>年轻的灌木林弓箭手，一直陪伴♂在绿发游侠身边</t>
    <rPh sb="10" eb="11">
      <t>yi zhi</t>
    </rPh>
    <rPh sb="12" eb="13">
      <t>pei ban</t>
    </rPh>
    <rPh sb="15" eb="16">
      <t>zai</t>
    </rPh>
    <rPh sb="16" eb="17">
      <t>lü fa</t>
    </rPh>
    <rPh sb="18" eb="19">
      <t>you xia</t>
    </rPh>
    <rPh sb="20" eb="21">
      <t>sheng bian</t>
    </rPh>
    <phoneticPr fontId="1" type="noConversion"/>
  </si>
  <si>
    <t>夜行弓箭手（女），倾慕于黑皮少年</t>
    <rPh sb="9" eb="10">
      <t>qing mu</t>
    </rPh>
    <rPh sb="11" eb="12">
      <t>yu</t>
    </rPh>
    <rPh sb="12" eb="13">
      <t>hei pi</t>
    </rPh>
    <rPh sb="14" eb="15">
      <t>shao nian</t>
    </rPh>
    <phoneticPr fontId="1" type="noConversion"/>
  </si>
  <si>
    <t>夜行弓箭手，倾慕于黄发游侠</t>
    <rPh sb="6" eb="7">
      <t>qing mu</t>
    </rPh>
    <rPh sb="8" eb="9">
      <t>yu</t>
    </rPh>
    <rPh sb="9" eb="10">
      <t>huang fa</t>
    </rPh>
    <rPh sb="11" eb="12">
      <t>you xia</t>
    </rPh>
    <phoneticPr fontId="1" type="noConversion"/>
  </si>
  <si>
    <t>擅长踢馆的高手</t>
    <phoneticPr fontId="1" type="noConversion"/>
  </si>
  <si>
    <t>头盔帮小喽啰，头盔帮是和异世界中丐帮一样强大的存在</t>
    <rPh sb="0" eb="1">
      <t>tou kui</t>
    </rPh>
    <rPh sb="2" eb="3">
      <t>bang</t>
    </rPh>
    <rPh sb="3" eb="4">
      <t>xiao</t>
    </rPh>
    <rPh sb="4" eb="5">
      <t>lou luo</t>
    </rPh>
    <rPh sb="7" eb="8">
      <t>tou kui bang</t>
    </rPh>
    <rPh sb="10" eb="11">
      <t>shi</t>
    </rPh>
    <rPh sb="11" eb="12">
      <t>he</t>
    </rPh>
    <rPh sb="12" eb="13">
      <t>yi duan</t>
    </rPh>
    <rPh sb="15" eb="16">
      <t>zhong</t>
    </rPh>
    <rPh sb="16" eb="17">
      <t>gai bang</t>
    </rPh>
    <rPh sb="18" eb="19">
      <t>yi yang</t>
    </rPh>
    <rPh sb="20" eb="21">
      <t>qiang</t>
    </rPh>
    <rPh sb="21" eb="22">
      <t>da</t>
    </rPh>
    <rPh sb="22" eb="23">
      <t>de</t>
    </rPh>
    <rPh sb="23" eb="24">
      <t>cun zai</t>
    </rPh>
    <phoneticPr fontId="1" type="noConversion"/>
  </si>
  <si>
    <t>摩托驭手，在头盔帮中有一定的贡献以后才能获得钢盔</t>
    <rPh sb="5" eb="6">
      <t>zai</t>
    </rPh>
    <rPh sb="6" eb="7">
      <t>tou kui bang</t>
    </rPh>
    <rPh sb="9" eb="10">
      <t>zho g n</t>
    </rPh>
    <rPh sb="10" eb="11">
      <t>you</t>
    </rPh>
    <rPh sb="11" eb="12">
      <t>yi ding</t>
    </rPh>
    <rPh sb="13" eb="14">
      <t>d</t>
    </rPh>
    <rPh sb="14" eb="15">
      <t>gong xian</t>
    </rPh>
    <rPh sb="16" eb="17">
      <t>yi hou</t>
    </rPh>
    <rPh sb="18" eb="19">
      <t>cai neng</t>
    </rPh>
    <rPh sb="20" eb="21">
      <t>huo de</t>
    </rPh>
    <rPh sb="22" eb="23">
      <t>gang kui</t>
    </rPh>
    <phoneticPr fontId="1" type="noConversion"/>
  </si>
  <si>
    <t>无情吐槽</t>
    <rPh sb="0" eb="1">
      <t>wu qing</t>
    </rPh>
    <rPh sb="2" eb="3">
      <t>tu cao</t>
    </rPh>
    <phoneticPr fontId="1" type="noConversion"/>
  </si>
  <si>
    <t>单身38年的手速，是军队中最强最闷sao的男人</t>
    <rPh sb="0" eb="1">
      <t>dan sheng</t>
    </rPh>
    <rPh sb="4" eb="5">
      <t>nian</t>
    </rPh>
    <rPh sb="5" eb="6">
      <t>d</t>
    </rPh>
    <rPh sb="6" eb="7">
      <t>shou su</t>
    </rPh>
    <rPh sb="9" eb="10">
      <t>shi</t>
    </rPh>
    <rPh sb="10" eb="11">
      <t>jun dui</t>
    </rPh>
    <rPh sb="12" eb="13">
      <t>zhong</t>
    </rPh>
    <rPh sb="13" eb="14">
      <t>zui qiang</t>
    </rPh>
    <rPh sb="15" eb="16">
      <t>zui</t>
    </rPh>
    <rPh sb="16" eb="17">
      <t>men</t>
    </rPh>
    <rPh sb="20" eb="21">
      <t>d</t>
    </rPh>
    <rPh sb="21" eb="22">
      <t>nan ren</t>
    </rPh>
    <phoneticPr fontId="1" type="noConversion"/>
  </si>
  <si>
    <t>外表只是普通的漂亮妹纸，但是是靠实力碾压一切的女人</t>
    <rPh sb="0" eb="1">
      <t>wai biao</t>
    </rPh>
    <rPh sb="3" eb="4">
      <t>shi</t>
    </rPh>
    <rPh sb="4" eb="5">
      <t>pu tong</t>
    </rPh>
    <rPh sb="6" eb="7">
      <t>d</t>
    </rPh>
    <rPh sb="7" eb="8">
      <t>piao liang</t>
    </rPh>
    <rPh sb="9" eb="10">
      <t>mei zhi</t>
    </rPh>
    <rPh sb="12" eb="13">
      <t>dan shi</t>
    </rPh>
    <rPh sb="14" eb="15">
      <t>shi</t>
    </rPh>
    <rPh sb="15" eb="16">
      <t>kao</t>
    </rPh>
    <rPh sb="16" eb="17">
      <t>shi li</t>
    </rPh>
    <rPh sb="18" eb="19">
      <t>nian ya</t>
    </rPh>
    <rPh sb="20" eb="21">
      <t>yi qie</t>
    </rPh>
    <rPh sb="22" eb="23">
      <t>d</t>
    </rPh>
    <rPh sb="23" eb="24">
      <t>nü ren</t>
    </rPh>
    <phoneticPr fontId="1" type="noConversion"/>
  </si>
  <si>
    <t>超速麒麟臂</t>
    <rPh sb="0" eb="1">
      <t>chao su</t>
    </rPh>
    <rPh sb="2" eb="3">
      <t>qi lin bi</t>
    </rPh>
    <phoneticPr fontId="1" type="noConversion"/>
  </si>
  <si>
    <t>老子的麒麟臂又要发作了！【必杀技】当受到致命攻击时10%几率免疫直接伤害；并获得[1+1*lv]%吸血，持续1回合（1场战斗最多触发2次）</t>
    <rPh sb="0" eb="1">
      <t>lao zi</t>
    </rPh>
    <rPh sb="2" eb="3">
      <t>d</t>
    </rPh>
    <rPh sb="3" eb="4">
      <t>qi lin bi</t>
    </rPh>
    <rPh sb="6" eb="7">
      <t>you yao</t>
    </rPh>
    <rPh sb="8" eb="9">
      <t>fa zuo</t>
    </rPh>
    <rPh sb="10" eb="11">
      <t>l</t>
    </rPh>
    <phoneticPr fontId="1" type="noConversion"/>
  </si>
  <si>
    <t>“我存在的意义是毁灭世界！”第一纪元就外星人毁灭的世界据说就有1283个</t>
    <rPh sb="10" eb="11">
      <t>shi je</t>
    </rPh>
    <rPh sb="14" eb="15">
      <t>di yi ji yuan</t>
    </rPh>
    <rPh sb="18" eb="19">
      <t>jiu</t>
    </rPh>
    <rPh sb="19" eb="20">
      <t>wai xing ren</t>
    </rPh>
    <rPh sb="22" eb="23">
      <t>hui mie</t>
    </rPh>
    <rPh sb="24" eb="25">
      <t>d</t>
    </rPh>
    <rPh sb="25" eb="26">
      <t>shi jie</t>
    </rPh>
    <rPh sb="27" eb="28">
      <t>ju shuo</t>
    </rPh>
    <rPh sb="29" eb="30">
      <t>jiu you</t>
    </rPh>
    <rPh sb="35" eb="36">
      <t>ge</t>
    </rPh>
    <phoneticPr fontId="1" type="noConversion"/>
  </si>
  <si>
    <t>Song</t>
  </si>
  <si>
    <t>Sleep</t>
  </si>
  <si>
    <t>Flash</t>
  </si>
  <si>
    <t>Slash Ice</t>
  </si>
  <si>
    <t>Darkness All 2</t>
  </si>
  <si>
    <t>Darkness One 1</t>
  </si>
  <si>
    <t>Arrow Special</t>
  </si>
  <si>
    <t>Light All 1</t>
  </si>
  <si>
    <t>Claw Ice</t>
  </si>
  <si>
    <t>Thunder One 1</t>
  </si>
  <si>
    <t>Breath</t>
  </si>
  <si>
    <t>Hit Special 1</t>
  </si>
  <si>
    <t>Pierce Fire</t>
  </si>
  <si>
    <t>Darkness All 1</t>
  </si>
  <si>
    <t>Heal One 2</t>
  </si>
  <si>
    <t>Paralyze</t>
  </si>
  <si>
    <t>Fire One 2</t>
  </si>
  <si>
    <t>Powerup 2</t>
  </si>
  <si>
    <t>Earth One 2</t>
  </si>
  <si>
    <t>Laser One</t>
  </si>
  <si>
    <t>Thunder One 2</t>
  </si>
  <si>
    <t>Powerup 1</t>
  </si>
  <si>
    <t>Pierce Effect</t>
  </si>
  <si>
    <t>CCBI_SKILL1103</t>
  </si>
  <si>
    <t>CCBI_SKILL1002</t>
  </si>
  <si>
    <t>Wind One 2</t>
  </si>
  <si>
    <t>Bind</t>
  </si>
  <si>
    <t>Fire All 2</t>
  </si>
  <si>
    <t>Confusion</t>
  </si>
  <si>
    <t>Shoot Barrage</t>
  </si>
  <si>
    <t>Darkness One 2</t>
  </si>
  <si>
    <t>Slash Fire</t>
  </si>
  <si>
    <t>Light One 2</t>
  </si>
  <si>
    <t>Claw Special</t>
  </si>
  <si>
    <t>Cure One 2</t>
  </si>
  <si>
    <t>Neutral One 2</t>
  </si>
  <si>
    <t>Light All 2</t>
  </si>
  <si>
    <t>Slash Thunder</t>
  </si>
  <si>
    <t>Neutral All 2</t>
  </si>
  <si>
    <t>Blind</t>
  </si>
  <si>
    <t>Slash Special 1</t>
  </si>
  <si>
    <t>Pierce Physical</t>
  </si>
  <si>
    <t>Pierce Thunder</t>
  </si>
  <si>
    <t>Ice All 3</t>
  </si>
  <si>
    <t>Death</t>
  </si>
  <si>
    <t>Revive 1</t>
  </si>
  <si>
    <t>Light One 1</t>
  </si>
  <si>
    <t>Slash Special 2</t>
  </si>
  <si>
    <t>Slash Special 3</t>
  </si>
  <si>
    <t>Fog</t>
  </si>
  <si>
    <t>Cure One 1</t>
  </si>
  <si>
    <t>Sweep</t>
  </si>
  <si>
    <t>Bodyslam</t>
  </si>
  <si>
    <t>Poison</t>
  </si>
  <si>
    <t>Sonic Wave</t>
  </si>
  <si>
    <t>Powerup 3</t>
  </si>
  <si>
    <t>Powerdown 1</t>
  </si>
  <si>
    <t>Powerdown 2</t>
  </si>
  <si>
    <t>Heal All 1</t>
  </si>
  <si>
    <t>Cure All 2</t>
  </si>
  <si>
    <t>Powerdown 3</t>
  </si>
  <si>
    <t>Heal All 2</t>
  </si>
  <si>
    <t>Ice One 1</t>
  </si>
  <si>
    <t>Claw Thunder</t>
  </si>
  <si>
    <t>Absorb</t>
  </si>
  <si>
    <t>Water One 1</t>
  </si>
  <si>
    <t>Water One 2</t>
  </si>
  <si>
    <t>每级提高100点血量和100点体力</t>
    <phoneticPr fontId="1" type="noConversion"/>
  </si>
  <si>
    <t>造成$b[100*lv]+[90+30*lv]%*法术强度$w的魔法伤害，消耗15点法力值</t>
    <rPh sb="25" eb="26">
      <t>fa shu qiang du</t>
    </rPh>
    <phoneticPr fontId="1" type="noConversion"/>
  </si>
  <si>
    <t>造成$b[100*lv]+[90+30*lv]%*法术强度$w的火属性魔法伤害，消耗15点法力值</t>
    <rPh sb="25" eb="26">
      <t>fa shu qiang du</t>
    </rPh>
    <phoneticPr fontId="1" type="noConversion"/>
  </si>
  <si>
    <t>造成$b[100*lv]+[90+30*lv]%*$w的暗属性魔法伤害，附加三层【灼烧】</t>
  </si>
  <si>
    <t>造成$b[100*lv]+[90+30*lv]%*法术强度$w的冰属性魔法伤害，消耗15点法力值</t>
  </si>
  <si>
    <t>造成$b[100*lv]+[90+16*lv]%*法术强度$w的光属性魔法伤害</t>
  </si>
  <si>
    <t>回复$g[40*lv]+[50+12*lv]%*法术强度$w点生命值</t>
  </si>
  <si>
    <t>1000+2000*lv</t>
    <phoneticPr fontId="1" type="noConversion"/>
  </si>
  <si>
    <t>背景设定</t>
    <phoneticPr fontId="1" type="noConversion"/>
  </si>
  <si>
    <t>外形设定</t>
    <phoneticPr fontId="1" type="noConversion"/>
  </si>
  <si>
    <t>性格设定</t>
    <phoneticPr fontId="1" type="noConversion"/>
  </si>
  <si>
    <t>呆</t>
    <phoneticPr fontId="1" type="noConversion"/>
  </si>
  <si>
    <t>和煦，深藏不露</t>
    <phoneticPr fontId="1" type="noConversion"/>
  </si>
  <si>
    <t>游戏开发程序员，以实习的名义</t>
    <phoneticPr fontId="1" type="noConversion"/>
  </si>
  <si>
    <t>以实习的名义！做出无法令人吐槽的游戏</t>
    <phoneticPr fontId="1" type="noConversion"/>
  </si>
  <si>
    <t>黄金矿工的主角</t>
    <phoneticPr fontId="1" type="noConversion"/>
  </si>
  <si>
    <t>随意外形</t>
    <phoneticPr fontId="1" type="noConversion"/>
  </si>
  <si>
    <t>吐槽</t>
    <phoneticPr fontId="1" type="noConversion"/>
  </si>
  <si>
    <t>“等我在这条街混熟了，就去混下一条街”。大时代城市中随处可见的街头小混混</t>
    <phoneticPr fontId="1" type="noConversion"/>
  </si>
  <si>
    <t>痞</t>
    <phoneticPr fontId="1" type="noConversion"/>
  </si>
  <si>
    <t>第一世代第7纪元完成攻略</t>
    <phoneticPr fontId="1" type="noConversion"/>
  </si>
  <si>
    <t>正常性格，领袖人格</t>
    <phoneticPr fontId="1" type="noConversion"/>
  </si>
  <si>
    <t>三无</t>
    <phoneticPr fontId="1" type="noConversion"/>
  </si>
  <si>
    <t>地狱…</t>
    <phoneticPr fontId="1" type="noConversion"/>
  </si>
  <si>
    <t>第23纪元领袖，该纪元毁灭时独一人，传说装备恶魔之赐。</t>
    <phoneticPr fontId="1" type="noConversion"/>
  </si>
  <si>
    <t>VENI VIDI VICI</t>
    <phoneticPr fontId="1" type="noConversion"/>
  </si>
  <si>
    <t>二逼</t>
    <phoneticPr fontId="1" type="noConversion"/>
  </si>
  <si>
    <t>锤子</t>
    <rPh sb="0" eb="1">
      <t>chui zi</t>
    </rPh>
    <phoneticPr fontId="1" type="noConversion"/>
  </si>
  <si>
    <t>双戟，凤凰羽衣</t>
    <rPh sb="0" eb="1">
      <t>shuang ji</t>
    </rPh>
    <rPh sb="3" eb="4">
      <t>feng huang yu yi</t>
    </rPh>
    <rPh sb="5" eb="6">
      <t>yu yi</t>
    </rPh>
    <rPh sb="6" eb="7">
      <t>yi fu</t>
    </rPh>
    <phoneticPr fontId="1" type="noConversion"/>
  </si>
  <si>
    <t>需要一些古怪的元素</t>
    <rPh sb="0" eb="1">
      <t>xu yao</t>
    </rPh>
    <rPh sb="2" eb="3">
      <t>yi xie</t>
    </rPh>
    <rPh sb="4" eb="5">
      <t>gu guai</t>
    </rPh>
    <rPh sb="6" eb="7">
      <t>d</t>
    </rPh>
    <rPh sb="7" eb="8">
      <t>yuan su</t>
    </rPh>
    <phoneticPr fontId="1" type="noConversion"/>
  </si>
  <si>
    <t>防御形+一击必杀</t>
    <rPh sb="0" eb="1">
      <t>fang yu</t>
    </rPh>
    <rPh sb="2" eb="3">
      <t>xing zhuang</t>
    </rPh>
    <rPh sb="4" eb="5">
      <t>yi ji bi sha</t>
    </rPh>
    <phoneticPr fontId="1" type="noConversion"/>
  </si>
  <si>
    <t>EZ</t>
    <phoneticPr fontId="1" type="noConversion"/>
  </si>
  <si>
    <t>丑陋</t>
    <rPh sb="0" eb="1">
      <t>chou lou</t>
    </rPh>
    <phoneticPr fontId="1" type="noConversion"/>
  </si>
  <si>
    <t>十字军方头，坚毅</t>
    <rPh sb="0" eb="1">
      <t>shi zi jun</t>
    </rPh>
    <rPh sb="3" eb="4">
      <t>fang tou</t>
    </rPh>
    <rPh sb="6" eb="7">
      <t>jian yi</t>
    </rPh>
    <phoneticPr fontId="1" type="noConversion"/>
  </si>
  <si>
    <t>精灵王国的一员</t>
    <phoneticPr fontId="1" type="noConversion"/>
  </si>
  <si>
    <t>ld_hero:id=key</t>
    <phoneticPr fontId="1" type="noConversion"/>
  </si>
  <si>
    <t>英雄id</t>
    <phoneticPr fontId="1" type="noConversion"/>
  </si>
  <si>
    <t>英雄名称</t>
    <phoneticPr fontId="1" type="noConversion"/>
  </si>
  <si>
    <t>配图</t>
    <phoneticPr fontId="1" type="noConversion"/>
  </si>
  <si>
    <t>des</t>
    <phoneticPr fontId="1" type="noConversion"/>
  </si>
  <si>
    <t>描述</t>
    <phoneticPr fontId="1" type="noConversion"/>
  </si>
  <si>
    <t>int:quality</t>
    <phoneticPr fontId="1" type="noConversion"/>
  </si>
  <si>
    <t>定位</t>
    <phoneticPr fontId="1" type="noConversion"/>
  </si>
  <si>
    <t>图鉴可见</t>
    <phoneticPr fontId="1" type="noConversion"/>
  </si>
  <si>
    <t>list&lt;int:skillid&gt;:skill</t>
    <phoneticPr fontId="1" type="noConversion"/>
  </si>
  <si>
    <t>int:unlock</t>
    <phoneticPr fontId="1" type="noConversion"/>
  </si>
  <si>
    <t>技能</t>
    <phoneticPr fontId="1" type="noConversion"/>
  </si>
  <si>
    <t>技能名称</t>
    <phoneticPr fontId="1" type="noConversion"/>
  </si>
  <si>
    <t>ld_skill:id=key</t>
    <phoneticPr fontId="1" type="noConversion"/>
  </si>
  <si>
    <t>技能id</t>
    <phoneticPr fontId="1" type="noConversion"/>
  </si>
  <si>
    <t>int:sk_add=0</t>
    <phoneticPr fontId="1" type="noConversion"/>
  </si>
  <si>
    <t>int:addstate=0</t>
    <phoneticPr fontId="1" type="noConversion"/>
  </si>
  <si>
    <t>int:statetarget=0</t>
    <phoneticPr fontId="1" type="noConversion"/>
  </si>
  <si>
    <t>int:target=0</t>
    <phoneticPr fontId="1" type="noConversion"/>
  </si>
  <si>
    <t>string:icon</t>
    <phoneticPr fontId="1" type="noConversion"/>
  </si>
  <si>
    <t>string:damage_function</t>
    <phoneticPr fontId="1" type="noConversion"/>
  </si>
  <si>
    <t>int:skilltype=0</t>
    <phoneticPr fontId="1" type="noConversion"/>
  </si>
  <si>
    <t>int:rate=0</t>
    <phoneticPr fontId="1" type="noConversion"/>
  </si>
  <si>
    <t>int:rate_lv=0</t>
    <phoneticPr fontId="1" type="noConversion"/>
  </si>
  <si>
    <t>int:element=0</t>
    <phoneticPr fontId="1" type="noConversion"/>
  </si>
  <si>
    <t>int:damage=0</t>
    <phoneticPr fontId="1" type="noConversion"/>
  </si>
  <si>
    <t>伤害类型</t>
    <phoneticPr fontId="1" type="noConversion"/>
  </si>
  <si>
    <t>int:special=0</t>
    <phoneticPr fontId="1" type="noConversion"/>
  </si>
  <si>
    <t>int:condition=0</t>
    <phoneticPr fontId="1" type="noConversion"/>
  </si>
  <si>
    <t>int:con1=0</t>
    <phoneticPr fontId="1" type="noConversion"/>
  </si>
  <si>
    <t>int:con2=0</t>
    <phoneticPr fontId="1" type="noConversion"/>
  </si>
  <si>
    <t>int:energy=0</t>
    <phoneticPr fontId="1" type="noConversion"/>
  </si>
  <si>
    <t>int:rage=0</t>
    <phoneticPr fontId="1" type="noConversion"/>
  </si>
  <si>
    <t>int:mana=0</t>
    <phoneticPr fontId="1" type="noConversion"/>
  </si>
  <si>
    <t>int:skilltag=0</t>
    <phoneticPr fontId="1" type="noConversion"/>
  </si>
  <si>
    <t>int:show=0</t>
    <phoneticPr fontId="1" type="noConversion"/>
  </si>
  <si>
    <t>int:skillbenefit=0</t>
    <phoneticPr fontId="1" type="noConversion"/>
  </si>
  <si>
    <t>list&lt;struct&lt;int:statelv&gt;&gt;:state</t>
    <phoneticPr fontId="1" type="noConversion"/>
  </si>
  <si>
    <t>string:staterate</t>
    <phoneticPr fontId="1" type="noConversion"/>
  </si>
  <si>
    <t>状态id</t>
    <phoneticPr fontId="1" type="noConversion"/>
  </si>
  <si>
    <t>名称</t>
    <phoneticPr fontId="1" type="noConversion"/>
  </si>
  <si>
    <t>描述</t>
    <phoneticPr fontId="1" type="noConversion"/>
  </si>
  <si>
    <t>配图</t>
    <phoneticPr fontId="1" type="noConversion"/>
  </si>
  <si>
    <t>显示图标</t>
    <phoneticPr fontId="1" type="noConversion"/>
  </si>
  <si>
    <t>ld_state:id=key</t>
    <phoneticPr fontId="1" type="noConversion"/>
  </si>
  <si>
    <t>list&lt;struct&lt;int:stateid&gt;&gt;:state</t>
    <phoneticPr fontId="1" type="noConversion"/>
  </si>
  <si>
    <t>string:statename</t>
    <phoneticPr fontId="1" type="noConversion"/>
  </si>
  <si>
    <t>string:para1</t>
    <phoneticPr fontId="1" type="noConversion"/>
  </si>
  <si>
    <t>string:para2</t>
    <phoneticPr fontId="1" type="noConversion"/>
  </si>
  <si>
    <t>string:function1</t>
    <phoneticPr fontId="1" type="noConversion"/>
  </si>
  <si>
    <t>ld_specialstate:id=key</t>
    <phoneticPr fontId="1" type="noConversion"/>
  </si>
  <si>
    <t>状态id</t>
    <phoneticPr fontId="1" type="noConversion"/>
  </si>
  <si>
    <t>名称</t>
    <phoneticPr fontId="1" type="noConversion"/>
  </si>
  <si>
    <t>string:function1</t>
    <phoneticPr fontId="1" type="noConversion"/>
  </si>
  <si>
    <t>string:function2</t>
    <phoneticPr fontId="1" type="noConversion"/>
  </si>
  <si>
    <t>string:function3</t>
    <phoneticPr fontId="1" type="noConversion"/>
  </si>
  <si>
    <t>int:unlock</t>
    <phoneticPr fontId="1" type="noConversion"/>
  </si>
  <si>
    <t>int:inilevel</t>
    <phoneticPr fontId="1" type="noConversion"/>
  </si>
  <si>
    <t>int:levelup</t>
    <phoneticPr fontId="1" type="noConversion"/>
  </si>
  <si>
    <t>int:maxlevel</t>
    <phoneticPr fontId="1" type="noConversion"/>
  </si>
  <si>
    <t>int:goldlv</t>
    <phoneticPr fontId="1" type="noConversion"/>
  </si>
  <si>
    <t>int:last</t>
    <phoneticPr fontId="1" type="noConversion"/>
  </si>
  <si>
    <t>ld_skilllevel:id=key</t>
    <phoneticPr fontId="1" type="noConversion"/>
  </si>
  <si>
    <t>【令牌闪电】伤害提高[10+8*lv]%，并且每次释放后提高自身[0.8+0.5*lv]%多重施法（最多3层）</t>
    <phoneticPr fontId="1" type="noConversion"/>
  </si>
  <si>
    <t>提高[0.2*lv]%暴伤</t>
  </si>
  <si>
    <t>提高[200*lv]速度</t>
  </si>
  <si>
    <t>exp</t>
    <phoneticPr fontId="1" type="noConversion"/>
  </si>
  <si>
    <t>攻击额外伤害C类增伤</t>
    <phoneticPr fontId="1" type="noConversion"/>
  </si>
  <si>
    <t>icon85_98</t>
  </si>
  <si>
    <t>icon92_90</t>
  </si>
  <si>
    <t>icon90_73</t>
  </si>
  <si>
    <t>icon91_96</t>
  </si>
  <si>
    <t>icon91_128</t>
  </si>
  <si>
    <t>icon90_91</t>
  </si>
  <si>
    <t>icon88_62</t>
  </si>
  <si>
    <t>icon89_83</t>
  </si>
  <si>
    <t>icon94_119</t>
  </si>
  <si>
    <t>icon95_104</t>
  </si>
  <si>
    <t>icon92_61</t>
  </si>
  <si>
    <t>icon95_18</t>
  </si>
  <si>
    <t>icon87_39</t>
  </si>
  <si>
    <t>icon89_122</t>
  </si>
  <si>
    <t>icon89_16</t>
  </si>
  <si>
    <t>icon89_97</t>
  </si>
  <si>
    <t>icon89_95</t>
  </si>
  <si>
    <t>icon86_48</t>
  </si>
  <si>
    <t>icon92_45</t>
  </si>
  <si>
    <t>icon94_120</t>
  </si>
  <si>
    <t>icon90_55</t>
  </si>
  <si>
    <t>icon92_41</t>
  </si>
  <si>
    <t>icon91_121</t>
  </si>
  <si>
    <t>icon93_101</t>
  </si>
  <si>
    <t>icon92_16</t>
  </si>
  <si>
    <t>icon93_123</t>
  </si>
  <si>
    <t>icon94_63</t>
  </si>
  <si>
    <t>icon88_73</t>
  </si>
  <si>
    <t>icon87_71</t>
  </si>
  <si>
    <t>icon88_97</t>
  </si>
  <si>
    <t>icon88_56</t>
  </si>
  <si>
    <t>icon88_45</t>
  </si>
  <si>
    <t>icon95_43</t>
  </si>
  <si>
    <t>icon95_83</t>
  </si>
  <si>
    <t>icon93_100</t>
  </si>
  <si>
    <t>icon93_95</t>
  </si>
  <si>
    <t>icon95_35</t>
  </si>
  <si>
    <t>icon94_47</t>
  </si>
  <si>
    <t>icon92_80</t>
  </si>
  <si>
    <t>icon92_1</t>
  </si>
  <si>
    <t>icon92_114</t>
  </si>
  <si>
    <t>icon87_53</t>
  </si>
  <si>
    <t>icon89_40</t>
  </si>
  <si>
    <t>icon95_51</t>
  </si>
  <si>
    <t>icon92_22</t>
  </si>
  <si>
    <t>icon93_54</t>
  </si>
  <si>
    <t>icon86_16</t>
  </si>
  <si>
    <t>icon86_42</t>
  </si>
  <si>
    <t>icon86_5</t>
  </si>
  <si>
    <t>icon94_38</t>
  </si>
  <si>
    <t>icon90_125</t>
  </si>
  <si>
    <t>icon87_21</t>
  </si>
  <si>
    <t>icon91_112</t>
  </si>
  <si>
    <t>icon87_38</t>
  </si>
  <si>
    <t>icon87_121</t>
  </si>
  <si>
    <t>icon85_88</t>
  </si>
  <si>
    <t>icon89_35</t>
  </si>
  <si>
    <t>icon88_76</t>
  </si>
  <si>
    <t>icon86_66</t>
  </si>
  <si>
    <t>icon86_90</t>
  </si>
  <si>
    <t>icon92_15</t>
  </si>
  <si>
    <t>icon92_37</t>
  </si>
  <si>
    <t>icon92_9</t>
  </si>
  <si>
    <t>icon92_40</t>
  </si>
  <si>
    <t>icon91_66</t>
  </si>
  <si>
    <t>icon88_98</t>
  </si>
  <si>
    <t>icon89_14</t>
  </si>
  <si>
    <t>icon89_54</t>
  </si>
  <si>
    <t>icon89_72</t>
  </si>
  <si>
    <t>icon92_29</t>
  </si>
  <si>
    <t>icon91_127</t>
  </si>
  <si>
    <t>icon91_65</t>
  </si>
  <si>
    <t>icon92_31</t>
  </si>
  <si>
    <t>icon89_10</t>
  </si>
  <si>
    <t>icon85_104</t>
  </si>
  <si>
    <t>icon85_110</t>
  </si>
  <si>
    <t>icon86_14</t>
  </si>
  <si>
    <t>icon86_65</t>
  </si>
  <si>
    <t>icon86_21</t>
  </si>
  <si>
    <t>icon87_26</t>
  </si>
  <si>
    <t>icon93_27</t>
  </si>
  <si>
    <t>icon94_113</t>
  </si>
  <si>
    <t>icon91_63</t>
  </si>
  <si>
    <t>icon91_67</t>
  </si>
  <si>
    <t>icon91_49</t>
  </si>
  <si>
    <t>icon91_68</t>
  </si>
  <si>
    <t>icon95_45</t>
  </si>
  <si>
    <t>icon95_113</t>
  </si>
  <si>
    <t>icon95_12</t>
  </si>
  <si>
    <t>icon95_99</t>
  </si>
  <si>
    <t>icon95_114</t>
  </si>
  <si>
    <t>icon94_96</t>
  </si>
  <si>
    <t>icon94_117</t>
  </si>
  <si>
    <t>icon86_89</t>
  </si>
  <si>
    <t>icon85_92</t>
  </si>
  <si>
    <t>icon90_35</t>
  </si>
  <si>
    <t>icon89_104</t>
  </si>
  <si>
    <t>icon90_97</t>
  </si>
  <si>
    <t>icon95_20</t>
  </si>
  <si>
    <t>icon88_65</t>
  </si>
  <si>
    <t>icon88_81</t>
  </si>
  <si>
    <t>icon88_44</t>
  </si>
  <si>
    <t>icon88_34</t>
  </si>
  <si>
    <t>icon88_15</t>
  </si>
  <si>
    <t>icon90_30</t>
  </si>
  <si>
    <t>icon88_36</t>
  </si>
  <si>
    <t>icon88_91</t>
  </si>
  <si>
    <t>icon92_127</t>
  </si>
  <si>
    <t>icon92_75</t>
  </si>
  <si>
    <t>icon86_46</t>
  </si>
  <si>
    <t>icon85_86</t>
  </si>
  <si>
    <t>icon85_87</t>
  </si>
  <si>
    <t>icon86_83</t>
  </si>
  <si>
    <t>icon85_117</t>
  </si>
  <si>
    <t>icon85_114</t>
  </si>
  <si>
    <t>icon86_27</t>
  </si>
  <si>
    <t>icon94_71</t>
  </si>
  <si>
    <t>icon94_72</t>
  </si>
  <si>
    <t>icon94_75</t>
  </si>
  <si>
    <t>icon90_110</t>
  </si>
  <si>
    <t>icon90_113</t>
  </si>
  <si>
    <t>icon93_16</t>
  </si>
  <si>
    <t>icon93_29</t>
  </si>
  <si>
    <t>icon93_19</t>
  </si>
  <si>
    <t>icon92_20</t>
  </si>
  <si>
    <t>icon92_19</t>
  </si>
  <si>
    <t>icon92_21</t>
  </si>
  <si>
    <t>icon92_57</t>
  </si>
  <si>
    <t>icon92_24</t>
  </si>
  <si>
    <t>icon88_74</t>
  </si>
  <si>
    <t>icon92_11</t>
  </si>
  <si>
    <t>icon91_80</t>
  </si>
  <si>
    <t>icon91_119</t>
  </si>
  <si>
    <t>icon92_66</t>
  </si>
  <si>
    <t>icon92_77</t>
  </si>
  <si>
    <t>icon92_50</t>
  </si>
  <si>
    <t>icon92_3</t>
  </si>
  <si>
    <t>icon92_60</t>
  </si>
  <si>
    <t>icon94_77</t>
  </si>
  <si>
    <t>icon91_70</t>
  </si>
  <si>
    <t>icon86_38</t>
  </si>
  <si>
    <t>icon91_115</t>
  </si>
  <si>
    <t>icon91_110</t>
  </si>
  <si>
    <t>icon95_22</t>
  </si>
  <si>
    <t>icon95_6</t>
  </si>
  <si>
    <t>icon95_14</t>
  </si>
  <si>
    <t>icon95_10</t>
  </si>
  <si>
    <t>icon94_95</t>
  </si>
  <si>
    <t>icon88_43</t>
  </si>
  <si>
    <t>icon88_105</t>
  </si>
  <si>
    <t>icon88_40</t>
  </si>
  <si>
    <t>icon88_35</t>
  </si>
  <si>
    <t>icon88_55</t>
  </si>
  <si>
    <t>icon88_3</t>
  </si>
  <si>
    <t>icon89_3</t>
  </si>
  <si>
    <t>icon94_115</t>
  </si>
  <si>
    <t>icon94_97</t>
  </si>
  <si>
    <t>icon90_45</t>
  </si>
  <si>
    <t>icon91_5</t>
  </si>
  <si>
    <t>icon89_75</t>
  </si>
  <si>
    <t>icon92_62</t>
  </si>
  <si>
    <t>icon89_50</t>
  </si>
  <si>
    <t>icon88_2</t>
  </si>
  <si>
    <t>icon88_63</t>
  </si>
  <si>
    <t>icon88_78</t>
  </si>
  <si>
    <t>icon88_89</t>
  </si>
  <si>
    <t>icon91_92</t>
  </si>
  <si>
    <t>icon92_12</t>
  </si>
  <si>
    <t>icon86_60</t>
  </si>
  <si>
    <t>icon86_43</t>
  </si>
  <si>
    <t>icon92_68</t>
  </si>
  <si>
    <t>icon92_106</t>
  </si>
  <si>
    <t>icon92_124</t>
  </si>
  <si>
    <t>icon92_111</t>
  </si>
  <si>
    <t>icon91_83</t>
  </si>
  <si>
    <t>icon92_13</t>
  </si>
  <si>
    <t>icon94_21</t>
  </si>
  <si>
    <t>icon94_57</t>
  </si>
  <si>
    <t>icon91_85</t>
  </si>
  <si>
    <t>icon90_62</t>
  </si>
  <si>
    <t>icon88_85</t>
  </si>
  <si>
    <t>icon88_71</t>
  </si>
  <si>
    <t>icon88_46</t>
  </si>
  <si>
    <t>icon90_100</t>
  </si>
  <si>
    <t>icon86_84</t>
  </si>
  <si>
    <t>icon85_115</t>
  </si>
  <si>
    <t>icon89_125</t>
  </si>
  <si>
    <t>icon94_79</t>
  </si>
  <si>
    <t>icon93_108</t>
  </si>
  <si>
    <t>icon92_110</t>
  </si>
  <si>
    <t>icon86_125</t>
  </si>
  <si>
    <t>icon85_66</t>
  </si>
  <si>
    <t>icon85_90</t>
  </si>
  <si>
    <t>icon86_92</t>
  </si>
  <si>
    <t>icon86_88</t>
  </si>
  <si>
    <t>icon89_8</t>
  </si>
  <si>
    <t>icon88_119</t>
  </si>
  <si>
    <t>icon87_5</t>
  </si>
  <si>
    <t>icon86_9</t>
  </si>
  <si>
    <t>icon86_41</t>
  </si>
  <si>
    <t>icon88_33</t>
  </si>
  <si>
    <t>icon87_89</t>
  </si>
  <si>
    <t>icon87_118</t>
  </si>
  <si>
    <t>icon87_116</t>
  </si>
  <si>
    <t>icon87_48</t>
  </si>
  <si>
    <t>icon91_61</t>
  </si>
  <si>
    <t>icon87_112</t>
  </si>
  <si>
    <t>icon94_109</t>
  </si>
  <si>
    <t>icon87_54</t>
  </si>
  <si>
    <t>icon91_108</t>
  </si>
  <si>
    <t>icon88_87</t>
  </si>
  <si>
    <t>icon85_76</t>
  </si>
  <si>
    <t>icon88_7</t>
  </si>
  <si>
    <t>icon88_8</t>
  </si>
  <si>
    <t>icon88_27</t>
  </si>
  <si>
    <t>icon85_68</t>
  </si>
  <si>
    <t>icon86_10</t>
  </si>
  <si>
    <t>icon89_15</t>
  </si>
  <si>
    <t>icon86_29</t>
  </si>
  <si>
    <t>icon94_19</t>
  </si>
  <si>
    <t>icon95_49</t>
  </si>
  <si>
    <t>icon90_124</t>
  </si>
  <si>
    <t>icon91_75</t>
  </si>
  <si>
    <t>icon88_12</t>
  </si>
  <si>
    <t>icon88_117</t>
  </si>
  <si>
    <t>icon86_31</t>
  </si>
  <si>
    <t>icon86_81</t>
  </si>
  <si>
    <t>icon87_107</t>
  </si>
  <si>
    <t>icon92_32</t>
  </si>
  <si>
    <t>icon95_48</t>
  </si>
  <si>
    <t>icon93_65</t>
  </si>
  <si>
    <t>icon93_121</t>
  </si>
  <si>
    <t>icon90_6</t>
  </si>
  <si>
    <t>icon90_1</t>
  </si>
  <si>
    <t>icon87_90</t>
  </si>
  <si>
    <t>icon86_99</t>
  </si>
  <si>
    <t>icon86_61</t>
  </si>
  <si>
    <t>icon86_86</t>
  </si>
  <si>
    <t>icon87_20</t>
  </si>
  <si>
    <t>icon91_55</t>
  </si>
  <si>
    <t>icon91_16</t>
  </si>
  <si>
    <t>icon90_122</t>
  </si>
  <si>
    <t>icon88_32</t>
  </si>
  <si>
    <t>icon94_31</t>
  </si>
  <si>
    <t>icon92_30</t>
  </si>
  <si>
    <t>icon89_18</t>
  </si>
  <si>
    <t>icon88_110</t>
  </si>
  <si>
    <t>icon89_2</t>
  </si>
  <si>
    <t>icon94_98</t>
  </si>
  <si>
    <t>icon86_95</t>
  </si>
  <si>
    <t>icon86_110</t>
  </si>
  <si>
    <t>icon88_86</t>
  </si>
  <si>
    <t>icon91_41</t>
  </si>
  <si>
    <t>icon86_3</t>
  </si>
  <si>
    <t>icon95_89</t>
  </si>
  <si>
    <t>icon92_88</t>
  </si>
  <si>
    <t>icon93_52</t>
  </si>
  <si>
    <t>icon86_96</t>
  </si>
  <si>
    <t>icon85_99</t>
  </si>
  <si>
    <t>icon93_8</t>
  </si>
  <si>
    <t>icon92_86</t>
  </si>
  <si>
    <t>icon91_51</t>
  </si>
  <si>
    <t>icon88_127</t>
  </si>
  <si>
    <t>icon87_69</t>
  </si>
  <si>
    <t>icon87_62</t>
  </si>
  <si>
    <t>icon87_17</t>
  </si>
  <si>
    <t>icon87_74</t>
  </si>
  <si>
    <t>icon87_106</t>
  </si>
  <si>
    <t>icon86_114</t>
  </si>
  <si>
    <t>icon87_93</t>
  </si>
  <si>
    <t>icon87_29</t>
  </si>
  <si>
    <t>icon87_104</t>
  </si>
  <si>
    <t>icon87_52</t>
  </si>
  <si>
    <t>icon87_95</t>
  </si>
  <si>
    <t>icon87_98</t>
  </si>
  <si>
    <t>icon95_79</t>
  </si>
  <si>
    <t>icon88_67</t>
  </si>
  <si>
    <t>icon88_77</t>
  </si>
  <si>
    <t>icon95_21</t>
  </si>
  <si>
    <t>icon88_125</t>
  </si>
  <si>
    <t>icon88_28</t>
  </si>
  <si>
    <t>icon89_9</t>
  </si>
  <si>
    <t>icon90_111</t>
  </si>
  <si>
    <t>icon88_29</t>
  </si>
  <si>
    <t>icon88_84</t>
  </si>
  <si>
    <t>icon88_94</t>
  </si>
  <si>
    <t>icon92_39</t>
  </si>
  <si>
    <t>icon91_88</t>
  </si>
  <si>
    <t>icon86_82</t>
  </si>
  <si>
    <t>icon87_94</t>
  </si>
  <si>
    <t>icon88_115</t>
  </si>
  <si>
    <t>icon85_78</t>
  </si>
  <si>
    <t>icon86_74</t>
  </si>
  <si>
    <t>icon86_100</t>
  </si>
  <si>
    <t>icon88_102</t>
  </si>
  <si>
    <t>icon90_86</t>
  </si>
  <si>
    <t>icon90_43</t>
  </si>
  <si>
    <t>icon90_108</t>
  </si>
  <si>
    <t>icon90_127</t>
  </si>
  <si>
    <t>icon90_64</t>
  </si>
  <si>
    <t>icon91_32</t>
  </si>
  <si>
    <t>icon88_104</t>
  </si>
  <si>
    <t>icon92_126</t>
  </si>
  <si>
    <t>icon92_105</t>
  </si>
  <si>
    <t>icon92_108</t>
  </si>
  <si>
    <t>icon87_76</t>
  </si>
  <si>
    <t>icon88_10</t>
  </si>
  <si>
    <t>icon87_79</t>
  </si>
  <si>
    <t>icon86_37</t>
  </si>
  <si>
    <t>icon86_49</t>
  </si>
  <si>
    <t>icon87_64</t>
  </si>
  <si>
    <t>icon86_67</t>
  </si>
  <si>
    <t>icon87_15</t>
  </si>
  <si>
    <t>icon86_56</t>
  </si>
  <si>
    <t>icon86_8</t>
  </si>
  <si>
    <t>icon93_69</t>
  </si>
  <si>
    <t>icon92_17</t>
  </si>
  <si>
    <t>icon91_111</t>
  </si>
  <si>
    <t>icon91_44</t>
  </si>
  <si>
    <t>icon90_61</t>
  </si>
  <si>
    <t>icon89_52</t>
  </si>
  <si>
    <t>icon90_3</t>
  </si>
  <si>
    <t>icon90_10</t>
  </si>
  <si>
    <t>icon89_119</t>
  </si>
  <si>
    <t>icon89_82</t>
  </si>
  <si>
    <t>icon90_89</t>
  </si>
  <si>
    <t>icon90_17</t>
  </si>
  <si>
    <t>icon89_70</t>
  </si>
  <si>
    <t>icon89_93</t>
  </si>
  <si>
    <t>icon89_60</t>
  </si>
  <si>
    <t>icon89_37</t>
  </si>
  <si>
    <t>icon89_23</t>
  </si>
  <si>
    <t>icon90_28</t>
  </si>
  <si>
    <t>icon93_7</t>
  </si>
  <si>
    <t>icon90_72</t>
  </si>
  <si>
    <t>icon90_58</t>
  </si>
  <si>
    <t>icon94_81</t>
  </si>
  <si>
    <t>icon87_78</t>
  </si>
  <si>
    <t>icon88_64</t>
  </si>
  <si>
    <t>icon95_15</t>
  </si>
  <si>
    <t>icon91_82</t>
  </si>
  <si>
    <t>icon85_123</t>
  </si>
  <si>
    <t>icon91_6</t>
  </si>
  <si>
    <t>icon91_93</t>
  </si>
  <si>
    <t>icon88_75</t>
  </si>
  <si>
    <t>icon88_31</t>
  </si>
  <si>
    <t>icon87_24</t>
  </si>
  <si>
    <t>icon93_37</t>
  </si>
  <si>
    <t>ld_upgrade:level=key</t>
    <phoneticPr fontId="1" type="noConversion"/>
  </si>
  <si>
    <t>float:health</t>
    <phoneticPr fontId="1" type="noConversion"/>
  </si>
  <si>
    <t>float:arm</t>
    <phoneticPr fontId="1" type="noConversion"/>
  </si>
  <si>
    <t>float:mr</t>
    <phoneticPr fontId="1" type="noConversion"/>
  </si>
  <si>
    <t>float:ad</t>
    <phoneticPr fontId="1" type="noConversion"/>
  </si>
  <si>
    <t>float:ap</t>
    <phoneticPr fontId="1" type="noConversion"/>
  </si>
  <si>
    <t>数量</t>
    <phoneticPr fontId="1" type="noConversion"/>
  </si>
  <si>
    <t>ld_fenjie:id=key</t>
    <phoneticPr fontId="1" type="noConversion"/>
  </si>
  <si>
    <t>list&lt;Reward&lt;int:itemid&gt;&gt;:lootlist</t>
    <phoneticPr fontId="1" type="noConversion"/>
  </si>
  <si>
    <t>多彩技能石</t>
    <phoneticPr fontId="1" type="noConversion"/>
  </si>
  <si>
    <t>白</t>
    <phoneticPr fontId="1" type="noConversion"/>
  </si>
  <si>
    <t>普通技能石</t>
    <phoneticPr fontId="1" type="noConversion"/>
  </si>
  <si>
    <t>绿</t>
    <phoneticPr fontId="1" type="noConversion"/>
  </si>
  <si>
    <t>紫色技能石</t>
    <phoneticPr fontId="1" type="noConversion"/>
  </si>
  <si>
    <t>蓝</t>
    <phoneticPr fontId="1" type="noConversion"/>
  </si>
  <si>
    <t>橙色技能石</t>
    <phoneticPr fontId="1" type="noConversion"/>
  </si>
  <si>
    <t>紫</t>
    <phoneticPr fontId="1" type="noConversion"/>
  </si>
  <si>
    <t>红色技能石</t>
    <phoneticPr fontId="1" type="noConversion"/>
  </si>
  <si>
    <t>橙</t>
    <phoneticPr fontId="1" type="noConversion"/>
  </si>
  <si>
    <t>红</t>
    <phoneticPr fontId="1" type="noConversion"/>
  </si>
  <si>
    <t>等级上限</t>
    <phoneticPr fontId="1" type="noConversion"/>
  </si>
  <si>
    <t>技能点上限</t>
    <phoneticPr fontId="1" type="noConversion"/>
  </si>
  <si>
    <t>需求星级</t>
    <phoneticPr fontId="1" type="noConversion"/>
  </si>
  <si>
    <t>需求数量</t>
    <phoneticPr fontId="1" type="noConversion"/>
  </si>
  <si>
    <t>ld_star:id=key</t>
    <phoneticPr fontId="1" type="noConversion"/>
  </si>
  <si>
    <t>maxlevel</t>
    <phoneticPr fontId="1" type="noConversion"/>
  </si>
  <si>
    <t>int:maxskill</t>
    <phoneticPr fontId="1" type="noConversion"/>
  </si>
  <si>
    <t>star</t>
    <phoneticPr fontId="1" type="noConversion"/>
  </si>
  <si>
    <t>list&lt;int:sk_unlock&gt;:skill</t>
    <phoneticPr fontId="1" type="noConversion"/>
  </si>
  <si>
    <t>comboratingup</t>
    <phoneticPr fontId="1" type="noConversion"/>
  </si>
  <si>
    <t>连锁技能暴伤强化</t>
    <phoneticPr fontId="1" type="noConversion"/>
  </si>
  <si>
    <t>str</t>
    <phoneticPr fontId="1" type="noConversion"/>
  </si>
  <si>
    <t>力量</t>
    <phoneticPr fontId="1" type="noConversion"/>
  </si>
  <si>
    <t>str_per</t>
    <phoneticPr fontId="1" type="noConversion"/>
  </si>
  <si>
    <t>力量百分比</t>
    <phoneticPr fontId="1" type="noConversion"/>
  </si>
  <si>
    <t>inte</t>
    <phoneticPr fontId="1" type="noConversion"/>
  </si>
  <si>
    <t>智力</t>
    <phoneticPr fontId="1" type="noConversion"/>
  </si>
  <si>
    <t>inte_per</t>
    <phoneticPr fontId="1" type="noConversion"/>
  </si>
  <si>
    <t>智力百分比</t>
    <phoneticPr fontId="1" type="noConversion"/>
  </si>
  <si>
    <t>hit</t>
    <phoneticPr fontId="1" type="noConversion"/>
  </si>
  <si>
    <t>命中率</t>
    <phoneticPr fontId="1" type="noConversion"/>
  </si>
  <si>
    <t>eva</t>
    <phoneticPr fontId="1" type="noConversion"/>
  </si>
  <si>
    <t>回避率</t>
    <phoneticPr fontId="1" type="noConversion"/>
  </si>
  <si>
    <t>rageupper</t>
    <phoneticPr fontId="1" type="noConversion"/>
  </si>
  <si>
    <t>怒气上限</t>
    <phoneticPr fontId="1" type="noConversion"/>
  </si>
  <si>
    <t>energyupper</t>
    <phoneticPr fontId="1" type="noConversion"/>
  </si>
  <si>
    <t>能量上限</t>
    <phoneticPr fontId="1" type="noConversion"/>
  </si>
  <si>
    <t>manaupper</t>
    <phoneticPr fontId="1" type="noConversion"/>
  </si>
  <si>
    <t>法力上限</t>
    <phoneticPr fontId="1" type="noConversion"/>
  </si>
  <si>
    <t>spi</t>
    <phoneticPr fontId="1" type="noConversion"/>
  </si>
  <si>
    <t>精神</t>
    <phoneticPr fontId="1" type="noConversion"/>
  </si>
  <si>
    <t>spi_per</t>
    <phoneticPr fontId="1" type="noConversion"/>
  </si>
  <si>
    <t>精神百分比</t>
    <phoneticPr fontId="1" type="noConversion"/>
  </si>
  <si>
    <t>power</t>
    <phoneticPr fontId="1" type="noConversion"/>
  </si>
  <si>
    <t>power_per</t>
    <phoneticPr fontId="1" type="noConversion"/>
  </si>
  <si>
    <t>vit_per</t>
    <phoneticPr fontId="1" type="noConversion"/>
  </si>
  <si>
    <t>提高30点力量和智力</t>
  </si>
  <si>
    <t>des</t>
    <phoneticPr fontId="1" type="noConversion"/>
  </si>
  <si>
    <t>普通攻击</t>
    <phoneticPr fontId="1" type="noConversion"/>
  </si>
  <si>
    <t>提高[33+7*lv]点精神</t>
  </si>
  <si>
    <t>提高[4+4*lv]点精神，10级后获得效果：当受到致命攻击时30%几率免疫直接伤害（一场战斗最多触发2次）</t>
  </si>
  <si>
    <t>提高[15+5*lv]点精神</t>
  </si>
  <si>
    <t>提高[20+6*lv]点精神</t>
  </si>
  <si>
    <t>行动时有$y25%$w几率使你提高[50+30*lv]点精神，持续一回合</t>
  </si>
  <si>
    <t>提高[15+6*lv]点精神</t>
  </si>
  <si>
    <t>提高[11+1*lv]点精神</t>
  </si>
  <si>
    <t>提高[11.5+1.5*lv]点精神</t>
  </si>
  <si>
    <t>提高[12+2*lv]点精神</t>
  </si>
  <si>
    <t>行动时提高[2+lv]点精神</t>
  </si>
  <si>
    <t>提高[60+18*lv]点速度，降低[30+8*lv]点精神</t>
  </si>
  <si>
    <t>提高[10+2*lv]点精神</t>
  </si>
  <si>
    <t>提高[10+6*lv]点精神</t>
  </si>
  <si>
    <t>提高120点精神</t>
  </si>
  <si>
    <t>降低[300+10*lv]点精神，提高[200+80*lv]点护甲穿透</t>
  </si>
  <si>
    <t>生命值低于30%时，提高[160+32*lv]点精神</t>
  </si>
  <si>
    <t>提高[40+28*lv]点力量和智力</t>
  </si>
  <si>
    <t>提高[32+27*lv]点精神</t>
  </si>
  <si>
    <t>【吟唱】，提高[100+10*lv]点精神，持续1回合，并获得1层【护卫】</t>
  </si>
  <si>
    <t>提高[60+13*lv]点精神</t>
  </si>
  <si>
    <t>被暴击时，提高[20+4*lv]点精神（最多叠加5层）</t>
  </si>
  <si>
    <t>【转甲】提高[20+7*lv]点精神并获得1层【再生】</t>
  </si>
  <si>
    <t>被攻击时减少敌方[15+3*lv]点力量和智力（最多叠加10层）</t>
  </si>
  <si>
    <t>被攻击时30%几率提高[1.5*lv]点精神(最多叠加20层)</t>
  </si>
  <si>
    <t>前6回合精神提高[60+22*lv]点</t>
  </si>
  <si>
    <t>提高[20+9*lv]点体力，提高[30+8*lv]点精神</t>
  </si>
  <si>
    <t>行动时35%几率本回合获得[20+9*lv]点精神</t>
  </si>
  <si>
    <t>提高[20*lv]点精神</t>
  </si>
  <si>
    <t>提高[20*lv]点力量和智力</t>
  </si>
  <si>
    <t>降低[50+10*lv]点精神</t>
  </si>
  <si>
    <t>降低[20*lv]点力量和智力</t>
  </si>
  <si>
    <t>造成$r[120*lv]+[110+45*lv]%*攻击力$w的物理伤害，并降低自身精神[50+35*lv]点一回合</t>
  </si>
  <si>
    <t>免疫一次死亡并回复所有血量，提高[200*lv]速度但降低[20*lv]力量和智力</t>
  </si>
  <si>
    <t>本回合精神降低[lv*15]，在【矩阵激活】下一回合触发</t>
  </si>
  <si>
    <t>行动时损失2%最大生命值，提高[8*lv]力量和智力和[50*lv]速度</t>
  </si>
  <si>
    <t>生命值低于30%，提高[40*lv]精神和力量和智力</t>
  </si>
  <si>
    <t>行动时提高双方[8*lv]力量和智力</t>
  </si>
  <si>
    <t>生命值低于50%时提高300力量和智力，300精神</t>
  </si>
  <si>
    <t>提高100*lv点精神，100*lv点体力</t>
  </si>
  <si>
    <t>【特性】生命值低于50%时，造成的伤害提高50%，精神降低150</t>
  </si>
  <si>
    <t>【特性】同一回合中，每受到一次伤害会使精神降低80</t>
  </si>
  <si>
    <t>【特性】生命值介于80%~60%时，造成的伤害降低20%，精神提高250</t>
  </si>
  <si>
    <t>【特性】生命值介于60%~20%时，造成的伤害伤害提高50%，精神降低300</t>
  </si>
  <si>
    <t>【特性】第7回合时，造成的伤害提高30%，精神降低300</t>
  </si>
  <si>
    <t>【特性】第8回合时，精神提高400</t>
  </si>
  <si>
    <t>7+6X回合释放，造成50%目标最大生命值的魔法伤害，并进入易伤状态精神降低300，持续两回合</t>
  </si>
  <si>
    <t>【特性】生命值低于20%时，精神降低200</t>
  </si>
  <si>
    <t>7+6X回合释放，造成40%目标最大生命值的魔法伤害，并使自身进入易伤状态精神降低300，持续两回合</t>
  </si>
  <si>
    <t>【特性】回合内每次受到伤害，会使精神提高100</t>
  </si>
  <si>
    <t>前三回合精神提高160</t>
  </si>
  <si>
    <t>提高[10+5*lv]点精神，提高[30+12*lv]点魔法抗性。</t>
  </si>
  <si>
    <t>提高[20+10*lv]点精神</t>
  </si>
  <si>
    <t>血量低于30%时，精神提高[180+90*lv]</t>
  </si>
  <si>
    <t>提高[(400+20*lv)]点精神</t>
  </si>
  <si>
    <t>精神+120</t>
  </si>
  <si>
    <t>精神减少[300+10*lv]点，护甲穿透提高[200+80*lv]点</t>
  </si>
  <si>
    <t>精神提高[60+13*lv]点</t>
  </si>
  <si>
    <t>战斗开始3回合，精神提高[160+32*lv]点</t>
  </si>
  <si>
    <t>转甲同时提高自身[20+7*lv]点精神和[0.2+0.09*lv]%生命恢复（最多叠加10层）</t>
  </si>
  <si>
    <t>造成[400+2*lv]点真实伤害，提高[400+40*lv]点精神力，持续1回合并使你的下一次连锁技能造成伤害提高[6+1.2*lv]%,可叠加</t>
  </si>
  <si>
    <t>行动时20%几率本回合获得[20+9*lv]点精神</t>
  </si>
  <si>
    <t>降低自身精神[50+35*lv]点一回合</t>
  </si>
  <si>
    <t>生命值低于30%，提高[40*lv]精神</t>
  </si>
  <si>
    <t>造成的伤害提高50%，精神降低150，生命值低于50%触发</t>
  </si>
  <si>
    <t>同一回合中，每受到一次伤害，会使精神降低80</t>
  </si>
  <si>
    <t>造成的伤害降低20%，精神提高250</t>
  </si>
  <si>
    <t>造成的伤害伤害提高50%，精神降低300</t>
  </si>
  <si>
    <t>第7回合时，造成的伤害提高30%，精神降低300</t>
  </si>
  <si>
    <t>进入易伤状态，精神降低300，持续两回合</t>
  </si>
  <si>
    <t>回合内每次受到伤害，会使精神提高100</t>
  </si>
  <si>
    <t>提高20点精神</t>
  </si>
  <si>
    <r>
      <t>【普</t>
    </r>
    <r>
      <rPr>
        <sz val="11"/>
        <rFont val="宋体"/>
        <family val="3"/>
        <charset val="134"/>
      </rPr>
      <t>通攻击】造成$o[(0.1+0.1*lv)]%*敌方最大生命值$w的真实伤害</t>
    </r>
    <phoneticPr fontId="1" type="noConversion"/>
  </si>
  <si>
    <t>提高[5*lv+65]点智力</t>
    <phoneticPr fontId="1" type="noConversion"/>
  </si>
  <si>
    <t>威力（不用）*******</t>
    <phoneticPr fontId="1" type="noConversion"/>
  </si>
  <si>
    <t>威力（不用）*******百分比</t>
    <phoneticPr fontId="1" type="noConversion"/>
  </si>
  <si>
    <t>神目使吕布的攻击更具威力，提高[30+10*lv]点力量</t>
    <phoneticPr fontId="1" type="noConversion"/>
  </si>
  <si>
    <t>力量和智力提高[40+28*lv]点</t>
  </si>
  <si>
    <t>提高[8*lv]力量和智力</t>
  </si>
  <si>
    <t>生命值低于30%，提高[40*lv]力量和智力</t>
  </si>
  <si>
    <t>获得50%额外生命偷取和[50*lv]点力量和智力，持续三回合</t>
  </si>
  <si>
    <t>str</t>
    <phoneticPr fontId="1" type="noConversion"/>
  </si>
  <si>
    <t>spi</t>
    <phoneticPr fontId="1" type="noConversion"/>
  </si>
  <si>
    <t>力量</t>
    <phoneticPr fontId="1" type="noConversion"/>
  </si>
  <si>
    <t>智力</t>
    <phoneticPr fontId="1" type="noConversion"/>
  </si>
  <si>
    <t>精神</t>
    <phoneticPr fontId="1" type="noConversion"/>
  </si>
  <si>
    <t>inte</t>
    <phoneticPr fontId="1" type="noConversion"/>
  </si>
  <si>
    <t>sk_level</t>
    <phoneticPr fontId="1" type="noConversion"/>
  </si>
  <si>
    <t>sk_levelpos</t>
    <phoneticPr fontId="1" type="noConversion"/>
  </si>
  <si>
    <t>sk_levelrole</t>
    <phoneticPr fontId="1" type="noConversion"/>
  </si>
  <si>
    <t>sk_levelprofession</t>
    <phoneticPr fontId="1" type="noConversion"/>
  </si>
  <si>
    <t>action_useskill</t>
    <phoneticPr fontId="1" type="noConversion"/>
  </si>
  <si>
    <t>hurt_userskill</t>
    <phoneticPr fontId="1" type="noConversion"/>
  </si>
  <si>
    <t>消耗次数</t>
    <phoneticPr fontId="1" type="noConversion"/>
  </si>
  <si>
    <t>该类状态会被行动消耗，每次行动消耗1层</t>
    <phoneticPr fontId="1" type="noConversion"/>
  </si>
  <si>
    <t>充能技</t>
    <phoneticPr fontId="1" type="noConversion"/>
  </si>
  <si>
    <t>该类技能本回合充能，下回合开始前释放</t>
    <phoneticPr fontId="1" type="noConversion"/>
  </si>
  <si>
    <t>恶魔变身</t>
    <phoneticPr fontId="1" type="noConversion"/>
  </si>
  <si>
    <t>ld_specialskill:id=key</t>
    <phoneticPr fontId="1" type="noConversion"/>
  </si>
  <si>
    <t>string:function3</t>
    <phoneticPr fontId="1" type="noConversion"/>
  </si>
  <si>
    <t>ld_rankvalue:rank=key</t>
    <phoneticPr fontId="1" type="noConversion"/>
  </si>
  <si>
    <t>float:spi</t>
    <phoneticPr fontId="1" type="noConversion"/>
  </si>
  <si>
    <t>float:vit</t>
    <phoneticPr fontId="1" type="noConversion"/>
  </si>
  <si>
    <t>float:str</t>
    <phoneticPr fontId="1" type="noConversion"/>
  </si>
  <si>
    <t>float:inte</t>
    <phoneticPr fontId="1" type="noConversion"/>
  </si>
  <si>
    <t>float:spi</t>
    <phoneticPr fontId="1" type="noConversion"/>
  </si>
  <si>
    <t>float:vit</t>
    <phoneticPr fontId="1" type="noConversion"/>
  </si>
  <si>
    <t>float:str</t>
    <phoneticPr fontId="1" type="noConversion"/>
  </si>
  <si>
    <t>经验</t>
  </si>
  <si>
    <t>金币</t>
  </si>
  <si>
    <t>钻石</t>
  </si>
  <si>
    <t>魔晶</t>
  </si>
  <si>
    <t>斗币</t>
  </si>
  <si>
    <t>荣誉</t>
  </si>
  <si>
    <t>公会宝珠</t>
  </si>
  <si>
    <t>战斗力</t>
  </si>
  <si>
    <t>rmb</t>
  </si>
  <si>
    <t>召唤石</t>
  </si>
  <si>
    <t>主角经验</t>
  </si>
  <si>
    <t>魔化之鳞</t>
  </si>
  <si>
    <t>狂暴结晶</t>
  </si>
  <si>
    <t>旋风之眼</t>
  </si>
  <si>
    <t>虚空之光</t>
  </si>
  <si>
    <t>蛮龙心脏</t>
  </si>
  <si>
    <t>神话灵魂</t>
  </si>
  <si>
    <t>无限之石</t>
  </si>
  <si>
    <t>强化保护券</t>
  </si>
  <si>
    <t>普通技能石</t>
  </si>
  <si>
    <t>史诗技能石</t>
  </si>
  <si>
    <t>神话技能石</t>
  </si>
  <si>
    <t>万能技能石</t>
  </si>
  <si>
    <t>魔爪</t>
  </si>
  <si>
    <t>魔皮</t>
  </si>
  <si>
    <t>遗物碎片</t>
  </si>
  <si>
    <t>魔化的肉</t>
  </si>
  <si>
    <t>剧毒结晶</t>
  </si>
  <si>
    <t>人工合成药剂</t>
  </si>
  <si>
    <t>密封的试验品</t>
  </si>
  <si>
    <t>磨损的齿轮</t>
  </si>
  <si>
    <t>不稳定元素</t>
  </si>
  <si>
    <t>异化角质</t>
  </si>
  <si>
    <t>异化元素</t>
  </si>
  <si>
    <t>异化鳞片</t>
  </si>
  <si>
    <t>圣骸布</t>
  </si>
  <si>
    <t>英雄之证</t>
  </si>
  <si>
    <t>死灵宝石</t>
  </si>
  <si>
    <t>精密微调器</t>
  </si>
  <si>
    <t>震荡核心</t>
  </si>
  <si>
    <t>共鸣环</t>
  </si>
  <si>
    <t>动力螺母</t>
  </si>
  <si>
    <t>亡者的铭牌</t>
  </si>
  <si>
    <t>火力模块</t>
  </si>
  <si>
    <t>防御模块</t>
  </si>
  <si>
    <t>龙之逆鳞</t>
  </si>
  <si>
    <t>混沌龙爪</t>
  </si>
  <si>
    <t>魔龙之心</t>
  </si>
  <si>
    <t>焰龙之血</t>
  </si>
  <si>
    <t>超级能量单元</t>
  </si>
  <si>
    <t>灵魂容器</t>
  </si>
  <si>
    <t>心能增幅装置</t>
  </si>
  <si>
    <t>以太粒子</t>
  </si>
  <si>
    <t>王国勋章</t>
  </si>
  <si>
    <t>可塑性金属</t>
  </si>
  <si>
    <t>无限宝石</t>
  </si>
  <si>
    <t>永生之酒</t>
  </si>
  <si>
    <t>不安之魂</t>
  </si>
  <si>
    <t>氪金的枪弹</t>
  </si>
  <si>
    <t>副本钥匙</t>
  </si>
  <si>
    <t>深渊票</t>
  </si>
  <si>
    <t>限时深渊票</t>
  </si>
  <si>
    <t>仲夏夜火把</t>
  </si>
  <si>
    <t>大河之证</t>
  </si>
  <si>
    <t>亚伯碎片</t>
  </si>
  <si>
    <t>该隐碎片</t>
  </si>
  <si>
    <t>美杜莎碎片</t>
  </si>
  <si>
    <t>达摩碎片</t>
  </si>
  <si>
    <t>塔纳托斯碎片</t>
  </si>
  <si>
    <t>阿尔忒弥斯碎片</t>
  </si>
  <si>
    <t>开膛手杰克碎片</t>
  </si>
  <si>
    <t>叶卡捷琳娜二世碎片</t>
  </si>
  <si>
    <t>盖瑞碎片</t>
  </si>
  <si>
    <t>范海辛碎片</t>
  </si>
  <si>
    <t>凯撒大帝碎片</t>
  </si>
  <si>
    <t>圣女贞德碎片</t>
  </si>
  <si>
    <t>湿婆碎片</t>
  </si>
  <si>
    <t>织田信长碎片</t>
  </si>
  <si>
    <t>许褚碎片</t>
  </si>
  <si>
    <t>典韦碎片</t>
  </si>
  <si>
    <t>爱迪生碎片</t>
  </si>
  <si>
    <t>聂隐娘碎片</t>
  </si>
  <si>
    <t>阿瑞斯碎片</t>
  </si>
  <si>
    <t>卡戎碎片</t>
  </si>
  <si>
    <t>马可·波罗碎片</t>
  </si>
  <si>
    <t>狄俄尼索斯碎片</t>
  </si>
  <si>
    <t>土方岁三碎片</t>
  </si>
  <si>
    <t>赫菲斯托斯碎片</t>
  </si>
  <si>
    <t>阿芙洛狄忒碎片</t>
  </si>
  <si>
    <t>麦哲伦碎片</t>
  </si>
  <si>
    <t>乌尔班二世碎片</t>
  </si>
  <si>
    <t>风魔小太郎碎片</t>
  </si>
  <si>
    <t>服部半藏碎片</t>
  </si>
  <si>
    <t>猿飞佐助碎片</t>
  </si>
  <si>
    <t>丰臣秀吉碎片</t>
  </si>
  <si>
    <t>秦琼碎片</t>
  </si>
  <si>
    <t>李逵碎片</t>
  </si>
  <si>
    <t>阿喀琉斯碎片</t>
  </si>
  <si>
    <t>宙斯碎片</t>
  </si>
  <si>
    <t>天照大神碎片</t>
  </si>
  <si>
    <t>小丑皇碎片</t>
  </si>
  <si>
    <t>普罗米修斯碎片</t>
  </si>
  <si>
    <t>兰斯洛特碎片</t>
  </si>
  <si>
    <t>亚瑟碎片</t>
  </si>
  <si>
    <t>霍去病碎片</t>
  </si>
  <si>
    <t>姜子牙碎片</t>
  </si>
  <si>
    <t>释尊碎片</t>
  </si>
  <si>
    <t>爱德华蒂奇碎片</t>
  </si>
  <si>
    <t>雅典娜碎片</t>
  </si>
  <si>
    <t>奥丁碎片</t>
  </si>
  <si>
    <t>洛基碎片</t>
  </si>
  <si>
    <t>索尔碎片</t>
  </si>
  <si>
    <t>所罗门碎片</t>
  </si>
  <si>
    <t>路西法碎片</t>
  </si>
  <si>
    <t>加百列碎片</t>
  </si>
  <si>
    <t>米迦勒碎片</t>
  </si>
  <si>
    <t>关羽碎片</t>
  </si>
  <si>
    <t>吕布碎片</t>
  </si>
  <si>
    <t>专诸碎片</t>
  </si>
  <si>
    <t>佐罗碎片</t>
  </si>
  <si>
    <t>金刚夜叉明王碎片</t>
  </si>
  <si>
    <t>张飞碎片</t>
  </si>
  <si>
    <t>波塞冬碎片</t>
  </si>
  <si>
    <t>暗夜骑士碎片</t>
  </si>
  <si>
    <t>弗兰肯斯坦碎片</t>
  </si>
  <si>
    <t>阿努比斯碎片</t>
  </si>
  <si>
    <t>哈迪斯碎片</t>
  </si>
  <si>
    <t>裂变短匕碎片</t>
  </si>
  <si>
    <t>妙法千五碎片</t>
  </si>
  <si>
    <t>断钢碎片</t>
  </si>
  <si>
    <t>法老之扣碎片</t>
  </si>
  <si>
    <t>先祖之魂碎片</t>
  </si>
  <si>
    <t>石沙之缚碎片</t>
  </si>
  <si>
    <t>天穹伊欧斯碎片</t>
  </si>
  <si>
    <t>风扬蓝波斯碎片</t>
  </si>
  <si>
    <t>地覆戈涅斯碎片</t>
  </si>
  <si>
    <t>迪勒瑞姆碎片</t>
  </si>
  <si>
    <t>刚毅碎片</t>
  </si>
  <si>
    <t>梦境之甲碎片</t>
  </si>
  <si>
    <t>梦境之盔碎片</t>
  </si>
  <si>
    <t>恶魔之赐碎片</t>
  </si>
  <si>
    <t>吉永之脸碎片</t>
  </si>
  <si>
    <t>威廉的自尊碎片</t>
  </si>
  <si>
    <t>极限的风碎片</t>
  </si>
  <si>
    <t>远古战神碎片</t>
  </si>
  <si>
    <t>钻石礼包</t>
  </si>
  <si>
    <t>金币宝箱</t>
  </si>
  <si>
    <t>深渊票宝箱</t>
  </si>
  <si>
    <t>召唤石大礼包</t>
  </si>
  <si>
    <t>召唤石礼包</t>
  </si>
  <si>
    <t>小型经验药水</t>
  </si>
  <si>
    <t>中型经验药水</t>
  </si>
  <si>
    <t>大型经验药水</t>
  </si>
  <si>
    <t>超级经验药水</t>
  </si>
  <si>
    <t>圣级经验药水</t>
  </si>
  <si>
    <t>神级经验药水</t>
  </si>
  <si>
    <t>小包金币</t>
  </si>
  <si>
    <t>大包金币</t>
  </si>
  <si>
    <t>小箱金币</t>
  </si>
  <si>
    <t>大箱金币</t>
  </si>
  <si>
    <t>小包魔晶</t>
  </si>
  <si>
    <t>大包魔晶</t>
  </si>
  <si>
    <t>小包荣誉</t>
  </si>
  <si>
    <t>大包荣誉</t>
  </si>
  <si>
    <t>小包斗币</t>
  </si>
  <si>
    <t>大包斗币</t>
  </si>
  <si>
    <t>神器雕纹</t>
  </si>
  <si>
    <t>神器符印</t>
  </si>
  <si>
    <t>神器印记</t>
  </si>
  <si>
    <t>神器精华</t>
  </si>
  <si>
    <t>精良战士英雄包</t>
  </si>
  <si>
    <t>精良辅助英雄包</t>
  </si>
  <si>
    <t>精良法师英雄包</t>
  </si>
  <si>
    <t>精良射手英雄包</t>
  </si>
  <si>
    <t>精良坦克英雄包</t>
  </si>
  <si>
    <t>精良勇者英雄包</t>
  </si>
  <si>
    <t>精良刺客英雄包</t>
  </si>
  <si>
    <t>优秀战士英雄包</t>
  </si>
  <si>
    <t>优秀辅助英雄包</t>
  </si>
  <si>
    <t>优秀法师英雄包</t>
  </si>
  <si>
    <t>优秀射手英雄包</t>
  </si>
  <si>
    <t>优秀坦克英雄包</t>
  </si>
  <si>
    <t>优秀勇者英雄包</t>
  </si>
  <si>
    <t>优秀刺客英雄包</t>
  </si>
  <si>
    <t>普通战士英雄包</t>
  </si>
  <si>
    <t>普通辅助英雄包</t>
  </si>
  <si>
    <t>普通法师英雄包</t>
  </si>
  <si>
    <t>普通射手英雄包</t>
  </si>
  <si>
    <t>普通坦克英雄包</t>
  </si>
  <si>
    <t>普通勇者英雄包</t>
  </si>
  <si>
    <t>普通刺客英雄包</t>
  </si>
  <si>
    <t>1星英雄箱</t>
  </si>
  <si>
    <t>2星英雄箱</t>
  </si>
  <si>
    <t>3星英雄箱</t>
  </si>
  <si>
    <t>一重英雄包</t>
  </si>
  <si>
    <t>三重英雄包</t>
  </si>
  <si>
    <t>五重英雄包</t>
  </si>
  <si>
    <t>七重英雄包</t>
  </si>
  <si>
    <t>十重英雄包</t>
  </si>
  <si>
    <t>十重三星英雄包</t>
  </si>
  <si>
    <t>2星升星箱</t>
  </si>
  <si>
    <t>3星升星箱</t>
  </si>
  <si>
    <t>4星升星箱</t>
  </si>
  <si>
    <t>1星英雄基础箱1</t>
  </si>
  <si>
    <t>1星英雄基础箱2</t>
  </si>
  <si>
    <t>1星英雄基础箱3</t>
  </si>
  <si>
    <t>1星英雄基础箱4</t>
  </si>
  <si>
    <t>1星英雄基础箱5</t>
  </si>
  <si>
    <t>1星英雄基础箱6</t>
  </si>
  <si>
    <t>1星英雄基础箱7</t>
  </si>
  <si>
    <t>1星英雄基础箱8</t>
  </si>
  <si>
    <t>1星英雄基础箱9</t>
  </si>
  <si>
    <t>1星英雄基础箱10</t>
  </si>
  <si>
    <t>1星英雄基础箱11</t>
  </si>
  <si>
    <t>1星英雄组合箱1</t>
  </si>
  <si>
    <t>1星英雄组合箱2</t>
  </si>
  <si>
    <t>1星英雄组合箱3</t>
  </si>
  <si>
    <t>2星英雄基础箱1</t>
  </si>
  <si>
    <t>2星英雄基础箱2</t>
  </si>
  <si>
    <t>2星英雄基础箱3</t>
  </si>
  <si>
    <t>2星英雄基础箱4</t>
  </si>
  <si>
    <t>2星英雄基础箱5</t>
  </si>
  <si>
    <t>2星英雄基础箱6</t>
  </si>
  <si>
    <t>2星英雄基础箱7</t>
  </si>
  <si>
    <t>2星英雄基础箱8</t>
  </si>
  <si>
    <t>2星英雄基础箱9</t>
  </si>
  <si>
    <t>2星英雄基础箱10</t>
  </si>
  <si>
    <t>2星英雄基础箱11</t>
  </si>
  <si>
    <t>2星英雄组合箱1</t>
  </si>
  <si>
    <t>2星英雄组合箱2</t>
  </si>
  <si>
    <t>2星英雄组合箱3</t>
  </si>
  <si>
    <t>3星英雄基础箱1</t>
  </si>
  <si>
    <t>3星英雄基础箱2</t>
  </si>
  <si>
    <t>3星英雄基础箱3</t>
  </si>
  <si>
    <t>3星英雄基础箱4</t>
  </si>
  <si>
    <t>3星英雄基础箱5</t>
  </si>
  <si>
    <t>3星英雄基础箱6</t>
  </si>
  <si>
    <t>3星英雄基础箱7</t>
  </si>
  <si>
    <t>3星英雄基础箱8</t>
  </si>
  <si>
    <t>3星英雄基础箱9</t>
  </si>
  <si>
    <t>3星英雄基础箱10</t>
  </si>
  <si>
    <t>3星英雄基础箱11</t>
  </si>
  <si>
    <t>3星英雄组合箱1</t>
  </si>
  <si>
    <t>3星英雄组合箱2</t>
  </si>
  <si>
    <t>3星英雄组合箱3</t>
  </si>
  <si>
    <t>2星升星1</t>
  </si>
  <si>
    <t>2星升星2</t>
  </si>
  <si>
    <t>3星升星1</t>
  </si>
  <si>
    <t>3星升星2</t>
  </si>
  <si>
    <t>4星升星1</t>
  </si>
  <si>
    <t>4星升星2</t>
  </si>
  <si>
    <t>普通进阶箱</t>
  </si>
  <si>
    <t>优秀进阶箱</t>
  </si>
  <si>
    <t>精良进阶箱</t>
  </si>
  <si>
    <t>史诗进阶箱</t>
  </si>
  <si>
    <t>传说进阶箱</t>
  </si>
  <si>
    <t>白1</t>
  </si>
  <si>
    <t>白2</t>
  </si>
  <si>
    <t>绿1</t>
  </si>
  <si>
    <t>绿2</t>
  </si>
  <si>
    <t>蓝1</t>
  </si>
  <si>
    <t>蓝2</t>
  </si>
  <si>
    <t>紫1</t>
  </si>
  <si>
    <t>紫2</t>
  </si>
  <si>
    <t>紫3</t>
  </si>
  <si>
    <t>橙1</t>
  </si>
  <si>
    <t>橙2</t>
  </si>
  <si>
    <t>橙3</t>
  </si>
  <si>
    <t>伊欧斯小礼包</t>
  </si>
  <si>
    <t>托托斯小礼包</t>
  </si>
  <si>
    <t>亚卡托姆小礼包</t>
  </si>
  <si>
    <t>伊欧斯中礼包</t>
  </si>
  <si>
    <t>托托斯中礼包</t>
  </si>
  <si>
    <t>亚卡托姆中礼包</t>
  </si>
  <si>
    <t>伊欧斯大礼包</t>
  </si>
  <si>
    <t>托托斯大礼包</t>
  </si>
  <si>
    <t>亚卡托姆大礼包</t>
  </si>
  <si>
    <t>伊欧斯史诗礼包</t>
  </si>
  <si>
    <t>托托斯史诗礼包</t>
  </si>
  <si>
    <t>亚卡托姆史诗礼包</t>
  </si>
  <si>
    <t>伊欧斯传说礼包</t>
  </si>
  <si>
    <t>托托斯传说礼包</t>
  </si>
  <si>
    <t>亚卡托姆传说礼包</t>
  </si>
  <si>
    <t>活动素材包</t>
  </si>
  <si>
    <t>深渊</t>
  </si>
  <si>
    <t>深渊-武器1</t>
  </si>
  <si>
    <t>深渊-武器2</t>
  </si>
  <si>
    <t>深渊-防具1</t>
  </si>
  <si>
    <t>深渊-防具2</t>
  </si>
  <si>
    <t>进群福利礼包</t>
  </si>
  <si>
    <t>测试专用进阶箱</t>
  </si>
  <si>
    <t>测试专用进阶箱1</t>
  </si>
  <si>
    <t>测试专用进阶箱2</t>
  </si>
  <si>
    <t>史诗英雄碎片包</t>
  </si>
  <si>
    <t>传说英雄碎片包</t>
  </si>
  <si>
    <t>神话英雄碎片包</t>
  </si>
  <si>
    <t>英雄碎片包</t>
  </si>
  <si>
    <t>史诗1</t>
  </si>
  <si>
    <t>史诗2</t>
  </si>
  <si>
    <t>史诗3</t>
  </si>
  <si>
    <t>传说1</t>
  </si>
  <si>
    <t>传说2</t>
  </si>
  <si>
    <t>传说3</t>
  </si>
  <si>
    <t>传说4</t>
  </si>
  <si>
    <t>红色1</t>
  </si>
  <si>
    <t>红色2</t>
  </si>
  <si>
    <t>红色3</t>
  </si>
  <si>
    <t>史诗英雄碎片自选包</t>
  </si>
  <si>
    <t>传说英雄碎片自选包</t>
  </si>
  <si>
    <t>神话英雄碎片自选包</t>
  </si>
  <si>
    <t>深渊碎片</t>
  </si>
  <si>
    <t>深渊碎片-武器1</t>
  </si>
  <si>
    <t>深渊碎片-武器2</t>
  </si>
  <si>
    <t>深渊碎片-防具1</t>
  </si>
  <si>
    <t>深渊碎片-防具2</t>
  </si>
  <si>
    <t>阿布特罗斯宝箱</t>
  </si>
  <si>
    <t>阿布特罗斯超级宝箱</t>
  </si>
  <si>
    <t>阿布特罗斯传奇宝箱</t>
  </si>
  <si>
    <t>天梯荣誉包</t>
  </si>
  <si>
    <t>橡树之心卷轴</t>
  </si>
  <si>
    <t>旋风装置卷轴</t>
  </si>
  <si>
    <t>血腥杀戮卷轴</t>
  </si>
  <si>
    <t>风之力卷轴</t>
  </si>
  <si>
    <t>支配之眼卷轴</t>
  </si>
  <si>
    <t>支配礼服卷轴</t>
  </si>
  <si>
    <t>支配钢胫卷轴</t>
  </si>
  <si>
    <t>随机强化券（武器）</t>
  </si>
  <si>
    <t>随机强化券（防具）</t>
  </si>
  <si>
    <t>强化+7券</t>
  </si>
  <si>
    <t>强化+8券</t>
  </si>
  <si>
    <t>强化+9券</t>
  </si>
  <si>
    <t>强化+10券</t>
  </si>
  <si>
    <t>强化+11券</t>
  </si>
  <si>
    <t>强化+12券</t>
  </si>
  <si>
    <t>强化+13券</t>
  </si>
  <si>
    <t>神话灵魂合成书</t>
  </si>
  <si>
    <t>铜制短剑</t>
  </si>
  <si>
    <t>豪剑【天羽斩】</t>
  </si>
  <si>
    <t>青色闪光</t>
  </si>
  <si>
    <t>狂杀匕首【紫电】</t>
  </si>
  <si>
    <t>天空之枪</t>
  </si>
  <si>
    <t>天空之盾</t>
  </si>
  <si>
    <t>天空之书</t>
  </si>
  <si>
    <t>魔化之刃</t>
  </si>
  <si>
    <t>魔化制杖</t>
  </si>
  <si>
    <t>圆桌骑士之枪</t>
  </si>
  <si>
    <t>凋谢之戒</t>
  </si>
  <si>
    <t>墓穴之脊</t>
  </si>
  <si>
    <t>氪金武装</t>
  </si>
  <si>
    <t>钢化利刃</t>
  </si>
  <si>
    <t>元素波纹剑</t>
  </si>
  <si>
    <t>旋风装置</t>
  </si>
  <si>
    <t>疯狂耳串</t>
  </si>
  <si>
    <t>橡树之心</t>
  </si>
  <si>
    <t>绚蓝风暴</t>
  </si>
  <si>
    <t>闪耀之焰</t>
  </si>
  <si>
    <t>传说之力【天照大神】</t>
  </si>
  <si>
    <t>火山吞噬者</t>
  </si>
  <si>
    <t>强袭勇者刃</t>
  </si>
  <si>
    <t>传说遗产</t>
  </si>
  <si>
    <t>巨龙之臂</t>
  </si>
  <si>
    <t>盾枪伊芙雷泽尔</t>
  </si>
  <si>
    <t>赤焰提斯卡托斯</t>
  </si>
  <si>
    <t>绚蓝阿布特罗斯</t>
  </si>
  <si>
    <t>武装奥布罗斯</t>
  </si>
  <si>
    <t>钝剑阿普克洛斯</t>
  </si>
  <si>
    <t>巨神王托托斯</t>
  </si>
  <si>
    <t>四色之焰亚卡托姆</t>
  </si>
  <si>
    <t>龙之纹巴萨欧拉</t>
  </si>
  <si>
    <t>月神之弓</t>
  </si>
  <si>
    <t>裂变短匕</t>
  </si>
  <si>
    <t>妙法千五</t>
  </si>
  <si>
    <t>断钢</t>
  </si>
  <si>
    <t>浑天【太初篇】</t>
  </si>
  <si>
    <t>虚空重锤</t>
  </si>
  <si>
    <t>巫毒匕首</t>
  </si>
  <si>
    <t>开膛手枪</t>
  </si>
  <si>
    <t>双铁戟</t>
  </si>
  <si>
    <t>彩篆</t>
  </si>
  <si>
    <t>能量强化装置</t>
  </si>
  <si>
    <t>火焰卷轴</t>
  </si>
  <si>
    <t>万法之光</t>
  </si>
  <si>
    <t>青龙偃月刀</t>
  </si>
  <si>
    <t>渴血左轮</t>
  </si>
  <si>
    <t>神之愤怒</t>
  </si>
  <si>
    <t>天使圣盾</t>
  </si>
  <si>
    <t>圣洁之书</t>
  </si>
  <si>
    <t>风之力</t>
  </si>
  <si>
    <t>404NotFound</t>
  </si>
  <si>
    <t>ResponseError</t>
  </si>
  <si>
    <t>神之恩赐长枪</t>
  </si>
  <si>
    <t>开拓者之枪</t>
  </si>
  <si>
    <t>裁决者之刺</t>
  </si>
  <si>
    <t>鲜血渴望战刀</t>
  </si>
  <si>
    <t>无限强袭之刀</t>
  </si>
  <si>
    <t>魂殇之刃</t>
  </si>
  <si>
    <t>苍鹰之眸长弓</t>
  </si>
  <si>
    <t>风行者之弓</t>
  </si>
  <si>
    <t>射日弓</t>
  </si>
  <si>
    <t>元素共鸣法杖</t>
  </si>
  <si>
    <t>奥术帝国之杖</t>
  </si>
  <si>
    <t>雷罚灭世杖</t>
  </si>
  <si>
    <t>混沌之源宝典</t>
  </si>
  <si>
    <t>末日天启之书</t>
  </si>
  <si>
    <t>博爱之心</t>
  </si>
  <si>
    <t>光明使者典籍</t>
  </si>
  <si>
    <t>圣职者的祷告书</t>
  </si>
  <si>
    <t>无尽杀机匕首</t>
  </si>
  <si>
    <t>地狱的第三把刀</t>
  </si>
  <si>
    <t>血棘</t>
  </si>
  <si>
    <t>亡魂之音</t>
  </si>
  <si>
    <t>狂热</t>
  </si>
  <si>
    <t>骷髅水晶法杖</t>
  </si>
  <si>
    <t>战地巨盾</t>
  </si>
  <si>
    <t>复仇之怒</t>
  </si>
  <si>
    <t>龙血壁垒</t>
  </si>
  <si>
    <t>华丽演出的剧本</t>
  </si>
  <si>
    <t>贤者法则</t>
  </si>
  <si>
    <t>旅游攻略全集</t>
  </si>
  <si>
    <t>斗师之枪</t>
  </si>
  <si>
    <t>斗师之刀</t>
  </si>
  <si>
    <t>斗师之弓</t>
  </si>
  <si>
    <t>斗师之盾</t>
  </si>
  <si>
    <t>斗师之匕</t>
  </si>
  <si>
    <t>斗师之杖</t>
  </si>
  <si>
    <t>斗师之书</t>
  </si>
  <si>
    <t>聪聪君的光束剑</t>
  </si>
  <si>
    <t>雄鹰之防暴头盔</t>
  </si>
  <si>
    <t>雄鹰之链甲外套</t>
  </si>
  <si>
    <t>雄鹰之真皮护腿</t>
  </si>
  <si>
    <t>支配之眼</t>
  </si>
  <si>
    <t>支配礼服</t>
  </si>
  <si>
    <t>支配钢胫</t>
  </si>
  <si>
    <t>小佣兵的传奇凝视</t>
  </si>
  <si>
    <t>小佣兵的传奇之拥</t>
  </si>
  <si>
    <t>小佣兵的传奇之踵</t>
  </si>
  <si>
    <t>无限穿透目镜</t>
  </si>
  <si>
    <t>皇帝新衣</t>
  </si>
  <si>
    <t>真空腿</t>
  </si>
  <si>
    <t>旅途的起点</t>
  </si>
  <si>
    <t>血腥杀戮风暴</t>
  </si>
  <si>
    <t>刚毅的精灵</t>
  </si>
  <si>
    <t>坚强的依靠</t>
  </si>
  <si>
    <t>法老之扣</t>
  </si>
  <si>
    <t>先祖之魂</t>
  </si>
  <si>
    <t>石沙之缚</t>
  </si>
  <si>
    <t>天穹伊欧斯</t>
  </si>
  <si>
    <t>风扬蓝波斯</t>
  </si>
  <si>
    <t>地覆戈涅斯</t>
  </si>
  <si>
    <t>灵魂碎裂</t>
  </si>
  <si>
    <t>天空之炎</t>
  </si>
  <si>
    <t>皇家金手镯</t>
  </si>
  <si>
    <t>迪勒瑞姆</t>
  </si>
  <si>
    <t>刚毅</t>
  </si>
  <si>
    <t>梦境之甲</t>
  </si>
  <si>
    <t>梦境之盔</t>
  </si>
  <si>
    <t>恶魔之赐</t>
  </si>
  <si>
    <t>地狱火炬</t>
  </si>
  <si>
    <t>维特的第三条腿</t>
  </si>
  <si>
    <t>Bug+7护身符</t>
  </si>
  <si>
    <t>吉永之脸</t>
  </si>
  <si>
    <t>威廉的自尊</t>
  </si>
  <si>
    <t>马格纳斯之皮</t>
  </si>
  <si>
    <t>惠斯坦武装之戒</t>
  </si>
  <si>
    <t>初级打铁匠</t>
  </si>
  <si>
    <t>打铁之王</t>
  </si>
  <si>
    <t>神之恩赐头盔</t>
  </si>
  <si>
    <t>神之恩赐胸甲</t>
  </si>
  <si>
    <t>神之恩赐护靴</t>
  </si>
  <si>
    <t>神之恩赐戒指</t>
  </si>
  <si>
    <t>神之恩赐项链</t>
  </si>
  <si>
    <t>神之恩赐手镯</t>
  </si>
  <si>
    <t>开拓者之盔</t>
  </si>
  <si>
    <t>开拓者之甲</t>
  </si>
  <si>
    <t>开拓者之靴</t>
  </si>
  <si>
    <t>开拓者之戒</t>
  </si>
  <si>
    <t>开拓者之链</t>
  </si>
  <si>
    <t>开拓者之镯</t>
  </si>
  <si>
    <t>天启者之冠</t>
  </si>
  <si>
    <t>统治者之甲</t>
  </si>
  <si>
    <t>引导者之靴</t>
  </si>
  <si>
    <t>处刑者之纹</t>
  </si>
  <si>
    <t>断罪者之徽</t>
  </si>
  <si>
    <t>审判者之环</t>
  </si>
  <si>
    <t>鲜血渴望战盔</t>
  </si>
  <si>
    <t>鲜血渴望战甲</t>
  </si>
  <si>
    <t>鲜血渴望战靴</t>
  </si>
  <si>
    <t>鲜血渴望指环</t>
  </si>
  <si>
    <t>鲜血渴望项链</t>
  </si>
  <si>
    <t>鲜血渴望手镯</t>
  </si>
  <si>
    <t>无限强袭之盔</t>
  </si>
  <si>
    <t>无限强袭之甲</t>
  </si>
  <si>
    <t>无限强袭之靴</t>
  </si>
  <si>
    <t>无限强袭之戒</t>
  </si>
  <si>
    <t>无限强袭之链</t>
  </si>
  <si>
    <t>无限强袭之镯</t>
  </si>
  <si>
    <t>暗魅之影</t>
  </si>
  <si>
    <t>亡灵之帐</t>
  </si>
  <si>
    <t>黄泉之风</t>
  </si>
  <si>
    <t>地狱之眼</t>
  </si>
  <si>
    <t>冥狱之瞳</t>
  </si>
  <si>
    <t>血舞之牙</t>
  </si>
  <si>
    <t>苍鹰之眸头盔</t>
  </si>
  <si>
    <t>苍鹰之眸胸甲</t>
  </si>
  <si>
    <t>苍鹰之眸护靴</t>
  </si>
  <si>
    <t>苍鹰之眸戒指</t>
  </si>
  <si>
    <t>苍鹰之眸项链</t>
  </si>
  <si>
    <t>苍鹰之眸手镯</t>
  </si>
  <si>
    <t>风行者之盔</t>
  </si>
  <si>
    <t>风行者之甲</t>
  </si>
  <si>
    <t>风行者之靴</t>
  </si>
  <si>
    <t>风行者之戒</t>
  </si>
  <si>
    <t>风行者之链</t>
  </si>
  <si>
    <t>风行者之镯</t>
  </si>
  <si>
    <t>混沌钟</t>
  </si>
  <si>
    <t>魔神铠</t>
  </si>
  <si>
    <t>逐日靴</t>
  </si>
  <si>
    <t>补天石</t>
  </si>
  <si>
    <t>玲珑塔</t>
  </si>
  <si>
    <t>昆仑镜</t>
  </si>
  <si>
    <t>元素共鸣毡帽</t>
  </si>
  <si>
    <t>元素共鸣长袍</t>
  </si>
  <si>
    <t>元素共鸣布靴</t>
  </si>
  <si>
    <t>元素共鸣戒指</t>
  </si>
  <si>
    <t>元素共鸣项链</t>
  </si>
  <si>
    <t>元素共鸣手镯</t>
  </si>
  <si>
    <t>奥术帝国之帽</t>
  </si>
  <si>
    <t>奥术帝国之袍</t>
  </si>
  <si>
    <t>奥术帝国之靴</t>
  </si>
  <si>
    <t>奥术帝国之戒</t>
  </si>
  <si>
    <t>奥术帝国之链</t>
  </si>
  <si>
    <t>奥术帝国之镯</t>
  </si>
  <si>
    <t>蚀日无辉帽</t>
  </si>
  <si>
    <t>残月惊天袍</t>
  </si>
  <si>
    <t>闲云碎步靴</t>
  </si>
  <si>
    <t>冰霜雪影戒</t>
  </si>
  <si>
    <t>火殒灭炎链</t>
  </si>
  <si>
    <t>暗影绝殇镯</t>
  </si>
  <si>
    <t>混沌之源头盔</t>
  </si>
  <si>
    <t>混沌之源轻甲</t>
  </si>
  <si>
    <t>混沌之源足具</t>
  </si>
  <si>
    <t>混沌之源戒指</t>
  </si>
  <si>
    <t>混沌之源项链</t>
  </si>
  <si>
    <t>混沌之源手镯</t>
  </si>
  <si>
    <t>末日天启之盔</t>
  </si>
  <si>
    <t>末日天启之甲</t>
  </si>
  <si>
    <t>末日天启之靴</t>
  </si>
  <si>
    <t>末日天启之戒</t>
  </si>
  <si>
    <t>末日天启之链</t>
  </si>
  <si>
    <t>末日天启之镯</t>
  </si>
  <si>
    <t>傲慢之眼</t>
  </si>
  <si>
    <t>贪婪之手</t>
  </si>
  <si>
    <t>怠惰之足</t>
  </si>
  <si>
    <t>愤怒之瞳</t>
  </si>
  <si>
    <t>暴食之口</t>
  </si>
  <si>
    <t>嫉妒之舌</t>
  </si>
  <si>
    <t>光明顶</t>
  </si>
  <si>
    <t>光明布袍</t>
  </si>
  <si>
    <t>光明长筒靴</t>
  </si>
  <si>
    <t>光明印戒</t>
  </si>
  <si>
    <t>光明项链</t>
  </si>
  <si>
    <t>光明手链</t>
  </si>
  <si>
    <t>神圣之冠</t>
  </si>
  <si>
    <t>神圣法衣</t>
  </si>
  <si>
    <t>神圣绑腿</t>
  </si>
  <si>
    <t>神圣能量指环</t>
  </si>
  <si>
    <t>神圣金项链</t>
  </si>
  <si>
    <t>神圣护手</t>
  </si>
  <si>
    <t>天罚</t>
  </si>
  <si>
    <t>审判之姿</t>
  </si>
  <si>
    <t>堕落的步伐</t>
  </si>
  <si>
    <t>疯狂的低语</t>
  </si>
  <si>
    <t>祭司之证</t>
  </si>
  <si>
    <t>理智束腕</t>
  </si>
  <si>
    <t>无尽杀机面罩</t>
  </si>
  <si>
    <t>无尽杀机胸甲</t>
  </si>
  <si>
    <t>无尽杀机护腿</t>
  </si>
  <si>
    <t>无尽杀机戒指</t>
  </si>
  <si>
    <t>无尽杀机项链</t>
  </si>
  <si>
    <t>无尽杀机手镯</t>
  </si>
  <si>
    <t>地狱之缚</t>
  </si>
  <si>
    <t>地狱之速</t>
  </si>
  <si>
    <t>地狱炎金指环</t>
  </si>
  <si>
    <t>地狱大门钥匙</t>
  </si>
  <si>
    <t>地狱锁链</t>
  </si>
  <si>
    <t>虚无面具</t>
  </si>
  <si>
    <t>鲜血伪装</t>
  </si>
  <si>
    <t>静谧</t>
  </si>
  <si>
    <t>轮回灌注</t>
  </si>
  <si>
    <t>限刻的十字架</t>
  </si>
  <si>
    <t>咒腕</t>
  </si>
  <si>
    <t>亡魂的惊悚</t>
  </si>
  <si>
    <t>亡魂的欺凌</t>
  </si>
  <si>
    <t>亡魂的纠缠</t>
  </si>
  <si>
    <t>亡魂的回响</t>
  </si>
  <si>
    <t>亡魂的束缚</t>
  </si>
  <si>
    <t>亡魂的诡诈</t>
  </si>
  <si>
    <t>教徒巫帽</t>
  </si>
  <si>
    <t>教徒长袍</t>
  </si>
  <si>
    <t>教徒皮靴</t>
  </si>
  <si>
    <t>教徒印记</t>
  </si>
  <si>
    <t>教徒十字</t>
  </si>
  <si>
    <t>教徒咒令</t>
  </si>
  <si>
    <t>观死</t>
  </si>
  <si>
    <t>裹尸布</t>
  </si>
  <si>
    <t>灵魂漂移</t>
  </si>
  <si>
    <t>通灵</t>
  </si>
  <si>
    <t>镇魂</t>
  </si>
  <si>
    <t>转生</t>
  </si>
  <si>
    <t>战地重盔</t>
  </si>
  <si>
    <t>战地铁甲</t>
  </si>
  <si>
    <t>战地钢胫</t>
  </si>
  <si>
    <t>战地铁戒</t>
  </si>
  <si>
    <t>战地铭牌</t>
  </si>
  <si>
    <t>战地护腕</t>
  </si>
  <si>
    <t>复仇之眼</t>
  </si>
  <si>
    <t>复仇之欲</t>
  </si>
  <si>
    <t>复仇之路</t>
  </si>
  <si>
    <t>复仇的渴望</t>
  </si>
  <si>
    <t>复仇的决心</t>
  </si>
  <si>
    <t>复仇的诅咒</t>
  </si>
  <si>
    <t>怒冠</t>
  </si>
  <si>
    <t>鲜血拥抱</t>
  </si>
  <si>
    <t>血足</t>
  </si>
  <si>
    <t>鲜血继承者</t>
  </si>
  <si>
    <t>家族的信条</t>
  </si>
  <si>
    <t>远古诅咒</t>
  </si>
  <si>
    <t>华冠</t>
  </si>
  <si>
    <t>华服</t>
  </si>
  <si>
    <t>华胫</t>
  </si>
  <si>
    <t>华戒</t>
  </si>
  <si>
    <t>华链</t>
  </si>
  <si>
    <t>华腕</t>
  </si>
  <si>
    <t>贤者之帽</t>
  </si>
  <si>
    <t>贤者护胸</t>
  </si>
  <si>
    <t>贤者皮裤</t>
  </si>
  <si>
    <t>贤者之扣</t>
  </si>
  <si>
    <t>贤者项链</t>
  </si>
  <si>
    <t>贤者手镯</t>
  </si>
  <si>
    <t>起点</t>
  </si>
  <si>
    <t>旅途</t>
  </si>
  <si>
    <t>终点</t>
  </si>
  <si>
    <t>时光慢游</t>
  </si>
  <si>
    <t>旅者之誓</t>
  </si>
  <si>
    <t>零次集束</t>
  </si>
  <si>
    <t>斗师的紫杉头盔</t>
  </si>
  <si>
    <t>斗师的紫杉胸甲</t>
  </si>
  <si>
    <t>斗师的紫杉护腿</t>
  </si>
  <si>
    <t>斗师的紫杉戒指</t>
  </si>
  <si>
    <t>斗师的紫杉项链</t>
  </si>
  <si>
    <t>斗师的紫杉手镯</t>
  </si>
  <si>
    <t>斗师的精铁战盔</t>
  </si>
  <si>
    <t>斗师的精铁战甲</t>
  </si>
  <si>
    <t>斗师的精铁战靴</t>
  </si>
  <si>
    <t>斗师的精铁戒指</t>
  </si>
  <si>
    <t>斗师的精铁项链</t>
  </si>
  <si>
    <t>斗师的精铁手镯</t>
  </si>
  <si>
    <t>斗师的熊皮护额</t>
  </si>
  <si>
    <t>斗师的熊皮革甲</t>
  </si>
  <si>
    <t>斗师的熊皮绑腿</t>
  </si>
  <si>
    <t>斗师的熊皮戒指</t>
  </si>
  <si>
    <t>斗师的熊皮项链</t>
  </si>
  <si>
    <t>斗师的熊皮手镯</t>
  </si>
  <si>
    <t>斗师的矽钢面甲</t>
  </si>
  <si>
    <t>斗师的矽钢板甲</t>
  </si>
  <si>
    <t>斗师的矽钢腿甲</t>
  </si>
  <si>
    <t>斗师的矽钢戒指</t>
  </si>
  <si>
    <t>斗师的矽钢项链</t>
  </si>
  <si>
    <t>斗师的矽钢手镯</t>
  </si>
  <si>
    <t>斗师的虎皮护额</t>
  </si>
  <si>
    <t>斗师的虎皮胸甲</t>
  </si>
  <si>
    <t>斗师的虎皮绑腿</t>
  </si>
  <si>
    <t>斗师的虎皮戒指</t>
  </si>
  <si>
    <t>斗师的虎皮项链</t>
  </si>
  <si>
    <t>斗师的虎皮手镯</t>
  </si>
  <si>
    <t>斗师的绸布兜帽</t>
  </si>
  <si>
    <t>斗师的绸布法袍</t>
  </si>
  <si>
    <t>斗师的绸布长靴</t>
  </si>
  <si>
    <t>斗师的绸布戒指</t>
  </si>
  <si>
    <t>斗师的绸布项链</t>
  </si>
  <si>
    <t>斗师的绸布手镯</t>
  </si>
  <si>
    <t>斗师的蚕丝罩帽</t>
  </si>
  <si>
    <t>斗师的蚕丝上衣</t>
  </si>
  <si>
    <t>斗师的蚕丝布鞋</t>
  </si>
  <si>
    <t>斗师的蚕丝戒指</t>
  </si>
  <si>
    <t>斗师的蚕丝项链</t>
  </si>
  <si>
    <t>斗师的蚕丝手镯</t>
  </si>
  <si>
    <t>聪聪君的方方盔</t>
  </si>
  <si>
    <t>聪聪君的帅帅甲</t>
  </si>
  <si>
    <t>聪聪君的滑滑鞋</t>
  </si>
  <si>
    <t>聪聪君的回忆</t>
  </si>
  <si>
    <t>聪聪君的花环</t>
  </si>
  <si>
    <t>聪聪君的疯狂</t>
  </si>
  <si>
    <t>聪聪君的战士之饰</t>
  </si>
  <si>
    <t>聪聪君的玉佩</t>
  </si>
  <si>
    <t>米迦勒的慈悲</t>
  </si>
  <si>
    <t>拉斐尔的治愈</t>
  </si>
  <si>
    <t>加百列的守护</t>
  </si>
  <si>
    <t>雷米尔的指引</t>
  </si>
  <si>
    <t>米达伦的教导</t>
  </si>
  <si>
    <t>乌利尔的审判</t>
  </si>
  <si>
    <t>骷髅之冠</t>
  </si>
  <si>
    <t>骨龙之躯</t>
  </si>
  <si>
    <t>憎恶之足</t>
  </si>
  <si>
    <t>堕天使之翼</t>
  </si>
  <si>
    <t>九头龙王头盔</t>
  </si>
  <si>
    <t>大力龙王铠甲</t>
  </si>
  <si>
    <t>青莲龙王护靴</t>
  </si>
  <si>
    <t>欢喜龙王戒指</t>
  </si>
  <si>
    <t>海龙王项链</t>
  </si>
  <si>
    <t>毒龙王手镯</t>
  </si>
  <si>
    <t>暗杀者</t>
  </si>
  <si>
    <t>守护者</t>
  </si>
  <si>
    <t>苦修者</t>
  </si>
  <si>
    <t>狩猎者</t>
  </si>
  <si>
    <t>祈求者</t>
  </si>
  <si>
    <t>传承者</t>
  </si>
  <si>
    <t>交响曲</t>
  </si>
  <si>
    <t>协奏曲</t>
  </si>
  <si>
    <t>圆舞曲</t>
  </si>
  <si>
    <t>狂想曲</t>
  </si>
  <si>
    <t>幻想曲</t>
  </si>
  <si>
    <t>随想曲</t>
  </si>
  <si>
    <t>天帝战盔</t>
  </si>
  <si>
    <t>黄帝战甲</t>
  </si>
  <si>
    <t>炎帝战靴</t>
  </si>
  <si>
    <t>青帝戒指</t>
  </si>
  <si>
    <t>黑帝项链</t>
  </si>
  <si>
    <t>白帝手镯</t>
  </si>
  <si>
    <t>愚者的流浪</t>
  </si>
  <si>
    <t>教皇的援助</t>
  </si>
  <si>
    <t>恋人的结合</t>
  </si>
  <si>
    <t>隐者的探索</t>
  </si>
  <si>
    <t>魔术师的创造</t>
  </si>
  <si>
    <t>女祭司的智慧</t>
  </si>
  <si>
    <t>狼之力</t>
  </si>
  <si>
    <t>虎之力</t>
  </si>
  <si>
    <t>兔之力</t>
  </si>
  <si>
    <t>猫之力</t>
  </si>
  <si>
    <t>狐之力</t>
  </si>
  <si>
    <t>熊之力</t>
  </si>
  <si>
    <t>斯托拉斯魂</t>
  </si>
  <si>
    <t>斯托拉斯壁</t>
  </si>
  <si>
    <t>斯托拉斯炎</t>
  </si>
  <si>
    <t>波澜</t>
  </si>
  <si>
    <t>水纹</t>
  </si>
  <si>
    <t>怒涛</t>
  </si>
  <si>
    <t>亚伯1星</t>
  </si>
  <si>
    <t>该隐1星</t>
  </si>
  <si>
    <t>美杜莎1星</t>
  </si>
  <si>
    <t>达摩1星</t>
  </si>
  <si>
    <t>塔纳托斯1星</t>
  </si>
  <si>
    <t>阿尔忒弥斯1星</t>
  </si>
  <si>
    <t>开膛手杰克1星</t>
  </si>
  <si>
    <t>叶卡捷琳娜二世1星</t>
  </si>
  <si>
    <t>盖瑞1星</t>
  </si>
  <si>
    <t>孙悟空1星</t>
  </si>
  <si>
    <t>范海辛1星</t>
  </si>
  <si>
    <t>凯撒大帝1星</t>
  </si>
  <si>
    <t>圣女贞德1星</t>
  </si>
  <si>
    <t>湿婆1星</t>
  </si>
  <si>
    <t>织田信长1星</t>
  </si>
  <si>
    <t>许褚1星</t>
  </si>
  <si>
    <t>典韦1星</t>
  </si>
  <si>
    <t>爱迪生1星</t>
  </si>
  <si>
    <t>聂隐娘1星</t>
  </si>
  <si>
    <t>阿瑞斯1星</t>
  </si>
  <si>
    <t>卡戎1星</t>
  </si>
  <si>
    <t>马可·波罗1星</t>
  </si>
  <si>
    <t>狄俄尼索斯1星</t>
  </si>
  <si>
    <t>土方岁三1星</t>
  </si>
  <si>
    <t>赫菲斯托斯1星</t>
  </si>
  <si>
    <t>阿芙洛狄忒1星</t>
  </si>
  <si>
    <t>麦哲伦1星</t>
  </si>
  <si>
    <t>乌尔班二世1星</t>
  </si>
  <si>
    <t>风魔小太郎1星</t>
  </si>
  <si>
    <t>服部半藏1星</t>
  </si>
  <si>
    <t>猿飞佐助1星</t>
  </si>
  <si>
    <t>丰臣秀吉1星</t>
  </si>
  <si>
    <t>秦琼1星</t>
  </si>
  <si>
    <t>李逵1星</t>
  </si>
  <si>
    <t>阿喀琉斯1星</t>
  </si>
  <si>
    <t>宙斯1星</t>
  </si>
  <si>
    <t>天照大神1星</t>
  </si>
  <si>
    <t>小丑皇1星</t>
  </si>
  <si>
    <t>普罗米修斯1星</t>
  </si>
  <si>
    <t>兰斯洛特1星</t>
  </si>
  <si>
    <t>亚瑟1星</t>
  </si>
  <si>
    <t>霍去病1星</t>
  </si>
  <si>
    <t>姜子牙1星</t>
  </si>
  <si>
    <t>释尊1星</t>
  </si>
  <si>
    <t>爱德华蒂奇1星</t>
  </si>
  <si>
    <t>雅典娜1星</t>
  </si>
  <si>
    <t>奥丁1星</t>
  </si>
  <si>
    <t>洛基1星</t>
  </si>
  <si>
    <t>索尔1星</t>
  </si>
  <si>
    <t>所罗门1星</t>
  </si>
  <si>
    <t>路西法1星</t>
  </si>
  <si>
    <t>加百列1星</t>
  </si>
  <si>
    <t>米迦勒1星</t>
  </si>
  <si>
    <t>关羽1星</t>
  </si>
  <si>
    <t>吕布1星</t>
  </si>
  <si>
    <t>专诸1星</t>
  </si>
  <si>
    <t>佐罗1星</t>
  </si>
  <si>
    <t>金刚夜叉明王1星</t>
  </si>
  <si>
    <t>张飞1星</t>
  </si>
  <si>
    <t>波塞冬1星</t>
  </si>
  <si>
    <t>暗夜骑士1星</t>
  </si>
  <si>
    <t>弗兰肯斯坦1星</t>
  </si>
  <si>
    <t>阿努比斯1星</t>
  </si>
  <si>
    <t>哈迪斯1星</t>
  </si>
  <si>
    <t>最强男军人1星</t>
  </si>
  <si>
    <t>最强女军人1星</t>
  </si>
  <si>
    <t>男警察1星</t>
  </si>
  <si>
    <t>女警察1星</t>
  </si>
  <si>
    <t>男战士1星</t>
  </si>
  <si>
    <t>女战士1星</t>
  </si>
  <si>
    <t>皇后1星</t>
  </si>
  <si>
    <t>国王1星</t>
  </si>
  <si>
    <t>黄精灵1星</t>
  </si>
  <si>
    <t>红精灵1星</t>
  </si>
  <si>
    <t>吱吱1星</t>
  </si>
  <si>
    <t>咩咩1星</t>
  </si>
  <si>
    <t>火法1星</t>
  </si>
  <si>
    <t>奥法1星</t>
  </si>
  <si>
    <t>魔化老太婆1星</t>
  </si>
  <si>
    <t>阿拉伯1星</t>
  </si>
  <si>
    <t>老太婆1星</t>
  </si>
  <si>
    <t>绿发游侠1星</t>
  </si>
  <si>
    <t>黄发游侠1星</t>
  </si>
  <si>
    <t>黑皮少女1星</t>
  </si>
  <si>
    <t>黑皮少年1星</t>
  </si>
  <si>
    <t>汪汪1星</t>
  </si>
  <si>
    <t>喵喵1星</t>
  </si>
  <si>
    <t>武道家1星</t>
  </si>
  <si>
    <t>女武道家1星</t>
  </si>
  <si>
    <t>头盔人1星</t>
  </si>
  <si>
    <t>钢盔人1星</t>
  </si>
  <si>
    <t>哥布林1星</t>
  </si>
  <si>
    <t>牛头怪1星</t>
  </si>
  <si>
    <t>方块勇士1星</t>
  </si>
  <si>
    <t>大福勇士1星</t>
  </si>
  <si>
    <t>塑料构造体1星</t>
  </si>
  <si>
    <t>实习程序员1星</t>
  </si>
  <si>
    <t>矮人矿工1星</t>
  </si>
  <si>
    <t>地精海贼1星</t>
  </si>
  <si>
    <t>隐匿者1星</t>
  </si>
  <si>
    <t>亚马逊杀手1星</t>
  </si>
  <si>
    <t>黑衣人1星</t>
  </si>
  <si>
    <t>外星人1星</t>
  </si>
  <si>
    <t>小混混1星</t>
  </si>
  <si>
    <t>恐龙妹1星</t>
  </si>
  <si>
    <t>亚伯2星</t>
  </si>
  <si>
    <t>该隐2星</t>
  </si>
  <si>
    <t>美杜莎2星</t>
  </si>
  <si>
    <t>达摩2星</t>
  </si>
  <si>
    <t>塔纳托斯2星</t>
  </si>
  <si>
    <t>阿尔忒弥斯2星</t>
  </si>
  <si>
    <t>开膛手杰克2星</t>
  </si>
  <si>
    <t>叶卡捷琳娜二世2星</t>
  </si>
  <si>
    <t>盖瑞2星</t>
  </si>
  <si>
    <t>孙悟空2星</t>
  </si>
  <si>
    <t>范海辛2星</t>
  </si>
  <si>
    <t>凯撒大帝2星</t>
  </si>
  <si>
    <t>圣女贞德2星</t>
  </si>
  <si>
    <t>湿婆2星</t>
  </si>
  <si>
    <t>织田信长2星</t>
  </si>
  <si>
    <t>许褚2星</t>
  </si>
  <si>
    <t>典韦2星</t>
  </si>
  <si>
    <t>爱迪生2星</t>
  </si>
  <si>
    <t>聂隐娘2星</t>
  </si>
  <si>
    <t>阿瑞斯2星</t>
  </si>
  <si>
    <t>卡戎2星</t>
  </si>
  <si>
    <t>马可·波罗2星</t>
  </si>
  <si>
    <t>狄俄尼索斯2星</t>
  </si>
  <si>
    <t>土方岁三2星</t>
  </si>
  <si>
    <t>赫菲斯托斯2星</t>
  </si>
  <si>
    <t>阿芙洛狄忒2星</t>
  </si>
  <si>
    <t>麦哲伦2星</t>
  </si>
  <si>
    <t>乌尔班二世2星</t>
  </si>
  <si>
    <t>风魔小太郎2星</t>
  </si>
  <si>
    <t>服部半藏2星</t>
  </si>
  <si>
    <t>猿飞佐助2星</t>
  </si>
  <si>
    <t>丰臣秀吉2星</t>
  </si>
  <si>
    <t>秦琼2星</t>
  </si>
  <si>
    <t>李逵2星</t>
  </si>
  <si>
    <t>阿喀琉斯2星</t>
  </si>
  <si>
    <t>宙斯2星</t>
  </si>
  <si>
    <t>天照大神2星</t>
  </si>
  <si>
    <t>小丑皇2星</t>
  </si>
  <si>
    <t>普罗米修斯2星</t>
  </si>
  <si>
    <t>兰斯洛特2星</t>
  </si>
  <si>
    <t>亚瑟2星</t>
  </si>
  <si>
    <t>霍去病2星</t>
  </si>
  <si>
    <t>姜子牙2星</t>
  </si>
  <si>
    <t>释尊2星</t>
  </si>
  <si>
    <t>爱德华蒂奇2星</t>
  </si>
  <si>
    <t>雅典娜2星</t>
  </si>
  <si>
    <t>奥丁2星</t>
  </si>
  <si>
    <t>洛基2星</t>
  </si>
  <si>
    <t>索尔2星</t>
  </si>
  <si>
    <t>所罗门2星</t>
  </si>
  <si>
    <t>路西法2星</t>
  </si>
  <si>
    <t>加百列2星</t>
  </si>
  <si>
    <t>米迦勒2星</t>
  </si>
  <si>
    <t>关羽2星</t>
  </si>
  <si>
    <t>吕布2星</t>
  </si>
  <si>
    <t>专诸2星</t>
  </si>
  <si>
    <t>佐罗2星</t>
  </si>
  <si>
    <t>金刚夜叉明王2星</t>
  </si>
  <si>
    <t>张飞2星</t>
  </si>
  <si>
    <t>波塞冬2星</t>
  </si>
  <si>
    <t>暗夜骑士2星</t>
  </si>
  <si>
    <t>弗兰肯斯坦2星</t>
  </si>
  <si>
    <t>阿努比斯2星</t>
  </si>
  <si>
    <t>哈迪斯2星</t>
  </si>
  <si>
    <t>最强男军人2星</t>
  </si>
  <si>
    <t>最强女军人2星</t>
  </si>
  <si>
    <t>男警察2星</t>
  </si>
  <si>
    <t>女警察2星</t>
  </si>
  <si>
    <t>男战士2星</t>
  </si>
  <si>
    <t>女战士2星</t>
  </si>
  <si>
    <t>皇后2星</t>
  </si>
  <si>
    <t>国王2星</t>
  </si>
  <si>
    <t>黄精灵2星</t>
  </si>
  <si>
    <t>红精灵2星</t>
  </si>
  <si>
    <t>吱吱2星</t>
  </si>
  <si>
    <t>咩咩2星</t>
  </si>
  <si>
    <t>火法2星</t>
  </si>
  <si>
    <t>奥法2星</t>
  </si>
  <si>
    <t>魔化老太婆2星</t>
  </si>
  <si>
    <t>阿拉伯2星</t>
  </si>
  <si>
    <t>老太婆2星</t>
  </si>
  <si>
    <t>绿发游侠2星</t>
  </si>
  <si>
    <t>黄发游侠2星</t>
  </si>
  <si>
    <t>黑皮少女2星</t>
  </si>
  <si>
    <t>黑皮少年2星</t>
  </si>
  <si>
    <t>汪汪2星</t>
  </si>
  <si>
    <t>喵喵2星</t>
  </si>
  <si>
    <t>武道家2星</t>
  </si>
  <si>
    <t>女武道家2星</t>
  </si>
  <si>
    <t>头盔人2星</t>
  </si>
  <si>
    <t>钢盔人2星</t>
  </si>
  <si>
    <t>哥布林2星</t>
  </si>
  <si>
    <t>牛头怪2星</t>
  </si>
  <si>
    <t>方块勇士2星</t>
  </si>
  <si>
    <t>大福勇士2星</t>
  </si>
  <si>
    <t>塑料构造体2星</t>
  </si>
  <si>
    <t>实习程序员2星</t>
  </si>
  <si>
    <t>矮人矿工2星</t>
  </si>
  <si>
    <t>地精海贼2星</t>
  </si>
  <si>
    <t>隐匿者2星</t>
  </si>
  <si>
    <t>亚马逊杀手2星</t>
  </si>
  <si>
    <t>黑衣人2星</t>
  </si>
  <si>
    <t>外星人2星</t>
  </si>
  <si>
    <t>小混混2星</t>
  </si>
  <si>
    <t>恐龙妹2星</t>
  </si>
  <si>
    <t>亚伯3星</t>
  </si>
  <si>
    <t>该隐3星</t>
  </si>
  <si>
    <t>美杜莎3星</t>
  </si>
  <si>
    <t>达摩3星</t>
  </si>
  <si>
    <t>塔纳托斯3星</t>
  </si>
  <si>
    <t>阿尔忒弥斯3星</t>
  </si>
  <si>
    <t>开膛手杰克3星</t>
  </si>
  <si>
    <t>叶卡捷琳娜二世3星</t>
  </si>
  <si>
    <t>盖瑞3星</t>
  </si>
  <si>
    <t>孙悟空3星</t>
  </si>
  <si>
    <t>范海辛3星</t>
  </si>
  <si>
    <t>凯撒大帝3星</t>
  </si>
  <si>
    <t>圣女贞德3星</t>
  </si>
  <si>
    <t>湿婆3星</t>
  </si>
  <si>
    <t>织田信长3星</t>
  </si>
  <si>
    <t>许褚3星</t>
  </si>
  <si>
    <t>典韦3星</t>
  </si>
  <si>
    <t>爱迪生3星</t>
  </si>
  <si>
    <t>聂隐娘3星</t>
  </si>
  <si>
    <t>阿瑞斯3星</t>
  </si>
  <si>
    <t>卡戎3星</t>
  </si>
  <si>
    <t>马可·波罗3星</t>
  </si>
  <si>
    <t>狄俄尼索斯3星</t>
  </si>
  <si>
    <t>土方岁三3星</t>
  </si>
  <si>
    <t>赫菲斯托斯3星</t>
  </si>
  <si>
    <t>阿芙洛狄忒3星</t>
  </si>
  <si>
    <t>麦哲伦3星</t>
  </si>
  <si>
    <t>乌尔班二世3星</t>
  </si>
  <si>
    <t>风魔小太郎3星</t>
  </si>
  <si>
    <t>服部半藏3星</t>
  </si>
  <si>
    <t>猿飞佐助3星</t>
  </si>
  <si>
    <t>丰臣秀吉3星</t>
  </si>
  <si>
    <t>秦琼3星</t>
  </si>
  <si>
    <t>李逵3星</t>
  </si>
  <si>
    <t>阿喀琉斯3星</t>
  </si>
  <si>
    <t>宙斯3星</t>
  </si>
  <si>
    <t>天照大神3星</t>
  </si>
  <si>
    <t>小丑皇3星</t>
  </si>
  <si>
    <t>普罗米修斯3星</t>
  </si>
  <si>
    <t>兰斯洛特3星</t>
  </si>
  <si>
    <t>亚瑟3星</t>
  </si>
  <si>
    <t>霍去病3星</t>
  </si>
  <si>
    <t>姜子牙3星</t>
  </si>
  <si>
    <t>释尊3星</t>
  </si>
  <si>
    <t>爱德华蒂奇3星</t>
  </si>
  <si>
    <t>雅典娜3星</t>
  </si>
  <si>
    <t>奥丁3星</t>
  </si>
  <si>
    <t>洛基3星</t>
  </si>
  <si>
    <t>索尔3星</t>
  </si>
  <si>
    <t>所罗门3星</t>
  </si>
  <si>
    <t>路西法3星</t>
  </si>
  <si>
    <t>加百列3星</t>
  </si>
  <si>
    <t>米迦勒3星</t>
  </si>
  <si>
    <t>关羽3星</t>
  </si>
  <si>
    <t>吕布3星</t>
  </si>
  <si>
    <t>专诸3星</t>
  </si>
  <si>
    <t>佐罗3星</t>
  </si>
  <si>
    <t>金刚夜叉明王3星</t>
  </si>
  <si>
    <t>张飞3星</t>
  </si>
  <si>
    <t>波塞冬3星</t>
  </si>
  <si>
    <t>暗夜骑士3星</t>
  </si>
  <si>
    <t>弗兰肯斯坦3星</t>
  </si>
  <si>
    <t>阿努比斯3星</t>
  </si>
  <si>
    <t>哈迪斯3星</t>
  </si>
  <si>
    <t>最强男军人3星</t>
  </si>
  <si>
    <t>最强女军人3星</t>
  </si>
  <si>
    <t>男警察3星</t>
  </si>
  <si>
    <t>女警察3星</t>
  </si>
  <si>
    <t>男战士3星</t>
  </si>
  <si>
    <t>女战士3星</t>
  </si>
  <si>
    <t>皇后3星</t>
  </si>
  <si>
    <t>国王3星</t>
  </si>
  <si>
    <t>黄精灵3星</t>
  </si>
  <si>
    <t>红精灵3星</t>
  </si>
  <si>
    <t>吱吱3星</t>
  </si>
  <si>
    <t>咩咩3星</t>
  </si>
  <si>
    <t>火法3星</t>
  </si>
  <si>
    <t>奥法3星</t>
  </si>
  <si>
    <t>魔化老太婆3星</t>
  </si>
  <si>
    <t>阿拉伯3星</t>
  </si>
  <si>
    <t>老太婆3星</t>
  </si>
  <si>
    <t>绿发游侠3星</t>
  </si>
  <si>
    <t>黄发游侠3星</t>
  </si>
  <si>
    <t>黑皮少女3星</t>
  </si>
  <si>
    <t>黑皮少年3星</t>
  </si>
  <si>
    <t>汪汪3星</t>
  </si>
  <si>
    <t>喵喵3星</t>
  </si>
  <si>
    <t>武道家3星</t>
  </si>
  <si>
    <t>女武道家3星</t>
  </si>
  <si>
    <t>头盔人3星</t>
  </si>
  <si>
    <t>钢盔人3星</t>
  </si>
  <si>
    <t>哥布林3星</t>
  </si>
  <si>
    <t>牛头怪3星</t>
  </si>
  <si>
    <t>方块勇士3星</t>
  </si>
  <si>
    <t>大福勇士3星</t>
  </si>
  <si>
    <t>塑料构造体3星</t>
  </si>
  <si>
    <t>实习程序员3星</t>
  </si>
  <si>
    <t>矮人矿工3星</t>
  </si>
  <si>
    <t>地精海贼3星</t>
  </si>
  <si>
    <t>隐匿者3星</t>
  </si>
  <si>
    <t>亚马逊杀手3星</t>
  </si>
  <si>
    <t>黑衣人3星</t>
  </si>
  <si>
    <t>外星人3星</t>
  </si>
  <si>
    <t>小混混3星</t>
  </si>
  <si>
    <t>恐龙妹3星</t>
  </si>
  <si>
    <t>亚伯4星</t>
  </si>
  <si>
    <t>该隐4星</t>
  </si>
  <si>
    <t>美杜莎4星</t>
  </si>
  <si>
    <t>达摩4星</t>
  </si>
  <si>
    <t>塔纳托斯4星</t>
  </si>
  <si>
    <t>阿尔忒弥斯4星</t>
  </si>
  <si>
    <t>开膛手杰克4星</t>
  </si>
  <si>
    <t>叶卡捷琳娜二世4星</t>
  </si>
  <si>
    <t>盖瑞4星</t>
  </si>
  <si>
    <t>孙悟空4星</t>
  </si>
  <si>
    <t>范海辛4星</t>
  </si>
  <si>
    <t>凯撒大帝4星</t>
  </si>
  <si>
    <t>圣女贞德4星</t>
  </si>
  <si>
    <t>湿婆4星</t>
  </si>
  <si>
    <t>织田信长4星</t>
  </si>
  <si>
    <t>许褚4星</t>
  </si>
  <si>
    <t>典韦4星</t>
  </si>
  <si>
    <t>爱迪生4星</t>
  </si>
  <si>
    <t>聂隐娘4星</t>
  </si>
  <si>
    <t>阿瑞斯4星</t>
  </si>
  <si>
    <t>卡戎4星</t>
  </si>
  <si>
    <t>马可·波罗4星</t>
  </si>
  <si>
    <t>狄俄尼索斯4星</t>
  </si>
  <si>
    <t>土方岁三4星</t>
  </si>
  <si>
    <t>赫菲斯托斯4星</t>
  </si>
  <si>
    <t>阿芙洛狄忒4星</t>
  </si>
  <si>
    <t>麦哲伦4星</t>
  </si>
  <si>
    <t>乌尔班二世4星</t>
  </si>
  <si>
    <t>风魔小太郎4星</t>
  </si>
  <si>
    <t>服部半藏4星</t>
  </si>
  <si>
    <t>猿飞佐助4星</t>
  </si>
  <si>
    <t>丰臣秀吉4星</t>
  </si>
  <si>
    <t>秦琼4星</t>
  </si>
  <si>
    <t>李逵4星</t>
  </si>
  <si>
    <t>阿喀琉斯4星</t>
  </si>
  <si>
    <t>宙斯4星</t>
  </si>
  <si>
    <t>天照大神4星</t>
  </si>
  <si>
    <t>小丑皇4星</t>
  </si>
  <si>
    <t>普罗米修斯4星</t>
  </si>
  <si>
    <t>兰斯洛特4星</t>
  </si>
  <si>
    <t>亚瑟4星</t>
  </si>
  <si>
    <t>霍去病4星</t>
  </si>
  <si>
    <t>姜子牙4星</t>
  </si>
  <si>
    <t>释尊4星</t>
  </si>
  <si>
    <t>爱德华蒂奇4星</t>
  </si>
  <si>
    <t>雅典娜4星</t>
  </si>
  <si>
    <t>奥丁4星</t>
  </si>
  <si>
    <t>洛基4星</t>
  </si>
  <si>
    <t>索尔4星</t>
  </si>
  <si>
    <t>所罗门4星</t>
  </si>
  <si>
    <t>路西法4星</t>
  </si>
  <si>
    <t>加百列4星</t>
  </si>
  <si>
    <t>米迦勒4星</t>
  </si>
  <si>
    <t>关羽4星</t>
  </si>
  <si>
    <t>吕布4星</t>
  </si>
  <si>
    <t>专诸4星</t>
  </si>
  <si>
    <t>佐罗4星</t>
  </si>
  <si>
    <t>金刚夜叉明王4星</t>
  </si>
  <si>
    <t>张飞4星</t>
  </si>
  <si>
    <t>波塞冬4星</t>
  </si>
  <si>
    <t>暗夜骑士4星</t>
  </si>
  <si>
    <t>弗兰肯斯坦4星</t>
  </si>
  <si>
    <t>阿努比斯4星</t>
  </si>
  <si>
    <t>哈迪斯4星</t>
  </si>
  <si>
    <t>最强男军人4星</t>
  </si>
  <si>
    <t>最强女军人4星</t>
  </si>
  <si>
    <t>男警察4星</t>
  </si>
  <si>
    <t>女警察4星</t>
  </si>
  <si>
    <t>男战士4星</t>
  </si>
  <si>
    <t>女战士4星</t>
  </si>
  <si>
    <t>皇后4星</t>
  </si>
  <si>
    <t>国王4星</t>
  </si>
  <si>
    <t>黄精灵4星</t>
  </si>
  <si>
    <t>红精灵4星</t>
  </si>
  <si>
    <t>吱吱4星</t>
  </si>
  <si>
    <t>咩咩4星</t>
  </si>
  <si>
    <t>火法4星</t>
  </si>
  <si>
    <t>奥法4星</t>
  </si>
  <si>
    <t>魔化老太婆4星</t>
  </si>
  <si>
    <t>阿拉伯4星</t>
  </si>
  <si>
    <t>老太婆4星</t>
  </si>
  <si>
    <t>绿发游侠4星</t>
  </si>
  <si>
    <t>黄发游侠4星</t>
  </si>
  <si>
    <t>黑皮少女4星</t>
  </si>
  <si>
    <t>黑皮少年4星</t>
  </si>
  <si>
    <t>汪汪4星</t>
  </si>
  <si>
    <t>喵喵4星</t>
  </si>
  <si>
    <t>武道家4星</t>
  </si>
  <si>
    <t>女武道家4星</t>
  </si>
  <si>
    <t>头盔人4星</t>
  </si>
  <si>
    <t>钢盔人4星</t>
  </si>
  <si>
    <t>哥布林4星</t>
  </si>
  <si>
    <t>牛头怪4星</t>
  </si>
  <si>
    <t>方块勇士4星</t>
  </si>
  <si>
    <t>大福勇士4星</t>
  </si>
  <si>
    <t>塑料构造体4星</t>
  </si>
  <si>
    <t>实习程序员4星</t>
  </si>
  <si>
    <t>矮人矿工4星</t>
  </si>
  <si>
    <t>地精海贼4星</t>
  </si>
  <si>
    <t>隐匿者4星</t>
  </si>
  <si>
    <t>亚马逊杀手4星</t>
  </si>
  <si>
    <t>黑衣人4星</t>
  </si>
  <si>
    <t>外星人4星</t>
  </si>
  <si>
    <t>小混混4星</t>
  </si>
  <si>
    <t>恐龙妹4星</t>
  </si>
  <si>
    <t>亚伯5星</t>
  </si>
  <si>
    <t>该隐5星</t>
  </si>
  <si>
    <t>美杜莎5星</t>
  </si>
  <si>
    <t>达摩5星</t>
  </si>
  <si>
    <t>塔纳托斯5星</t>
  </si>
  <si>
    <t>阿尔忒弥斯5星</t>
  </si>
  <si>
    <t>开膛手杰克5星</t>
  </si>
  <si>
    <t>叶卡捷琳娜二世5星</t>
  </si>
  <si>
    <t>盖瑞5星</t>
  </si>
  <si>
    <t>孙悟空5星</t>
  </si>
  <si>
    <t>范海辛5星</t>
  </si>
  <si>
    <t>凯撒大帝5星</t>
  </si>
  <si>
    <t>圣女贞德5星</t>
  </si>
  <si>
    <t>湿婆5星</t>
  </si>
  <si>
    <t>织田信长5星</t>
  </si>
  <si>
    <t>许褚5星</t>
  </si>
  <si>
    <t>典韦5星</t>
  </si>
  <si>
    <t>爱迪生5星</t>
  </si>
  <si>
    <t>聂隐娘5星</t>
  </si>
  <si>
    <t>阿瑞斯5星</t>
  </si>
  <si>
    <t>卡戎5星</t>
  </si>
  <si>
    <t>马可·波罗5星</t>
  </si>
  <si>
    <t>狄俄尼索斯5星</t>
  </si>
  <si>
    <t>土方岁三5星</t>
  </si>
  <si>
    <t>赫菲斯托斯5星</t>
  </si>
  <si>
    <t>阿芙洛狄忒5星</t>
  </si>
  <si>
    <t>麦哲伦5星</t>
  </si>
  <si>
    <t>乌尔班二世5星</t>
  </si>
  <si>
    <t>风魔小太郎5星</t>
  </si>
  <si>
    <t>服部半藏5星</t>
  </si>
  <si>
    <t>猿飞佐助5星</t>
  </si>
  <si>
    <t>丰臣秀吉5星</t>
  </si>
  <si>
    <t>秦琼5星</t>
  </si>
  <si>
    <t>李逵5星</t>
  </si>
  <si>
    <t>阿喀琉斯5星</t>
  </si>
  <si>
    <t>宙斯5星</t>
  </si>
  <si>
    <t>天照大神5星</t>
  </si>
  <si>
    <t>小丑皇5星</t>
  </si>
  <si>
    <t>普罗米修斯5星</t>
  </si>
  <si>
    <t>兰斯洛特5星</t>
  </si>
  <si>
    <t>亚瑟5星</t>
  </si>
  <si>
    <t>霍去病5星</t>
  </si>
  <si>
    <t>姜子牙5星</t>
  </si>
  <si>
    <t>释尊5星</t>
  </si>
  <si>
    <t>爱德华蒂奇5星</t>
  </si>
  <si>
    <t>雅典娜5星</t>
  </si>
  <si>
    <t>奥丁5星</t>
  </si>
  <si>
    <t>洛基5星</t>
  </si>
  <si>
    <t>索尔5星</t>
  </si>
  <si>
    <t>所罗门5星</t>
  </si>
  <si>
    <t>路西法5星</t>
  </si>
  <si>
    <t>加百列5星</t>
  </si>
  <si>
    <t>米迦勒5星</t>
  </si>
  <si>
    <t>关羽5星</t>
  </si>
  <si>
    <t>吕布5星</t>
  </si>
  <si>
    <t>专诸5星</t>
  </si>
  <si>
    <t>佐罗5星</t>
  </si>
  <si>
    <t>金刚夜叉明王5星</t>
  </si>
  <si>
    <t>张飞5星</t>
  </si>
  <si>
    <t>波塞冬5星</t>
  </si>
  <si>
    <t>暗夜骑士5星</t>
  </si>
  <si>
    <t>弗兰肯斯坦5星</t>
  </si>
  <si>
    <t>阿努比斯5星</t>
  </si>
  <si>
    <t>哈迪斯5星</t>
  </si>
  <si>
    <t>最强男军人5星</t>
  </si>
  <si>
    <t>最强女军人5星</t>
  </si>
  <si>
    <t>男警察5星</t>
  </si>
  <si>
    <t>女警察5星</t>
  </si>
  <si>
    <t>男战士5星</t>
  </si>
  <si>
    <t>女战士5星</t>
  </si>
  <si>
    <t>皇后5星</t>
  </si>
  <si>
    <t>国王5星</t>
  </si>
  <si>
    <t>黄精灵5星</t>
  </si>
  <si>
    <t>红精灵5星</t>
  </si>
  <si>
    <t>吱吱5星</t>
  </si>
  <si>
    <t>咩咩5星</t>
  </si>
  <si>
    <t>火法5星</t>
  </si>
  <si>
    <t>奥法5星</t>
  </si>
  <si>
    <t>魔化老太婆5星</t>
  </si>
  <si>
    <t>阿拉伯5星</t>
  </si>
  <si>
    <t>老太婆5星</t>
  </si>
  <si>
    <t>绿发游侠5星</t>
  </si>
  <si>
    <t>黄发游侠5星</t>
  </si>
  <si>
    <t>黑皮少女5星</t>
  </si>
  <si>
    <t>黑皮少年5星</t>
  </si>
  <si>
    <t>汪汪5星</t>
  </si>
  <si>
    <t>喵喵5星</t>
  </si>
  <si>
    <t>武道家5星</t>
  </si>
  <si>
    <t>女武道家5星</t>
  </si>
  <si>
    <t>头盔人5星</t>
  </si>
  <si>
    <t>钢盔人5星</t>
  </si>
  <si>
    <t>哥布林5星</t>
  </si>
  <si>
    <t>牛头怪5星</t>
  </si>
  <si>
    <t>方块勇士5星</t>
  </si>
  <si>
    <t>大福勇士5星</t>
  </si>
  <si>
    <t>塑料构造体5星</t>
  </si>
  <si>
    <t>实习程序员5星</t>
  </si>
  <si>
    <t>矮人矿工5星</t>
  </si>
  <si>
    <t>地精海贼5星</t>
  </si>
  <si>
    <t>隐匿者5星</t>
  </si>
  <si>
    <t>亚马逊杀手5星</t>
  </si>
  <si>
    <t>黑衣人5星</t>
  </si>
  <si>
    <t>外星人5星</t>
  </si>
  <si>
    <t>小混混5星</t>
  </si>
  <si>
    <t>恐龙妹5星</t>
  </si>
  <si>
    <t>亚伯6星</t>
  </si>
  <si>
    <t>该隐6星</t>
  </si>
  <si>
    <t>美杜莎6星</t>
  </si>
  <si>
    <t>达摩6星</t>
  </si>
  <si>
    <t>塔纳托斯6星</t>
  </si>
  <si>
    <t>阿尔忒弥斯6星</t>
  </si>
  <si>
    <t>开膛手杰克6星</t>
  </si>
  <si>
    <t>叶卡捷琳娜二世6星</t>
  </si>
  <si>
    <t>盖瑞6星</t>
  </si>
  <si>
    <t>孙悟空6星</t>
  </si>
  <si>
    <t>范海辛6星</t>
  </si>
  <si>
    <t>凯撒大帝6星</t>
  </si>
  <si>
    <t>圣女贞德6星</t>
  </si>
  <si>
    <t>湿婆6星</t>
  </si>
  <si>
    <t>织田信长6星</t>
  </si>
  <si>
    <t>许褚6星</t>
  </si>
  <si>
    <t>典韦6星</t>
  </si>
  <si>
    <t>爱迪生6星</t>
  </si>
  <si>
    <t>聂隐娘6星</t>
  </si>
  <si>
    <t>阿瑞斯6星</t>
  </si>
  <si>
    <t>卡戎6星</t>
  </si>
  <si>
    <t>马可·波罗6星</t>
  </si>
  <si>
    <t>狄俄尼索斯6星</t>
  </si>
  <si>
    <t>土方岁三6星</t>
  </si>
  <si>
    <t>赫菲斯托斯6星</t>
  </si>
  <si>
    <t>阿芙洛狄忒6星</t>
  </si>
  <si>
    <t>麦哲伦6星</t>
  </si>
  <si>
    <t>乌尔班二世6星</t>
  </si>
  <si>
    <t>风魔小太郎6星</t>
  </si>
  <si>
    <t>服部半藏6星</t>
  </si>
  <si>
    <t>猿飞佐助6星</t>
  </si>
  <si>
    <t>丰臣秀吉6星</t>
  </si>
  <si>
    <t>秦琼6星</t>
  </si>
  <si>
    <t>李逵6星</t>
  </si>
  <si>
    <t>阿喀琉斯6星</t>
  </si>
  <si>
    <t>宙斯6星</t>
  </si>
  <si>
    <t>天照大神6星</t>
  </si>
  <si>
    <t>小丑皇6星</t>
  </si>
  <si>
    <t>普罗米修斯6星</t>
  </si>
  <si>
    <t>兰斯洛特6星</t>
  </si>
  <si>
    <t>亚瑟6星</t>
  </si>
  <si>
    <t>霍去病6星</t>
  </si>
  <si>
    <t>姜子牙6星</t>
  </si>
  <si>
    <t>释尊6星</t>
  </si>
  <si>
    <t>爱德华蒂奇6星</t>
  </si>
  <si>
    <t>雅典娜6星</t>
  </si>
  <si>
    <t>奥丁6星</t>
  </si>
  <si>
    <t>洛基6星</t>
  </si>
  <si>
    <t>索尔6星</t>
  </si>
  <si>
    <t>所罗门6星</t>
  </si>
  <si>
    <t>路西法6星</t>
  </si>
  <si>
    <t>加百列6星</t>
  </si>
  <si>
    <t>米迦勒6星</t>
  </si>
  <si>
    <t>关羽6星</t>
  </si>
  <si>
    <t>吕布6星</t>
  </si>
  <si>
    <t>专诸6星</t>
  </si>
  <si>
    <t>佐罗6星</t>
  </si>
  <si>
    <t>金刚夜叉明王6星</t>
  </si>
  <si>
    <t>张飞6星</t>
  </si>
  <si>
    <t>波塞冬6星</t>
  </si>
  <si>
    <t>暗夜骑士6星</t>
  </si>
  <si>
    <t>弗兰肯斯坦6星</t>
  </si>
  <si>
    <t>阿努比斯6星</t>
  </si>
  <si>
    <t>哈迪斯6星</t>
  </si>
  <si>
    <t>最强男军人6星</t>
  </si>
  <si>
    <t>最强女军人6星</t>
  </si>
  <si>
    <t>男警察6星</t>
  </si>
  <si>
    <t>女警察6星</t>
  </si>
  <si>
    <t>男战士6星</t>
  </si>
  <si>
    <t>女战士6星</t>
  </si>
  <si>
    <t>皇后6星</t>
  </si>
  <si>
    <t>国王6星</t>
  </si>
  <si>
    <t>黄精灵6星</t>
  </si>
  <si>
    <t>红精灵6星</t>
  </si>
  <si>
    <t>吱吱6星</t>
  </si>
  <si>
    <t>咩咩6星</t>
  </si>
  <si>
    <t>火法6星</t>
  </si>
  <si>
    <t>奥法6星</t>
  </si>
  <si>
    <t>魔化老太婆6星</t>
  </si>
  <si>
    <t>阿拉伯6星</t>
  </si>
  <si>
    <t>老太婆6星</t>
  </si>
  <si>
    <t>绿发游侠6星</t>
  </si>
  <si>
    <t>黄发游侠6星</t>
  </si>
  <si>
    <t>黑皮少女6星</t>
  </si>
  <si>
    <t>黑皮少年6星</t>
  </si>
  <si>
    <t>汪汪6星</t>
  </si>
  <si>
    <t>喵喵6星</t>
  </si>
  <si>
    <t>武道家6星</t>
  </si>
  <si>
    <t>女武道家6星</t>
  </si>
  <si>
    <t>头盔人6星</t>
  </si>
  <si>
    <t>钢盔人6星</t>
  </si>
  <si>
    <t>哥布林6星</t>
  </si>
  <si>
    <t>牛头怪6星</t>
  </si>
  <si>
    <t>方块勇士6星</t>
  </si>
  <si>
    <t>大福勇士6星</t>
  </si>
  <si>
    <t>塑料构造体6星</t>
  </si>
  <si>
    <t>实习程序员6星</t>
  </si>
  <si>
    <t>矮人矿工6星</t>
  </si>
  <si>
    <t>地精海贼6星</t>
  </si>
  <si>
    <t>隐匿者6星</t>
  </si>
  <si>
    <t>亚马逊杀手6星</t>
  </si>
  <si>
    <t>黑衣人6星</t>
  </si>
  <si>
    <t>外星人6星</t>
  </si>
  <si>
    <t>小混混6星</t>
  </si>
  <si>
    <t>恐龙妹6星</t>
  </si>
  <si>
    <t>亚伯7星</t>
  </si>
  <si>
    <t>该隐7星</t>
  </si>
  <si>
    <t>美杜莎7星</t>
  </si>
  <si>
    <t>达摩7星</t>
  </si>
  <si>
    <t>塔纳托斯7星</t>
  </si>
  <si>
    <t>阿尔忒弥斯7星</t>
  </si>
  <si>
    <t>开膛手杰克7星</t>
  </si>
  <si>
    <t>叶卡捷琳娜二世7星</t>
  </si>
  <si>
    <t>盖瑞7星</t>
  </si>
  <si>
    <t>孙悟空7星</t>
  </si>
  <si>
    <t>范海辛7星</t>
  </si>
  <si>
    <t>凯撒大帝7星</t>
  </si>
  <si>
    <t>圣女贞德7星</t>
  </si>
  <si>
    <t>湿婆7星</t>
  </si>
  <si>
    <t>织田信长7星</t>
  </si>
  <si>
    <t>许褚7星</t>
  </si>
  <si>
    <t>典韦7星</t>
  </si>
  <si>
    <t>爱迪生7星</t>
  </si>
  <si>
    <t>聂隐娘7星</t>
  </si>
  <si>
    <t>阿瑞斯7星</t>
  </si>
  <si>
    <t>卡戎7星</t>
  </si>
  <si>
    <t>马可·波罗7星</t>
  </si>
  <si>
    <t>狄俄尼索斯7星</t>
  </si>
  <si>
    <t>土方岁三7星</t>
  </si>
  <si>
    <t>赫菲斯托斯7星</t>
  </si>
  <si>
    <t>阿芙洛狄忒7星</t>
  </si>
  <si>
    <t>麦哲伦7星</t>
  </si>
  <si>
    <t>乌尔班二世7星</t>
  </si>
  <si>
    <t>风魔小太郎7星</t>
  </si>
  <si>
    <t>服部半藏7星</t>
  </si>
  <si>
    <t>猿飞佐助7星</t>
  </si>
  <si>
    <t>丰臣秀吉7星</t>
  </si>
  <si>
    <t>秦琼7星</t>
  </si>
  <si>
    <t>李逵7星</t>
  </si>
  <si>
    <t>阿喀琉斯7星</t>
  </si>
  <si>
    <t>宙斯7星</t>
  </si>
  <si>
    <t>天照大神7星</t>
  </si>
  <si>
    <t>小丑皇7星</t>
  </si>
  <si>
    <t>普罗米修斯7星</t>
  </si>
  <si>
    <t>兰斯洛特7星</t>
  </si>
  <si>
    <t>亚瑟7星</t>
  </si>
  <si>
    <t>霍去病7星</t>
  </si>
  <si>
    <t>姜子牙7星</t>
  </si>
  <si>
    <t>释尊7星</t>
  </si>
  <si>
    <t>爱德华蒂奇7星</t>
  </si>
  <si>
    <t>雅典娜7星</t>
  </si>
  <si>
    <t>奥丁7星</t>
  </si>
  <si>
    <t>洛基7星</t>
  </si>
  <si>
    <t>索尔7星</t>
  </si>
  <si>
    <t>所罗门7星</t>
  </si>
  <si>
    <t>路西法7星</t>
  </si>
  <si>
    <t>加百列7星</t>
  </si>
  <si>
    <t>米迦勒7星</t>
  </si>
  <si>
    <t>关羽7星</t>
  </si>
  <si>
    <t>吕布7星</t>
  </si>
  <si>
    <t>专诸7星</t>
  </si>
  <si>
    <t>佐罗7星</t>
  </si>
  <si>
    <t>金刚夜叉明王7星</t>
  </si>
  <si>
    <t>张飞7星</t>
  </si>
  <si>
    <t>波塞冬7星</t>
  </si>
  <si>
    <t>暗夜骑士7星</t>
  </si>
  <si>
    <t>弗兰肯斯坦7星</t>
  </si>
  <si>
    <t>阿努比斯7星</t>
  </si>
  <si>
    <t>哈迪斯7星</t>
  </si>
  <si>
    <t>最强男军人7星</t>
  </si>
  <si>
    <t>最强女军人7星</t>
  </si>
  <si>
    <t>男警察7星</t>
  </si>
  <si>
    <t>女警察7星</t>
  </si>
  <si>
    <t>男战士7星</t>
  </si>
  <si>
    <t>女战士7星</t>
  </si>
  <si>
    <t>皇后7星</t>
  </si>
  <si>
    <t>国王7星</t>
  </si>
  <si>
    <t>黄精灵7星</t>
  </si>
  <si>
    <t>红精灵7星</t>
  </si>
  <si>
    <t>吱吱7星</t>
  </si>
  <si>
    <t>咩咩7星</t>
  </si>
  <si>
    <t>火法7星</t>
  </si>
  <si>
    <t>奥法7星</t>
  </si>
  <si>
    <t>魔化老太婆7星</t>
  </si>
  <si>
    <t>阿拉伯7星</t>
  </si>
  <si>
    <t>老太婆7星</t>
  </si>
  <si>
    <t>绿发游侠7星</t>
  </si>
  <si>
    <t>黄发游侠7星</t>
  </si>
  <si>
    <t>黑皮少女7星</t>
  </si>
  <si>
    <t>黑皮少年7星</t>
  </si>
  <si>
    <t>汪汪7星</t>
  </si>
  <si>
    <t>喵喵7星</t>
  </si>
  <si>
    <t>武道家7星</t>
  </si>
  <si>
    <t>女武道家7星</t>
  </si>
  <si>
    <t>头盔人7星</t>
  </si>
  <si>
    <t>钢盔人7星</t>
  </si>
  <si>
    <t>哥布林7星</t>
  </si>
  <si>
    <t>牛头怪7星</t>
  </si>
  <si>
    <t>方块勇士7星</t>
  </si>
  <si>
    <t>大福勇士7星</t>
  </si>
  <si>
    <t>塑料构造体7星</t>
  </si>
  <si>
    <t>实习程序员7星</t>
  </si>
  <si>
    <t>矮人矿工7星</t>
  </si>
  <si>
    <t>地精海贼7星</t>
  </si>
  <si>
    <t>隐匿者7星</t>
  </si>
  <si>
    <t>亚马逊杀手7星</t>
  </si>
  <si>
    <t>黑衣人7星</t>
  </si>
  <si>
    <t>外星人7星</t>
  </si>
  <si>
    <t>小混混7星</t>
  </si>
  <si>
    <t>恐龙妹7星</t>
  </si>
  <si>
    <t>【开膛手】暴击时无视敌方30%魔抗</t>
  </si>
  <si>
    <t>受到伤害后【大闹天宫】伤害提高3%</t>
  </si>
  <si>
    <t>【最后一击】伤害提高100%</t>
  </si>
  <si>
    <t>【秘术射击】【精准弹幕】伤害提高35%</t>
  </si>
  <si>
    <t>【豪火球】有30%几率额外释放一个【豪火球】</t>
  </si>
  <si>
    <t>【提炉枪】回复自身10%最大生命值</t>
  </si>
  <si>
    <t>【万象支配】释放后获得5点冰属性强化</t>
  </si>
  <si>
    <t>【审判连击】释放回合获得600点双穿</t>
  </si>
  <si>
    <t>【单刀赴会】释放后回合结束恢复15%最大生命值</t>
  </si>
  <si>
    <t>【血腥狂舞】获得50%治疗效果</t>
  </si>
  <si>
    <t>行动时附加1~3999点随机伤害</t>
  </si>
  <si>
    <t>【坦克】英雄所有技能等级+1</t>
  </si>
  <si>
    <t>【辅助】英雄第一，二技能等级+3</t>
  </si>
  <si>
    <t>每次攻击降低敌方1点暗抗</t>
  </si>
  <si>
    <t>攻击时，无视敌方5%的魔抗</t>
  </si>
  <si>
    <t>行动时偷取20点力量和智力</t>
  </si>
  <si>
    <t>行动时附加敌方7%护甲+7%魔抗的伤害</t>
  </si>
  <si>
    <t>被攻击时提高0.8%治疗效果</t>
  </si>
  <si>
    <t>前三回合暴击率提高40%，暴击伤害提高40%</t>
  </si>
  <si>
    <t>生命值低于35%时，提高250点力量和智力</t>
  </si>
  <si>
    <t>【审判之锤】会提高100点速度,3点光属性强化</t>
  </si>
  <si>
    <t>增加某个技能等级</t>
    <phoneticPr fontId="1" type="noConversion"/>
  </si>
  <si>
    <t>lv</t>
    <phoneticPr fontId="1" type="noConversion"/>
  </si>
  <si>
    <t>增加主角第几层的技能</t>
    <phoneticPr fontId="1" type="noConversion"/>
  </si>
  <si>
    <t>增加主角的所有技能</t>
    <phoneticPr fontId="1" type="noConversion"/>
  </si>
  <si>
    <t>行动时有几率使用技能</t>
    <phoneticPr fontId="1" type="noConversion"/>
  </si>
  <si>
    <t>id</t>
    <phoneticPr fontId="1" type="noConversion"/>
  </si>
  <si>
    <t>被攻击有几率使用技能</t>
    <phoneticPr fontId="1" type="noConversion"/>
  </si>
  <si>
    <t>id</t>
    <phoneticPr fontId="1" type="noConversion"/>
  </si>
  <si>
    <t>提高10%所有伤害</t>
    <phoneticPr fontId="1" type="noConversion"/>
  </si>
  <si>
    <t>提高10%附加伤害</t>
    <phoneticPr fontId="1" type="noConversion"/>
  </si>
  <si>
    <t>治疗效果提高3%</t>
  </si>
  <si>
    <t>每回合回复3%最大生命值</t>
  </si>
  <si>
    <t>行动时回复1%最大生命值，并有40%几率提高2%治疗效果</t>
  </si>
  <si>
    <t>提高65点队伍攻击力和队伍法术强度</t>
  </si>
  <si>
    <t>提高2%暴击，2%暴击伤害，200速度，2%治疗效果</t>
  </si>
  <si>
    <t>攻击时有20%几率释放暗影炸弹，造成5000点暗属性魔法伤害</t>
  </si>
  <si>
    <t>暗属性强化提高20</t>
  </si>
  <si>
    <t>【怒火聚焦】还会使下一次攻击的暴击率提高50%</t>
  </si>
  <si>
    <t>暴击伤害提高15%</t>
  </si>
  <si>
    <t>【怒火聚焦】等级提高5级</t>
  </si>
  <si>
    <t>行动时有10%几率释放地狱之炎，造成2%当前生命值的火属性魔法伤害</t>
  </si>
  <si>
    <t>行动时有25%几率提高2点火属性强化</t>
  </si>
  <si>
    <t>护甲穿透提高1000点，法术穿透提高1000点</t>
  </si>
  <si>
    <t>所有刺客的技能等级加1</t>
  </si>
  <si>
    <t>行动时有1%几率造成50%当前生命值的伤害</t>
  </si>
  <si>
    <t>【命运之骰】会额外获得一个随机强力效果</t>
  </si>
  <si>
    <t>【痛苦无常】技能等级提高5级</t>
  </si>
  <si>
    <t>行动时有10%几率使持续伤害提高10%</t>
  </si>
  <si>
    <t>行动时有15%几率提高1000点速度</t>
  </si>
  <si>
    <t>行动时附加敌方5%当前生命值的额外伤害</t>
  </si>
  <si>
    <t>行动时偷取20点护甲魔抗</t>
  </si>
  <si>
    <t>第五排主角技能等级提高3级</t>
  </si>
  <si>
    <t>被攻击时提高65点护甲</t>
  </si>
  <si>
    <t>提高60点体力，10点全抗性强化</t>
  </si>
  <si>
    <t>生命值低于50%时，提高1000点精神</t>
  </si>
  <si>
    <t>被攻击时附加5%护甲的伤害，并提高30点力量和智力</t>
  </si>
  <si>
    <t>【转甲】的技能等级提高5级</t>
  </si>
  <si>
    <t>【转甲】额外提高10%护甲，持续一回合</t>
  </si>
  <si>
    <t>治疗效果提高2%</t>
  </si>
  <si>
    <t>【再生之力】技能等级提高3级</t>
  </si>
  <si>
    <t>每回合回复2%最大生命值</t>
  </si>
  <si>
    <t>行动时降低敌方35点护甲</t>
  </si>
  <si>
    <t>【拔剑神曲】技能等级提高4级</t>
  </si>
  <si>
    <t>提高20点全属性强化</t>
  </si>
  <si>
    <t>行动时提高50点智力</t>
  </si>
  <si>
    <t>【贤者的叙事诗】技能等级提高5级</t>
  </si>
  <si>
    <t>提高2000点魔抗，1000点法术穿透</t>
  </si>
  <si>
    <t>所有辅助英雄的技能等级提高2级</t>
  </si>
  <si>
    <t>提高10点光属性强化</t>
  </si>
  <si>
    <t>第一排主角技能提高4级</t>
  </si>
  <si>
    <t>行动时5%几率附加1层【流血】</t>
  </si>
  <si>
    <t>提高2%pvp减伤</t>
  </si>
  <si>
    <t>攻击时附加2000点伤害</t>
  </si>
  <si>
    <t>行动时50%几率提高5点属性强化</t>
  </si>
  <si>
    <t>提高自身20%暴击</t>
  </si>
  <si>
    <t>【殉道者】暴击回复30点怒气和3%最大生命值</t>
  </si>
  <si>
    <t>元素之光</t>
  </si>
  <si>
    <t>行动时10%几率获得1层【元素强化】</t>
  </si>
  <si>
    <t>元素之纹</t>
  </si>
  <si>
    <t>行动时10%几率获得3层【元素强化】</t>
  </si>
  <si>
    <t>神恩复仇</t>
  </si>
  <si>
    <t>披荆斩棘</t>
  </si>
  <si>
    <t>【怒击】提高20%暴击率</t>
  </si>
  <si>
    <t>王之裁决</t>
  </si>
  <si>
    <t>攻击时，附加5%力量的伤害</t>
  </si>
  <si>
    <t>汲血</t>
  </si>
  <si>
    <t>每次攻击降低敌方1%治疗效果</t>
  </si>
  <si>
    <t>强袭</t>
  </si>
  <si>
    <t>提高自身10%暴击</t>
  </si>
  <si>
    <t>暗影侵袭</t>
  </si>
  <si>
    <t>鹰眼</t>
  </si>
  <si>
    <t>【普通攻击】提高10%暴击，10%命中</t>
  </si>
  <si>
    <t>疾风之怒</t>
  </si>
  <si>
    <t>被攻击时，5%几率释放【风怒打击】</t>
  </si>
  <si>
    <t>后羿附体</t>
  </si>
  <si>
    <t>元素亲和</t>
  </si>
  <si>
    <t>奥术威能</t>
  </si>
  <si>
    <t>雷劫</t>
  </si>
  <si>
    <t>行动时，5%几率释放【雷神之怒】</t>
  </si>
  <si>
    <t>混沌本源</t>
  </si>
  <si>
    <t>末日灾祸</t>
  </si>
  <si>
    <t>博爱</t>
  </si>
  <si>
    <t>每次行动降低自己2点体力，降低敌方5点精神</t>
  </si>
  <si>
    <t>被攻击时提高0.5%治疗效果</t>
  </si>
  <si>
    <t>行动时提高10点队伍攻击力和队伍法术强度</t>
  </si>
  <si>
    <t>暴击时额外造成敌方1%最大生命值的伤害</t>
  </si>
  <si>
    <t>【地狱之炎】的伤害提高25%</t>
  </si>
  <si>
    <t>行动时提高10点法术穿透</t>
  </si>
  <si>
    <t>前五回合速度提高2000点</t>
  </si>
  <si>
    <t>提高护甲相当于3%魔抗，提高魔抗相当于3%护甲</t>
  </si>
  <si>
    <t>前六回合提高1000点护甲穿透</t>
  </si>
  <si>
    <t>前六回合提高1000点法术穿透</t>
  </si>
  <si>
    <t>吟游诗人所有技能等级提高1级</t>
  </si>
  <si>
    <t>斗皇之力</t>
  </si>
  <si>
    <t>提高6%所有伤害</t>
  </si>
  <si>
    <t>斗帝之力</t>
  </si>
  <si>
    <t>提高9%所有伤害</t>
  </si>
  <si>
    <t>彩虹刻面-生</t>
  </si>
  <si>
    <t>彩虹刻面-死</t>
  </si>
  <si>
    <t>杀意波动</t>
  </si>
  <si>
    <t>王之启示</t>
  </si>
  <si>
    <t>王之统治</t>
  </si>
  <si>
    <t>王之引导</t>
  </si>
  <si>
    <t>王之处刑</t>
  </si>
  <si>
    <t>行动时，附加2%智力的伤害</t>
  </si>
  <si>
    <t>王之断罪</t>
  </si>
  <si>
    <t>行动时，附加2%体力的伤害</t>
  </si>
  <si>
    <t>王之审判</t>
  </si>
  <si>
    <t>行动时，附加2%精神的伤害</t>
  </si>
  <si>
    <t>暗影蔽日</t>
  </si>
  <si>
    <t>降低10点光属性抗性，每降低1点光属性抗性提高1点暗属性强化</t>
  </si>
  <si>
    <t>暗影缠身</t>
  </si>
  <si>
    <t>降低1%体力，每降低2点体力提高1点暗属性强化</t>
  </si>
  <si>
    <t>暗影销魂</t>
  </si>
  <si>
    <t>降低1%精神，每降低3点精神提高1点暗属性强化</t>
  </si>
  <si>
    <t>暗影契约</t>
  </si>
  <si>
    <t>行动时，10%几率提高1点暗属性强化</t>
  </si>
  <si>
    <t>暗影凝视</t>
  </si>
  <si>
    <t>行动时，1%几率提高15点暗属性强化</t>
  </si>
  <si>
    <t>暗影撕裂</t>
  </si>
  <si>
    <t>行动时，无视敌方50%暗属性抗性</t>
  </si>
  <si>
    <t>东皇附体</t>
  </si>
  <si>
    <t>蚩尤附体</t>
  </si>
  <si>
    <t>夸父附体</t>
  </si>
  <si>
    <t>女娲附体</t>
  </si>
  <si>
    <t>昊天附体</t>
  </si>
  <si>
    <t>西王母附体</t>
  </si>
  <si>
    <t>日食</t>
  </si>
  <si>
    <t>被攻击时，5%几率释放【苍龙逐日】</t>
  </si>
  <si>
    <t>月食</t>
  </si>
  <si>
    <t>被攻击时，5%几率释放【天狗食月】</t>
  </si>
  <si>
    <t>地动</t>
  </si>
  <si>
    <t>被攻击时，5%几率释放【地动山摇】</t>
  </si>
  <si>
    <t>冰劫</t>
  </si>
  <si>
    <t>行动时，5%几率释放【极冰盛宴】</t>
  </si>
  <si>
    <t>火劫</t>
  </si>
  <si>
    <t>行动时，5%几率释放【流星火雨】</t>
  </si>
  <si>
    <t>黑暗</t>
  </si>
  <si>
    <t>行动时，5%几率释放【湮灭黑洞】</t>
  </si>
  <si>
    <t>傲慢</t>
  </si>
  <si>
    <t>贪婪</t>
  </si>
  <si>
    <t>懒惰</t>
  </si>
  <si>
    <t>降低300点速度，提高2%的护甲和魔抗</t>
  </si>
  <si>
    <t>愤怒</t>
  </si>
  <si>
    <t>饕餮</t>
  </si>
  <si>
    <t>行动时，2%几率回复20%最大生命值，并减少200速度</t>
  </si>
  <si>
    <t>嫉妒</t>
  </si>
  <si>
    <t>行动时，偷取10点力量和智力，并使敌方提高1%暴击</t>
  </si>
  <si>
    <t>斗帝之心</t>
  </si>
  <si>
    <t>斗皇之志</t>
  </si>
  <si>
    <t>斗帝之志</t>
  </si>
  <si>
    <t>雷神之怒</t>
  </si>
  <si>
    <t>苍龙逐日</t>
  </si>
  <si>
    <t>天狗食月</t>
  </si>
  <si>
    <t>地动山摇</t>
  </si>
  <si>
    <t>极冰盛宴</t>
  </si>
  <si>
    <t>流星火雨</t>
  </si>
  <si>
    <t>湮灭黑洞</t>
  </si>
  <si>
    <t>雄鹰套装</t>
  </si>
  <si>
    <t>提高3%所有伤害</t>
  </si>
  <si>
    <t>支配套装</t>
  </si>
  <si>
    <t>提高8%吸血</t>
  </si>
  <si>
    <t>小佣兵的传奇</t>
  </si>
  <si>
    <t>行动时3%几率获得1层【暴怒】</t>
  </si>
  <si>
    <t>小佣兵的传奇2</t>
  </si>
  <si>
    <t>提高10%pvp减伤</t>
  </si>
  <si>
    <t>透明套</t>
  </si>
  <si>
    <t>行动时3%几率获得1层【再生】</t>
  </si>
  <si>
    <t>沙皇之怒</t>
  </si>
  <si>
    <t>行动时10%几率提高10000点速度，持续1回合</t>
  </si>
  <si>
    <t>天空套</t>
  </si>
  <si>
    <t>攻击时附加12%伤害</t>
  </si>
  <si>
    <t>皇家套</t>
  </si>
  <si>
    <t>伤害和治疗效果提高2%</t>
  </si>
  <si>
    <t>测试衣服套</t>
  </si>
  <si>
    <t>附加30%伤害</t>
  </si>
  <si>
    <t>测试首饰套</t>
  </si>
  <si>
    <t>伤害提高30%</t>
  </si>
  <si>
    <t>测试称号套</t>
  </si>
  <si>
    <t>所有属强40点，伤害提高30%</t>
  </si>
  <si>
    <t>孤儿的呼唤</t>
  </si>
  <si>
    <t>孤儿的呼唤2</t>
  </si>
  <si>
    <t>孤儿的呼唤3</t>
  </si>
  <si>
    <t>2/100*a.inte</t>
  </si>
  <si>
    <t>2/100*a.vit</t>
  </si>
  <si>
    <t>2/100*a.spi</t>
  </si>
  <si>
    <t>殉道者</t>
  </si>
  <si>
    <t>$y12%$w几率消耗20点怒气造成$r[200+100*lv]+[(150+10*lv)]%*攻击力$w的物理伤害,每5点怒气提高1%暴击</t>
  </si>
  <si>
    <t>200+100*lv+(150+10*lv)/100*a.ad</t>
  </si>
  <si>
    <t>血祭</t>
  </si>
  <si>
    <t>行动时[1.4+0.8*lv]%几率附加1层【流血】</t>
  </si>
  <si>
    <t>虚空</t>
  </si>
  <si>
    <t>天生狂战</t>
  </si>
  <si>
    <t>愤怒掌控</t>
  </si>
  <si>
    <t>双重痛苦</t>
  </si>
  <si>
    <t>万物凋零</t>
  </si>
  <si>
    <t>赎罪</t>
  </si>
  <si>
    <t>获取</t>
  </si>
  <si>
    <t>神罚</t>
  </si>
  <si>
    <t>万蛇噬体</t>
  </si>
  <si>
    <t>行动时[7+0.4*lv]%几率附加1层【中毒】</t>
  </si>
  <si>
    <t>7+0.4*lv</t>
  </si>
  <si>
    <t>巫毒仪式</t>
  </si>
  <si>
    <t>致命毒药</t>
  </si>
  <si>
    <t>穿透迷雾</t>
  </si>
  <si>
    <t>沼泽协调</t>
  </si>
  <si>
    <t>冲心·隔空打穴</t>
  </si>
  <si>
    <t>200+10*lv+(140+5*lv)/100*a.ad</t>
  </si>
  <si>
    <t>$y5%$w几率消耗30点能量造成$r[350+20*lv]+[(160+20*lv)]%*攻击力$w的冰属性物理伤害，并附加1层【重伤】</t>
  </si>
  <si>
    <t>350+20*lv+(160+20*lv)/100*a.ad</t>
  </si>
  <si>
    <t>超凡入圣</t>
  </si>
  <si>
    <t>先知先觉</t>
  </si>
  <si>
    <t>无情猛袭</t>
  </si>
  <si>
    <t>430+10*lv+(160+15*lv)/100*a.ad</t>
  </si>
  <si>
    <t>末日烈焰</t>
  </si>
  <si>
    <t>行动时[8+0.5*lv]%几率附加1层【灼烧】</t>
  </si>
  <si>
    <t>8+0.5*lv</t>
  </si>
  <si>
    <t>月之祝福</t>
  </si>
  <si>
    <t>加速箭雨</t>
  </si>
  <si>
    <t>【普通攻击】[6+lv]%几率获得1层【迅捷】，[3+0.5*lv]%几率附加1层【虚弱】</t>
  </si>
  <si>
    <t>6+lv</t>
  </si>
  <si>
    <t>3+0.5*lv</t>
  </si>
  <si>
    <t>射法·玉天贯</t>
  </si>
  <si>
    <t>月光之舞</t>
  </si>
  <si>
    <t>月之陷阱</t>
  </si>
  <si>
    <t>暗黑雾都</t>
  </si>
  <si>
    <t>来自地狱</t>
  </si>
  <si>
    <t>行动时[3+0.1*lv]%几率获得1层【迅捷】</t>
  </si>
  <si>
    <t>3+0.1*lv</t>
  </si>
  <si>
    <t>开膛手</t>
  </si>
  <si>
    <t>$y7%$w几率消耗20点法力值造成$b[360+10*lv]+[(60+10*lv)]%*攻击力+[(120+20*lv)]%*法术强度$w的冰属性法术伤害，视为【普通攻击】</t>
  </si>
  <si>
    <t>360+10*lv+(60+10*lv)/100*a.ad+(120+20*lv)/100*a.ap</t>
  </si>
  <si>
    <t>自身【开膛手】附加[3+lv]%敌方当前生命值的伤害</t>
  </si>
  <si>
    <t>百年孤寂</t>
  </si>
  <si>
    <t>禁卫军</t>
  </si>
  <si>
    <t>$y17%$w几率造成$b[300+10*lv]+[(80+7*lv)]%*法术强度+[(60+5*lv)]%*攻击力$w的魔法伤害，并附加1层【重伤】</t>
  </si>
  <si>
    <t>300+10*lv+(80+7*lv)/100*a.ap+(60+5*lv)/100*a.ad</t>
  </si>
  <si>
    <t>尖刃</t>
  </si>
  <si>
    <t>大帝之怒</t>
  </si>
  <si>
    <t>【必杀技】$y12%$w几率造成$b800+[(200+15*lv)]%*法术强度$w的魔法伤害，并附加1层【减速】</t>
  </si>
  <si>
    <t>800+(200+15*lv)/100*a.ap</t>
  </si>
  <si>
    <t>格挡</t>
  </si>
  <si>
    <t>时空利刃</t>
  </si>
  <si>
    <t>攻击时会对敌方造成[(1+1*lv)]%*敌方已损失生命值的伤害</t>
  </si>
  <si>
    <t>穿透弹</t>
  </si>
  <si>
    <t>$y12%$w几率造成$r[120+5*lv]+[(125+4*lv)]%*攻击力$w的物理伤害，视为【普通攻击】</t>
  </si>
  <si>
    <t>120+5*lv+(125+4*lv)/100*a.ad</t>
  </si>
  <si>
    <t>激素</t>
  </si>
  <si>
    <t>武器改造</t>
  </si>
  <si>
    <t>高级瞄准镜</t>
  </si>
  <si>
    <t>吸血打击</t>
  </si>
  <si>
    <t>棍棒打击</t>
  </si>
  <si>
    <t>大闹天宫</t>
  </si>
  <si>
    <t>$y12%$w几率消耗30点怒气造成$r[400+5*lv]+[(210+20*lv)]%*攻击力$w的物理伤害</t>
  </si>
  <si>
    <t>400+5*lv+(210+20*lv)/100*a.ad</t>
  </si>
  <si>
    <t>至高荣誉</t>
  </si>
  <si>
    <t>死亡之舞</t>
  </si>
  <si>
    <t>腾云驾雾</t>
  </si>
  <si>
    <t>剑刃x</t>
  </si>
  <si>
    <t>剑刃y</t>
  </si>
  <si>
    <t>自身【剑刃风暴】获得10%多重施法</t>
  </si>
  <si>
    <t>猎魔人</t>
  </si>
  <si>
    <t>12+2*lv</t>
  </si>
  <si>
    <t>飞舞之刃</t>
  </si>
  <si>
    <t>恶魔变身</t>
  </si>
  <si>
    <t>多重射击</t>
  </si>
  <si>
    <t>400+10*lv+(110+15*lv)/100*a.ad+(400)/100*a.ap</t>
  </si>
  <si>
    <t>扫射</t>
  </si>
  <si>
    <t>独裁者</t>
  </si>
  <si>
    <t>灵魂收割</t>
  </si>
  <si>
    <t>霜之哀伤</t>
  </si>
  <si>
    <t>全军突击</t>
  </si>
  <si>
    <t>$y8%$w几率消耗60点法力值造成$b[2000]+[18+3*lv]%*所有英雄法术强度之和$w的冰属性魔法伤害</t>
  </si>
  <si>
    <t>煽动</t>
  </si>
  <si>
    <t>火球术</t>
  </si>
  <si>
    <t>$y17%$w几率造成$b[200+18*lv]+[(80+5*lv)]%*法术强度$w的火属性魔法伤害，并附加1层【灼烧】</t>
  </si>
  <si>
    <t>200+18*lv+(80+5*lv)/100*a.ap</t>
  </si>
  <si>
    <t>爆燃</t>
  </si>
  <si>
    <t>炎爆术</t>
  </si>
  <si>
    <t>【必杀技】【症状连锁】$y30%$w几率造成$b[500+80*lv]+[(280+10*lv)]%*法术强度$w的火属性魔法伤害</t>
  </si>
  <si>
    <t>500+80*lv+(280+10*lv)/100*a.ap</t>
  </si>
  <si>
    <t>驭火大师</t>
  </si>
  <si>
    <t>热能对流</t>
  </si>
  <si>
    <t>温柔相</t>
  </si>
  <si>
    <t>$y17%$w几率消耗20点法力值回复自己$g[300+200*lv]+[(40+10*lv)]%*法术强度$w的血量</t>
  </si>
  <si>
    <t>300+200*lv+(40+10*lv)/100*a.ap</t>
  </si>
  <si>
    <t>舞王相</t>
  </si>
  <si>
    <t>比那卡</t>
  </si>
  <si>
    <t>600+(60+15*lv)/100*a.ap</t>
  </si>
  <si>
    <t>恐怖相</t>
  </si>
  <si>
    <t>阿贾伽瓦</t>
  </si>
  <si>
    <t>三千世界</t>
  </si>
  <si>
    <t>烈火流星</t>
  </si>
  <si>
    <t>$y17%$w几率造成$r[660+20*lv]+[(460+20*lv)]%*攻击力$w的火属性物理伤害，视为【普通攻击】</t>
  </si>
  <si>
    <t>660+20*lv+(460+20*lv)/100*a.ad</t>
  </si>
  <si>
    <t>冲击波</t>
  </si>
  <si>
    <t>自身【烈火流星】伤害提高[2+2*lv]%并获得[3+0.5*lv]%多重施法</t>
  </si>
  <si>
    <t>天下布武</t>
  </si>
  <si>
    <t>本能寺之怨</t>
  </si>
  <si>
    <t>行动时[2+lv]%几率获得1层【元素强化】，[2+lv]%几率附加1层【灼烧】</t>
  </si>
  <si>
    <t>2+lv</t>
  </si>
  <si>
    <t>装甲强化</t>
  </si>
  <si>
    <t>裂地猛击</t>
  </si>
  <si>
    <t>600+50*lv+(150+12*lv)/100*a.ap</t>
  </si>
  <si>
    <t>火箭重锤</t>
  </si>
  <si>
    <t>$y25%$w几率造成$b[300+30*lv]+[(35+5*lv)]%*护甲+[(35+5*lv)]%*法术强度$w的魔法伤害</t>
  </si>
  <si>
    <t>300+30*lv+(35+5*lv)/100*a.arm+(35+5*lv)/100*a.ap</t>
  </si>
  <si>
    <t>烈焰打击</t>
  </si>
  <si>
    <t>虎痴意志</t>
  </si>
  <si>
    <t>最后一击</t>
  </si>
  <si>
    <t>$y12%$w几率造成$r[175+5*lv]+[(110+10*lv)]%*攻击力$w的物理伤害</t>
  </si>
  <si>
    <t>175+5*lv+(110+8*lv)/100*a.ad</t>
  </si>
  <si>
    <t>暴走</t>
  </si>
  <si>
    <t>弱点探查</t>
  </si>
  <si>
    <t>强化吸血</t>
  </si>
  <si>
    <t>自身【最后一击】回复自己$g[(2+2*lv)]%*自己最大生命值$w的血量</t>
  </si>
  <si>
    <t>超强回复</t>
  </si>
  <si>
    <t>交流电</t>
  </si>
  <si>
    <t>$y17%$w造成$r[118+112*lv]+[13*lv+130]%*攻击力+[(13*lv+90)]%*法术强度$w的物理伤害</t>
  </si>
  <si>
    <t>118+112*lv+(130+13*lv)/100*a.ad+(90+13*lv)/100*a.ap</t>
  </si>
  <si>
    <t>【普通攻击】</t>
  </si>
  <si>
    <t>碳化棉丝灯</t>
  </si>
  <si>
    <t>发明家</t>
  </si>
  <si>
    <t>【吟唱】</t>
  </si>
  <si>
    <t>重隶</t>
  </si>
  <si>
    <t>巧篆</t>
  </si>
  <si>
    <t>120+20*lv+(100+5*lv)/100*a.ap</t>
  </si>
  <si>
    <t>乱草</t>
  </si>
  <si>
    <t>轻行</t>
  </si>
  <si>
    <t>正楷</t>
  </si>
  <si>
    <t>自身【重隶】获得[20+1*lv]%【多重施法】，自身【巧篆】获得[23+3*lv]%吸血</t>
  </si>
  <si>
    <t>再生瞬步</t>
  </si>
  <si>
    <t>【瞬步】获得一层再生</t>
  </si>
  <si>
    <t>战神</t>
  </si>
  <si>
    <t>【必杀技】$y3%$w几率造成$b[10*math.floor(math.pow(3*lv,1.5))+20]+[3+3*lv]%*法术强度$w的魔法伤害，本回合内所有攻击【必定暴击】</t>
  </si>
  <si>
    <t>10*math.floor(math.pow(3*lv,1.5))+20+(3+3*lv)/100*a.ap</t>
  </si>
  <si>
    <t>坚韧</t>
  </si>
  <si>
    <t>勇气</t>
  </si>
  <si>
    <t>审判</t>
  </si>
  <si>
    <t>致命打击</t>
  </si>
  <si>
    <t>地狱诅咒</t>
  </si>
  <si>
    <t>魂引之灯</t>
  </si>
  <si>
    <t>厄运钟摆</t>
  </si>
  <si>
    <t>幽魂监牢</t>
  </si>
  <si>
    <t>受到伤害[11+1*lv]%几率获得5层【暴怒】</t>
  </si>
  <si>
    <t>死亡判决</t>
  </si>
  <si>
    <t>秘术射击</t>
  </si>
  <si>
    <t>$y12%$w几率造成$r[200+100*lv]+[(100+15*lv)]%*法术强度$w的光属性物理伤害，视为【普通攻击】</t>
  </si>
  <si>
    <t>200+100*lv+(100+15*lv)/100*a.ap</t>
  </si>
  <si>
    <t>精准弹幕</t>
  </si>
  <si>
    <t>【必杀技】$y5%$w几率造成$b[200+150*lv]+[(150+30*lv)]%*法术强度$w的光属性魔法伤害</t>
  </si>
  <si>
    <t>200+150*lv+(150+30*lv)/100*a.ap</t>
  </si>
  <si>
    <t>欢乐时光</t>
  </si>
  <si>
    <t>滚动酒桶</t>
  </si>
  <si>
    <t>$y12%$w几率丢出一个酒桶，每回合都有$y15%$w自爆或被其他酒桶引爆，造成$b[200+20*lv]+[(105+15*lv)]%*法术强度$w的魔法伤害并附加1层【虚弱】，每存在1回合【滚动酒桶】伤害增加$y30%</t>
  </si>
  <si>
    <t>200+20*lv+(105+15*lv)/100*a.ap</t>
  </si>
  <si>
    <t>肉弹冲击</t>
  </si>
  <si>
    <t>炼狱鬼斩</t>
  </si>
  <si>
    <t>710+5*lv+(100+10*lv)/100*a.ad</t>
  </si>
  <si>
    <t>心眼</t>
  </si>
  <si>
    <t>真剑</t>
  </si>
  <si>
    <t>魍魉·近藤</t>
  </si>
  <si>
    <t>【控制连锁】30%几率消耗30能量造成$r[100+100*lv]+[(130+30*lv)]%*攻击力$w的物理伤害</t>
  </si>
  <si>
    <t>100+100*lv+(130+30*lv)/100*a.ad</t>
  </si>
  <si>
    <t>魍魉·冲田</t>
  </si>
  <si>
    <t>鬼斧神工</t>
  </si>
  <si>
    <t>$y12%$w几率造成$r[200+100*lv]+[(100+15*lv)]%*攻击力$w的火属性物理伤害</t>
  </si>
  <si>
    <t>200+100*lv+(100+15*lv)/100*a.ad</t>
  </si>
  <si>
    <t>地火</t>
  </si>
  <si>
    <t>千锤</t>
  </si>
  <si>
    <t>百炼</t>
  </si>
  <si>
    <t>万神殿</t>
  </si>
  <si>
    <t>黄金苹果</t>
  </si>
  <si>
    <t>行动时[1+1*lv]%可以获得球，每颗球提高1%吸血，最多9个</t>
  </si>
  <si>
    <t>女神之芳华</t>
  </si>
  <si>
    <t>桃金娘</t>
  </si>
  <si>
    <t>行动时有20%几率消耗掉所有球进行攻击，每颗球造成[2+2*lv]%*法术强度的伤害</t>
  </si>
  <si>
    <t>爱神之吻</t>
  </si>
  <si>
    <t>$y12%$w几率造成$b[100+100*lv]+[(100+40*lv)]%*法术强度$w的魔法伤害，并魅惑一名敌人</t>
  </si>
  <si>
    <t>100+100*lv+(100+40*lv)/100*a.ap</t>
  </si>
  <si>
    <t>国色天香</t>
  </si>
  <si>
    <t>燧发枪</t>
  </si>
  <si>
    <t>船载火炮</t>
  </si>
  <si>
    <t>$y12%$w几率造成$r[160+20*lv]+[(100+15*lv)]%*攻击力$w的物理伤害，视为【普通攻击】</t>
  </si>
  <si>
    <t>160+20*lv+(100+15*lv)/100*a.ad</t>
  </si>
  <si>
    <t>黑火药</t>
  </si>
  <si>
    <t>航海六分仪</t>
  </si>
  <si>
    <t>2.8+0.8*lv</t>
  </si>
  <si>
    <t>弹药强化</t>
  </si>
  <si>
    <t>酷刑</t>
  </si>
  <si>
    <t>烙印之刑</t>
  </si>
  <si>
    <t>行动时[3.8+0.8*lv]%几率附加1层【裂伤】</t>
  </si>
  <si>
    <t>死亡之握</t>
  </si>
  <si>
    <t>$y17%$w消耗10怒气造成$b[200+200*lv]+[(100+15*lv)]%*法术强度$w的魔法伤害，25%几率附加2层【减速】</t>
  </si>
  <si>
    <t>200+200*lv+(100+15*lv)/100*a.ap</t>
  </si>
  <si>
    <t>疯狂之身</t>
  </si>
  <si>
    <t>豪火球</t>
  </si>
  <si>
    <t>$y12%$w几率造成$b[200+20*lv]+[(100+10*lv)]%*法术强度$w的火属性魔法伤害，10%几率附加1层【减速】</t>
  </si>
  <si>
    <t>200+20*lv+(100+10*lv)/100*a.ap</t>
  </si>
  <si>
    <t>火遁·凤仙火</t>
  </si>
  <si>
    <t>150+50*lv+(112+14*lv)/100*a.ap</t>
  </si>
  <si>
    <t>嗜火</t>
  </si>
  <si>
    <t>阴影破坏者</t>
  </si>
  <si>
    <t>焚烧</t>
  </si>
  <si>
    <t>雷切</t>
  </si>
  <si>
    <t>$y12%$w几率消耗40能量造成$r[1200+50*lv]+[(400+15*lv)]%*攻击力$w的光属性物理伤害</t>
  </si>
  <si>
    <t>1200+50*lv+(400+10*lv)/100*a.ad</t>
  </si>
  <si>
    <t>空蝉</t>
  </si>
  <si>
    <t>忍法</t>
  </si>
  <si>
    <t>暗杀</t>
  </si>
  <si>
    <t>秘·千年杀</t>
  </si>
  <si>
    <t>5000+500*lv</t>
  </si>
  <si>
    <t>忍法1</t>
  </si>
  <si>
    <t>自身【雷切】暴击额外恢复30能量</t>
  </si>
  <si>
    <t>雷吼剑</t>
  </si>
  <si>
    <t>影分身</t>
  </si>
  <si>
    <t>雷华</t>
  </si>
  <si>
    <t>兽玉强化</t>
  </si>
  <si>
    <t>能量扩充</t>
  </si>
  <si>
    <t>提高[4+1*lv]点能量上限</t>
  </si>
  <si>
    <t>狩物佛钉</t>
  </si>
  <si>
    <t>三界金猿文殊</t>
  </si>
  <si>
    <t>刀狩令</t>
  </si>
  <si>
    <t>$y15%$w几率消耗80能量造成$r[(900+50*lv)]%*攻击力$w的暗属性物理伤害</t>
  </si>
  <si>
    <t>(900+50*lv)/100*a.ad</t>
  </si>
  <si>
    <t>日轮</t>
  </si>
  <si>
    <t>神采奕奕</t>
  </si>
  <si>
    <t>撒手锏</t>
  </si>
  <si>
    <t>行动时有[3.5+0.5*lv]%几率附加1层【虚弱】，10级后提高3点光属性强化</t>
  </si>
  <si>
    <t>3.5+0.5*lv</t>
  </si>
  <si>
    <t>提炉枪</t>
  </si>
  <si>
    <t>100+50*lv+(104+14*lv)/100*a.ad</t>
  </si>
  <si>
    <t>月光之灵</t>
  </si>
  <si>
    <t>破军之怒</t>
  </si>
  <si>
    <t>雷霆之枪1</t>
  </si>
  <si>
    <t>钢皮</t>
  </si>
  <si>
    <t>狂暴</t>
  </si>
  <si>
    <t>消耗所有怒气，每点怒气提高百分比攻击力</t>
  </si>
  <si>
    <t>鬼哭旋风</t>
  </si>
  <si>
    <t>20%几率造成$r[100+50*lv]+[(104+14*lv)]%*攻击力$w的物理伤害</t>
  </si>
  <si>
    <t>搅碎</t>
  </si>
  <si>
    <t>斩首</t>
  </si>
  <si>
    <t>【症状连锁】消耗20怒气造成$r[(100+50*lv)]%*攻击力$w的物理伤害</t>
  </si>
  <si>
    <t>(100+50*lv)/100*a.ad</t>
  </si>
  <si>
    <t>残暴猛击</t>
  </si>
  <si>
    <t>消耗所有怒气对敌方造成伤害，每点怒气提高伤害</t>
  </si>
  <si>
    <t>战争预知</t>
  </si>
  <si>
    <t>冥水之浸</t>
  </si>
  <si>
    <t>天火之炼</t>
  </si>
  <si>
    <t>不死之身</t>
  </si>
  <si>
    <t>闪电箭</t>
  </si>
  <si>
    <t>$y10%$w几率造成$b[200+20*lv]+[(100+25*lv)]%*法术强度$w的光属性魔法伤害</t>
  </si>
  <si>
    <t>200+20*lv+(100+25*lv)/100*a.ap</t>
  </si>
  <si>
    <t>雷霆一击</t>
  </si>
  <si>
    <t>蓄电</t>
  </si>
  <si>
    <t>每回合提高[0.2+0.2*lv]点光强，释放光属性技能后重置</t>
  </si>
  <si>
    <t>电涌</t>
  </si>
  <si>
    <t>王者审判</t>
  </si>
  <si>
    <t>光属性攻击有[12+8*lv]%几率附加1层【击晕】</t>
  </si>
  <si>
    <t>日炎之息</t>
  </si>
  <si>
    <t>$y10%$w几率造成$b[1000+600*lv]$w的魔法伤害</t>
  </si>
  <si>
    <t>1000+600*lv</t>
  </si>
  <si>
    <t>神圣洗礼</t>
  </si>
  <si>
    <t>$y10%$w几率造成$b[340+10*lv]+[(150+30*lv)]%*法术强度$w的魔法伤害，并附加1层【破防】</t>
  </si>
  <si>
    <t>340+10*lv+(150+30*lv)/100*a.ap</t>
  </si>
  <si>
    <t>天降神火</t>
  </si>
  <si>
    <t>光明庇护</t>
  </si>
  <si>
    <t>光明审判</t>
  </si>
  <si>
    <t>小丑魔术</t>
  </si>
  <si>
    <t>王牌飞剑</t>
  </si>
  <si>
    <t>面具方阵</t>
  </si>
  <si>
    <t>玩具奇观</t>
  </si>
  <si>
    <t>飞沙走石</t>
  </si>
  <si>
    <t>风驰电掣</t>
  </si>
  <si>
    <t>百万重拳</t>
  </si>
  <si>
    <t>$y8%$w几率造成$r[(120+40*lv)]%*攻击力$w的物理伤害</t>
  </si>
  <si>
    <t>(120+40*lv)/100*a.ad</t>
  </si>
  <si>
    <t>浴血之战</t>
  </si>
  <si>
    <t>战斗武装</t>
  </si>
  <si>
    <t>不屈战神</t>
  </si>
  <si>
    <t>血量低于20%时回复[32+7*lv]%*最大生命值的血量</t>
  </si>
  <si>
    <t>(32+7*lv)/100*a.hp</t>
  </si>
  <si>
    <t>骑士之毅</t>
  </si>
  <si>
    <t>自身必定无法暴击，每1%暴击提高自身[4+0.8*lv]点攻击力</t>
  </si>
  <si>
    <t>荣耀之役</t>
  </si>
  <si>
    <t>$y8%$w几率造成$r[(250+10*lv)]%*攻击力$w的火属性物理伤害</t>
  </si>
  <si>
    <t>(250+10*lv)/100*a.ad</t>
  </si>
  <si>
    <t>夺命长枪</t>
  </si>
  <si>
    <t>$y10%$w几率造成$r[(100+25*lv)]%*攻击力$w的光属性物理伤害</t>
  </si>
  <si>
    <t>(100+25*lv)/100*a.ad</t>
  </si>
  <si>
    <t>枪术精通</t>
  </si>
  <si>
    <t>无双枪术</t>
  </si>
  <si>
    <t>誓约胜利之剑</t>
  </si>
  <si>
    <t>石中剑</t>
  </si>
  <si>
    <t>1200+700*lv</t>
  </si>
  <si>
    <t>遥远的理想乡</t>
  </si>
  <si>
    <t>风王结界</t>
  </si>
  <si>
    <t>领导力</t>
  </si>
  <si>
    <t>骑士剑鞘</t>
  </si>
  <si>
    <t>不死之理想乡</t>
  </si>
  <si>
    <t>当受到致命攻击时30%几率免疫直接伤害（一场战斗最多触发2次）</t>
  </si>
  <si>
    <t>迷踪步</t>
  </si>
  <si>
    <t>火瞬拳</t>
  </si>
  <si>
    <t>(50+5*lv)/100*a.ad</t>
  </si>
  <si>
    <t>一拳</t>
  </si>
  <si>
    <t>波动拳</t>
  </si>
  <si>
    <t>10+5*lv</t>
  </si>
  <si>
    <t>迷踪袭</t>
  </si>
  <si>
    <t>诸神回避</t>
  </si>
  <si>
    <t>六韬</t>
  </si>
  <si>
    <t>打神鞭</t>
  </si>
  <si>
    <t>封神榜</t>
  </si>
  <si>
    <t>天选之人</t>
  </si>
  <si>
    <t>地狱血池</t>
  </si>
  <si>
    <t>天空霸邪·魑魅魍魉</t>
  </si>
  <si>
    <t>消耗20点法力值，造成$b[1.2+0.4*lv]%*敌方最大生命值$w的魔法伤害</t>
  </si>
  <si>
    <t>(2+0.8*lv)/100*b.hp</t>
  </si>
  <si>
    <t>自身【天空霸邪】附加$b[60+20*lv]%*法术强度$w的额外魔法伤害</t>
  </si>
  <si>
    <t>转轮法印</t>
  </si>
  <si>
    <t>6+3*lv</t>
  </si>
  <si>
    <t>神目·穿透</t>
  </si>
  <si>
    <t>铁钩手</t>
  </si>
  <si>
    <t>伏特加</t>
  </si>
  <si>
    <t>反击火炮</t>
  </si>
  <si>
    <t>复仇披风</t>
  </si>
  <si>
    <t>130+20*lv+(110+11*lv)/100*a.ap</t>
  </si>
  <si>
    <t>$y8%$w几率造成$r[80+40*lv]+[(100+9*lv)]%*攻击力$w的物理伤害</t>
  </si>
  <si>
    <t>80+40*lv+(100+9*lv)/100*a.ad</t>
  </si>
  <si>
    <t>诡计</t>
  </si>
  <si>
    <t>令牌闪电</t>
  </si>
  <si>
    <t>$y10%$w几率造成$b[100+45*lv]+[(94+6*lv)]%*法术强度$w的魔法伤害</t>
  </si>
  <si>
    <t>100+45*lv+(94+6*lv)/100*a.ap</t>
  </si>
  <si>
    <t>星芒领域</t>
  </si>
  <si>
    <t>强化令牌</t>
  </si>
  <si>
    <t>恶作剧之神</t>
  </si>
  <si>
    <t>雷神之锤</t>
  </si>
  <si>
    <t>(70+4*lv)/100*a.ad+(50+3*lv)/100*a.ap</t>
  </si>
  <si>
    <t>铁手套</t>
  </si>
  <si>
    <t>力量涌动</t>
  </si>
  <si>
    <t>光之勇士</t>
  </si>
  <si>
    <t>雷云风暴</t>
  </si>
  <si>
    <t>万象支配</t>
  </si>
  <si>
    <t>$y8%$w几率造成$b[500+30*lv]+[(110+10*lv)]%法术强度$w的冰属性魔法伤害</t>
  </si>
  <si>
    <t>500+30*lv+(110+10*lv)/100*a.ap</t>
  </si>
  <si>
    <t>万物起源</t>
  </si>
  <si>
    <t>法术涌动</t>
  </si>
  <si>
    <t>诀别</t>
  </si>
  <si>
    <t>行动时[4+0.3*lv]%几率附加1层【虚弱】，[4+0.3*lv]%几率获得1层【威能】</t>
  </si>
  <si>
    <t>4+0.3*lv</t>
  </si>
  <si>
    <t>十之指环</t>
  </si>
  <si>
    <t>堕天使之击</t>
  </si>
  <si>
    <t>骄傲原罪</t>
  </si>
  <si>
    <t>末日降临</t>
  </si>
  <si>
    <t>黑暗契约</t>
  </si>
  <si>
    <t>堕落之力</t>
  </si>
  <si>
    <t>上帝之佑</t>
  </si>
  <si>
    <t>100+30*lv+(80+10*lv)/100*a.ap</t>
  </si>
  <si>
    <t>审判连击</t>
  </si>
  <si>
    <t>一骑当千</t>
  </si>
  <si>
    <t>单刀赴会</t>
  </si>
  <si>
    <t>$y12%$w几率造成$r[100+50*lv]+[210+35*lv]%*攻击力$w的火属性物理伤害</t>
  </si>
  <si>
    <t>100+50*lv+(210+35*lv)/100*a.ad</t>
  </si>
  <si>
    <t>青龙乱舞刃</t>
  </si>
  <si>
    <t>嗜血铁骑</t>
  </si>
  <si>
    <t>武圣之怒</t>
  </si>
  <si>
    <t>横扫千军</t>
  </si>
  <si>
    <t>$y12%$w几率造成$r[800+20*lv]+[330+25*lv]%*攻击力$w的物理伤害</t>
  </si>
  <si>
    <t>800+20*lv+(330+25*lv)/100*a.ad</t>
  </si>
  <si>
    <t>天下无双</t>
  </si>
  <si>
    <t>贪狼</t>
  </si>
  <si>
    <t>方天画戟</t>
  </si>
  <si>
    <t>处决</t>
  </si>
  <si>
    <t>超凡剑术</t>
  </si>
  <si>
    <t>超凡左轮</t>
  </si>
  <si>
    <t>$y12%$w几率造成$b[100+20*lv]+[85+9*lv]%*攻击力+[70+12*lv]%*法术强度$w的火属性魔法伤害</t>
  </si>
  <si>
    <t>100+20*lv+(85+9*lv)/100*a.ad+(70+12*lv)/100*a.ap</t>
  </si>
  <si>
    <t>Z</t>
  </si>
  <si>
    <t>血腥狂舞·回旋</t>
  </si>
  <si>
    <t>260+30*lv+(90+7*lv)/100*a.ap</t>
  </si>
  <si>
    <t>面具</t>
  </si>
  <si>
    <t>致命一击</t>
  </si>
  <si>
    <t>阎魔刀</t>
  </si>
  <si>
    <t>280+20*lv+(135+16*lv)/100*a.ad</t>
  </si>
  <si>
    <t>魔化</t>
  </si>
  <si>
    <t>复仇</t>
  </si>
  <si>
    <t>叛逆之剑</t>
  </si>
  <si>
    <t>创世兵器</t>
  </si>
  <si>
    <t>(200+65*lv)/100*a.ad</t>
  </si>
  <si>
    <t>超究武神霸斩</t>
  </si>
  <si>
    <t>凶斩</t>
  </si>
  <si>
    <t>水盾</t>
  </si>
  <si>
    <t>海神洗礼</t>
  </si>
  <si>
    <t>$y15%$w几率回复$g[500+200*lv]+[30+10*lv]%*法术强度$w的血量</t>
  </si>
  <si>
    <t>500+200*lv+(30+10*lv)/100*a.ap</t>
  </si>
  <si>
    <t>蓝海辉耀</t>
  </si>
  <si>
    <t>2+0.6*lv</t>
  </si>
  <si>
    <t>海之狂热</t>
  </si>
  <si>
    <t>惊涛骇浪</t>
  </si>
  <si>
    <t>搏击</t>
  </si>
  <si>
    <t>$y15%$w几率造成$r[85+25*lv]+[120+10*lv]%*攻击力$w的物理伤害，视为【普通攻击】</t>
  </si>
  <si>
    <t>85+25*lv+(120+10*lv)/100*a.ad</t>
  </si>
  <si>
    <t>$y12%$w几率造成$r[280+25*lv]+[105+12*lv]%*攻击力$w的物理伤害</t>
  </si>
  <si>
    <t>280+25*lv+(105+12*lv)/100*a.ad</t>
  </si>
  <si>
    <t>流电学</t>
  </si>
  <si>
    <t>金刚不坏</t>
  </si>
  <si>
    <t>流电2</t>
  </si>
  <si>
    <t>凝视</t>
  </si>
  <si>
    <t>鲜血之咒</t>
  </si>
  <si>
    <t>庇护</t>
  </si>
  <si>
    <t>胡狼王之怒</t>
  </si>
  <si>
    <t>冥府之握</t>
  </si>
  <si>
    <t>冥府之墙</t>
  </si>
  <si>
    <t>灵魂风暴</t>
  </si>
  <si>
    <t>100+14*lv+(95+12*lv)/100*a.ad+(126+16*lv)/100*a.ap</t>
  </si>
  <si>
    <t>冥府之光</t>
  </si>
  <si>
    <t>暗影笼罩</t>
  </si>
  <si>
    <t>$y100%$w几率造成$r100+100%*攻击力$w的物理伤害</t>
  </si>
  <si>
    <t>100+100/100*a.ad</t>
  </si>
  <si>
    <t>方头</t>
  </si>
  <si>
    <t>血量和体力</t>
  </si>
  <si>
    <t>凶猛挥砍</t>
  </si>
  <si>
    <t>$y17%$w几率造成$r[100+5*lv]%*攻击力$w的物理伤害,$y50%$w几率附加1层【虚弱】</t>
  </si>
  <si>
    <t>(100+5*lv)/100*a.ad</t>
  </si>
  <si>
    <t>战士之怒</t>
  </si>
  <si>
    <t>【弱化连锁】$y33%$w几率造成$r[80+4*lv]%*攻击力$w的物理伤害</t>
  </si>
  <si>
    <t>(80+4*lv)/100*a.ad</t>
  </si>
  <si>
    <t>战意</t>
  </si>
  <si>
    <t>战斗怒吼</t>
  </si>
  <si>
    <t>命令怒吼</t>
  </si>
  <si>
    <t>强效战意</t>
  </si>
  <si>
    <t>特效战意</t>
  </si>
  <si>
    <t>强效战斗怒吼</t>
  </si>
  <si>
    <t>特效战斗怒吼</t>
  </si>
  <si>
    <t>强效命令怒吼</t>
  </si>
  <si>
    <t>特效命令怒吼</t>
  </si>
  <si>
    <t>挥砍</t>
  </si>
  <si>
    <t>$y17%$w几率造成$r[100+2.5*lv]%攻击力$w的物理伤害，$y50%$w几率附加1层【虚弱】</t>
  </si>
  <si>
    <t>(100+2.5*lv)/100*a.ad</t>
  </si>
  <si>
    <t>砍</t>
  </si>
  <si>
    <t>$y17%$w几率造成$r[100+1*lv]%攻击力$w的物理伤害，$y50%$w几率附加1层【重伤】</t>
  </si>
  <si>
    <t>(100+1*lv)/100*a.ad</t>
  </si>
  <si>
    <t>【弱化连锁】$y33%$w几率造成$r[80+2*lv]%*攻击力$w的物理伤害</t>
  </si>
  <si>
    <t>(80+2*lv)/100*a.ad</t>
  </si>
  <si>
    <t>小弟一击</t>
  </si>
  <si>
    <t>【弱化连锁】$y33%$w几率造成$r[60+2*lv]%*攻击力$w的物理伤害</t>
  </si>
  <si>
    <t>(60+2*lv)/100*a.ad</t>
  </si>
  <si>
    <t>奥能强化</t>
  </si>
  <si>
    <t>强效奥能强化</t>
  </si>
  <si>
    <t>特效奥能强化</t>
  </si>
  <si>
    <t>武器强化</t>
  </si>
  <si>
    <t>强效武器强化</t>
  </si>
  <si>
    <t>特效武器强化</t>
  </si>
  <si>
    <t>迅捷</t>
  </si>
  <si>
    <t>强效迅捷</t>
  </si>
  <si>
    <t>特效迅捷</t>
  </si>
  <si>
    <t>强效坚韧</t>
  </si>
  <si>
    <t>特效坚韧</t>
  </si>
  <si>
    <t>破甲</t>
  </si>
  <si>
    <t>强效破甲</t>
  </si>
  <si>
    <t>特效破甲</t>
  </si>
  <si>
    <t>增效</t>
  </si>
  <si>
    <t>强力增效</t>
  </si>
  <si>
    <t>特级增效</t>
  </si>
  <si>
    <t>秘法射击</t>
  </si>
  <si>
    <t>$y17%$w几率造成$b[100+1*lv]%法术强度$w的魔法伤害，$y50%$w几率附加1层【重伤】</t>
  </si>
  <si>
    <t>秘法飞弹</t>
  </si>
  <si>
    <t>$y17%$w几率造成$b[100+2.5*lv]%法术强度$w的魔法伤害，$y50%$w几率附加1层【虚弱】</t>
  </si>
  <si>
    <t>秘法冲击</t>
  </si>
  <si>
    <t>$y17%$w几率造成$b[100+5*lv]%法术强度$w的魔法伤害，$y50%$w几率附加1层【重伤】</t>
  </si>
  <si>
    <t>秘法连击</t>
  </si>
  <si>
    <t>【弱化连锁】$y33%$w几率造成$b[60+2*lv]%*法术强度$w的魔法伤害</t>
  </si>
  <si>
    <t>高级秘法连击</t>
  </si>
  <si>
    <t>特级秘法连击</t>
  </si>
  <si>
    <t>【弱化连锁】$y33%$w几率造成$b[80+4*lv]%*法术强度$w的魔法伤害</t>
  </si>
  <si>
    <t>精准射击</t>
  </si>
  <si>
    <t>$y17%$w几率造成$r[100+1*lv]%*攻击力$w的物理伤害，视为【普通攻击】</t>
  </si>
  <si>
    <t>弹幕射击</t>
  </si>
  <si>
    <t>$y17%$w几率造成$r[100+2.5*lv]%*攻击力$w的物理伤害，视为【普通攻击】</t>
  </si>
  <si>
    <t>爆裂射击</t>
  </si>
  <si>
    <t>$y17%$w几率造成$r[100+5*lv]%*攻击力$w的物理伤害，视为【普通攻击】</t>
  </si>
  <si>
    <t>百发百中</t>
  </si>
  <si>
    <t>射击大师</t>
  </si>
  <si>
    <t>风之子</t>
  </si>
  <si>
    <t>闪电冲击</t>
  </si>
  <si>
    <t>【必杀技】$y17%$w几率造成$r[120+2*lv]%*攻击力$w的物理伤害</t>
  </si>
  <si>
    <t>(120+2*lv)/100*a.ad</t>
  </si>
  <si>
    <t>雷霆践踏</t>
  </si>
  <si>
    <t>【必杀技】$y17%$w几率造成$r[130+4*lv]%*攻击力$w的物理伤害</t>
  </si>
  <si>
    <t>(130+4*lv)/100*a.ad</t>
  </si>
  <si>
    <t>风暴涌动</t>
  </si>
  <si>
    <t>【必杀技】$y17%$w几率造成$r[150+6*lv]%*攻击力$w的物理伤害</t>
  </si>
  <si>
    <t>(150+6*lv)/100*a.ad</t>
  </si>
  <si>
    <t>$y17%$w几率造成$b[100+1*lv]%法术强度$w的魔法伤害，$y50%$w几率造成【重伤】</t>
  </si>
  <si>
    <t>$y17%$w几率造成$b[100+2.5*lv]%法术强度$w的魔法伤害，$y50%$w几率造成【虚弱】</t>
  </si>
  <si>
    <t>$y17%$w几率造成$b[100+5*lv]%法术强度$w的魔法伤害，$y50%$w几率造成【重伤】</t>
  </si>
  <si>
    <t>英勇意念</t>
  </si>
  <si>
    <t>提高法术穿透数值相当于[0.5+0.3*lv]%的攻击力，提高护甲穿透数值相当于[0.5+0.3*lv]%的法术强度。</t>
  </si>
  <si>
    <t>无情乱打</t>
  </si>
  <si>
    <t>原谅她</t>
  </si>
  <si>
    <t>神圣箭弩</t>
  </si>
  <si>
    <t>【普通攻击】造成$o[(0.1+0.1*lv)]%*敌方最大生命值$w的真实伤害</t>
  </si>
  <si>
    <t>奥能闪现</t>
  </si>
  <si>
    <t>$y12%$w几率造成$b[180+15*lv]+[(100+2*lv)]%*法术强度$w的魔法伤害，提高[(400+20*lv)]点精神持续1回合，50%几率附加1层【重伤】</t>
  </si>
  <si>
    <t>180+15*lv+(100+2*lv)/100*a.ap</t>
  </si>
  <si>
    <t>国王标记</t>
  </si>
  <si>
    <t>女王复仇</t>
  </si>
  <si>
    <t>方块冲击</t>
  </si>
  <si>
    <t>$y15%$w几率造成$r[110+15*lv]+[85+9*lv]%*攻击力$w的物理伤害</t>
  </si>
  <si>
    <t>110+15*lv+(85+9*lv)/100*a.ad</t>
  </si>
  <si>
    <t>来自北方的礼物</t>
  </si>
  <si>
    <t>方之世界</t>
  </si>
  <si>
    <t>大福弹射</t>
  </si>
  <si>
    <t>$y12%$w几率造成$b[75+17*lv]+[50+5*lv]%*攻击力$w的魔法伤害</t>
  </si>
  <si>
    <t>75+17*lv+(50+5*lv)/100*a.ad</t>
  </si>
  <si>
    <t>黄金大福</t>
  </si>
  <si>
    <t>大福派送</t>
  </si>
  <si>
    <t>大福世界</t>
  </si>
  <si>
    <t>福</t>
  </si>
  <si>
    <t>3+2*lv</t>
  </si>
  <si>
    <t>瞎几把打</t>
  </si>
  <si>
    <t>塑料回收</t>
  </si>
  <si>
    <t>重构</t>
  </si>
  <si>
    <t>塑料勇士</t>
  </si>
  <si>
    <t>被攻击时$y[6+lv]%$w几率附加2层【裂伤】</t>
  </si>
  <si>
    <t>高分粒子炮</t>
  </si>
  <si>
    <t>60+20*lv+(100+200*lv)/100*a.ad</t>
  </si>
  <si>
    <t>键盘之力</t>
  </si>
  <si>
    <t>编包</t>
  </si>
  <si>
    <t>指令序列</t>
  </si>
  <si>
    <t>源代码</t>
  </si>
  <si>
    <t>5+lv</t>
  </si>
  <si>
    <t>终极编程术</t>
  </si>
  <si>
    <t>挖金矿</t>
  </si>
  <si>
    <t>$y12%$w几率造成$b[70+19*lv]+[90+6*lv]%*法术强度$w的魔法伤害</t>
  </si>
  <si>
    <t>70+19*lv+(90+6*lv)/100*a.ap</t>
  </si>
  <si>
    <t>放炸弹</t>
  </si>
  <si>
    <t>3+lv</t>
  </si>
  <si>
    <t>淘金狂热</t>
  </si>
  <si>
    <t>幸运</t>
  </si>
  <si>
    <t>大力士</t>
  </si>
  <si>
    <t>水上作战</t>
  </si>
  <si>
    <t>7+lv</t>
  </si>
  <si>
    <t>孤注一掷</t>
  </si>
  <si>
    <t>海洋之心</t>
  </si>
  <si>
    <t>开拓者</t>
  </si>
  <si>
    <t>背后突袭</t>
  </si>
  <si>
    <t>$y12%$w几率造成$r[75+18*lv]+[101+8*lv]%*攻击力$w的物理伤害</t>
  </si>
  <si>
    <t>75+18*lv+(101+8*lv)/100*a.ad</t>
  </si>
  <si>
    <t>气息遮蔽</t>
  </si>
  <si>
    <t>决心</t>
  </si>
  <si>
    <t>解剖学</t>
  </si>
  <si>
    <t>血与毒药</t>
  </si>
  <si>
    <t>4+2*lv</t>
  </si>
  <si>
    <t>雨林作战教学</t>
  </si>
  <si>
    <t>林之毒</t>
  </si>
  <si>
    <t>输出靠吼</t>
  </si>
  <si>
    <t>箭毒长矛</t>
  </si>
  <si>
    <t>$y15%$w几率造成$b[80+25*lv]+[120+15*lv]%*法术强的$w的魔法伤害</t>
  </si>
  <si>
    <t>80+25*lv+(120+15*lv)/100*a.ap</t>
  </si>
  <si>
    <t>大河之主</t>
  </si>
  <si>
    <t>让别人知道，只有亚马逊人才是这条河的主人！</t>
  </si>
  <si>
    <t>嘲讽脸</t>
  </si>
  <si>
    <t>一击</t>
  </si>
  <si>
    <t>$y15%$w几率造成$r[78+18*lv]+[99+6*lv]%*攻击力$w的物理伤害</t>
  </si>
  <si>
    <t>78+18*lv+(99+6*lv)/100*a.ad</t>
  </si>
  <si>
    <t>跑得快</t>
  </si>
  <si>
    <t>心理训练</t>
  </si>
  <si>
    <t>外星射线</t>
  </si>
  <si>
    <t>$y12%$w几率造成$b[70+16*lv]+[84+5*lv]%*法术强度$w的魔法伤害</t>
  </si>
  <si>
    <t>70+16*lv+(84+5*lv)/100*a.ap</t>
  </si>
  <si>
    <t>飞碟侦查</t>
  </si>
  <si>
    <t>智能</t>
  </si>
  <si>
    <t>未来视</t>
  </si>
  <si>
    <t>灵魂连接</t>
  </si>
  <si>
    <t>扔酒瓶</t>
  </si>
  <si>
    <t>70+16*lv+(84+4*lv)/100*a.ad</t>
  </si>
  <si>
    <t>拍板砖</t>
  </si>
  <si>
    <t>恐吓</t>
  </si>
  <si>
    <t>街巷战术</t>
  </si>
  <si>
    <t>大哥之心</t>
  </si>
  <si>
    <t>自身【扔酒瓶】附加$r[0.5+0.1*lv]%*敌方最大生命值$w的伤害</t>
  </si>
  <si>
    <t>$y12%$w几率造成$b[70+16*lv]+[84+4*lv]%*法术强度$w的魔法伤害</t>
  </si>
  <si>
    <t>70+16*lv+(84+4*lv)/100*a.ap</t>
  </si>
  <si>
    <t>伪魅惑</t>
  </si>
  <si>
    <t>吓牛</t>
  </si>
  <si>
    <t>音波功</t>
  </si>
  <si>
    <t>优雅</t>
  </si>
  <si>
    <t>行动中透着优雅~</t>
  </si>
  <si>
    <t>骚</t>
  </si>
  <si>
    <t>行动时5%几率获得1层【迅捷】</t>
  </si>
  <si>
    <t>剧毒之触</t>
  </si>
  <si>
    <t>行动时5%几率附加1层【中毒】</t>
  </si>
  <si>
    <t>惊吓</t>
  </si>
  <si>
    <t>行动时5%几率附加1层【重伤】</t>
  </si>
  <si>
    <t>钱壁</t>
  </si>
  <si>
    <t>提高1%pvp减伤</t>
  </si>
  <si>
    <t>烈阳</t>
  </si>
  <si>
    <t>炽阳</t>
  </si>
  <si>
    <t>龙之力</t>
  </si>
  <si>
    <t>行动时5%几率获得1层【神圣之光】</t>
  </si>
  <si>
    <t>疾火</t>
  </si>
  <si>
    <t>行动时5%几率伤害变为火属性，持续1回合</t>
  </si>
  <si>
    <t>蓝冰</t>
  </si>
  <si>
    <t>行动时5%几率伤害变为冰属性，持续1回合</t>
  </si>
  <si>
    <t>耀光</t>
  </si>
  <si>
    <t>女神的微笑</t>
  </si>
  <si>
    <t>不洁</t>
  </si>
  <si>
    <t>火绳铳</t>
  </si>
  <si>
    <t>阿瓦隆加护</t>
  </si>
  <si>
    <t>束缚击</t>
  </si>
  <si>
    <t>网络异常</t>
  </si>
  <si>
    <t>行动时有8%几率提高10点暗属性强化</t>
  </si>
  <si>
    <t>【暗影炸弹】伤害提高15%</t>
  </si>
  <si>
    <t>【暗影炸弹】的暴击几率提高20%</t>
  </si>
  <si>
    <t>行动时15%几率提高1500速度，持续3回合</t>
  </si>
  <si>
    <t>【暗影炸弹】还会回复0.5%最大生命值</t>
  </si>
  <si>
    <t>行动时提高0.2%多重施法</t>
  </si>
  <si>
    <t>提高0.5%闪避率</t>
  </si>
  <si>
    <t>被攻击时有1%几率回复50%最大生命值</t>
  </si>
  <si>
    <t>提高10%所有伤害，行动时有8%几率获得2层【裂伤】</t>
  </si>
  <si>
    <t>行动时有8%几率获得2层【裂伤】</t>
  </si>
  <si>
    <t>行动时附加1层【减速】</t>
  </si>
  <si>
    <t>行动时偷取10点精神</t>
  </si>
  <si>
    <t>暴击时获得3层【吸血鬼】</t>
  </si>
  <si>
    <t>行动时附加敌方7%护甲和7%魔抗的伤害</t>
  </si>
  <si>
    <t>行动时有15%几率获得1层【再生】</t>
  </si>
  <si>
    <t>暴击时回复3%最大生命值</t>
  </si>
  <si>
    <t>行动时获得1层【吸血鬼】</t>
  </si>
  <si>
    <t>被攻击时有15%几率获得1层【迅捷】</t>
  </si>
  <si>
    <t>攻击附加2000点额外伤害</t>
  </si>
  <si>
    <t>【审判之锤】获得50%额外生命偷取</t>
  </si>
  <si>
    <t>【审判之锤】暴击率提高20%</t>
  </si>
  <si>
    <t>【审判之锤】会附加1%最大生命值的伤害</t>
  </si>
  <si>
    <t>斗皇之心</t>
  </si>
  <si>
    <t>提高100点护甲，魔抗</t>
  </si>
  <si>
    <t>冒险家第4层技能lv+2</t>
  </si>
  <si>
    <t>【怒击】lv+3</t>
  </si>
  <si>
    <t>【怒击】攻击时附加100%ad的伤害</t>
  </si>
  <si>
    <t>【怒击】获得3层【暴怒】，3层【威能】</t>
  </si>
  <si>
    <t>提高20点力量，智力，体力，精神</t>
  </si>
  <si>
    <t>提高10点全属性强化和全抗性强化</t>
  </si>
  <si>
    <t>【暴乱吸血鬼】lv+2</t>
  </si>
  <si>
    <t>【割碎伤口】lv+2</t>
  </si>
  <si>
    <t>【灭杀】lv+3</t>
  </si>
  <si>
    <t>提高20%暴击伤害</t>
  </si>
  <si>
    <t>每1点暗属性抗性提升1点暗属性强化</t>
  </si>
  <si>
    <t>提高5%附加伤害</t>
  </si>
  <si>
    <t>【普通攻击】提高500点物穿</t>
  </si>
  <si>
    <t>【火力弹幕】lv+1，【射手姿态】lv+1</t>
  </si>
  <si>
    <t>【普通攻击】提高15%附加伤害</t>
  </si>
  <si>
    <t>【风怒打击】lv+3</t>
  </si>
  <si>
    <t>【风怒打击】提高20%暴击率</t>
  </si>
  <si>
    <t>行动时，有5%几率释放【风怒打击】</t>
  </si>
  <si>
    <t>提高5%所有伤害</t>
  </si>
  <si>
    <t>被攻击时获得1层【保护】，附加1层【减速】</t>
  </si>
  <si>
    <t>所有射手英雄全技能lv+1</t>
  </si>
  <si>
    <t>提高15点全属性强化</t>
  </si>
  <si>
    <t>提高15点全抗性强化</t>
  </si>
  <si>
    <t>大法师第1层技能lv+2</t>
  </si>
  <si>
    <t>【奥术球】lv+3</t>
  </si>
  <si>
    <t>连锁技能伤害提高30%</t>
  </si>
  <si>
    <t>【大法师形态】lv+3</t>
  </si>
  <si>
    <t>降低敌人10点全抗性强化</t>
  </si>
  <si>
    <t>提高10%所有伤害</t>
  </si>
  <si>
    <t>大法师第6层技能lv+1</t>
  </si>
  <si>
    <t>【回复糖果】lv+3</t>
  </si>
  <si>
    <t>【疯狂炼金师】lv+3</t>
  </si>
  <si>
    <t>提高15%治疗效果</t>
  </si>
  <si>
    <t>炼金师第1层技能lv+3</t>
  </si>
  <si>
    <t>提高30%持续伤害</t>
  </si>
  <si>
    <t>【凶兆】发动时附加1层【流血】，【中毒】，【灼烧】</t>
  </si>
  <si>
    <t>提高10%回避率</t>
  </si>
  <si>
    <t>每回合损失1%最大生命值，提高10%所有伤害</t>
  </si>
  <si>
    <t>【天兆】：每回合50%几率回复15%最大生命值，50%几率损失5%最大生命值</t>
  </si>
  <si>
    <t>提高3%治疗效果</t>
  </si>
  <si>
    <t>提高2%所有伤害</t>
  </si>
  <si>
    <t>攻击时有20%几率释放【暗影炸弹】，造成5000点暗属性魔法伤害</t>
  </si>
  <si>
    <t>5000暗影</t>
  </si>
  <si>
    <t>提高20点暗属性强化</t>
  </si>
  <si>
    <t>提高15%暴击伤害</t>
  </si>
  <si>
    <t>【怒火聚焦】lv+5</t>
  </si>
  <si>
    <t>行动时有10%几率释放【地狱之炎】，造成2%当前生命值的火属性魔法伤害</t>
  </si>
  <si>
    <t>2%当前生命值火焰魔法</t>
  </si>
  <si>
    <t>0.02*b.cur_hp</t>
  </si>
  <si>
    <t>【痛苦无常】lv+5</t>
  </si>
  <si>
    <t>【弱化连锁】40%概率造成敌方20%已损生命值的暗属性魔法伤害</t>
  </si>
  <si>
    <t>0.2*b.losehp</t>
  </si>
  <si>
    <t>行动时附加敌方5%当前生命值的伤害</t>
  </si>
  <si>
    <t>行动时20%几率附加1层【虚弱】</t>
  </si>
  <si>
    <t>死灵术士第5层技能lv+3</t>
  </si>
  <si>
    <t>【转甲】lv+5</t>
  </si>
  <si>
    <t>提高2%治疗效果</t>
  </si>
  <si>
    <t>【再生之力】lv+3</t>
  </si>
  <si>
    <t>吟游诗人第一层技能lv+4</t>
  </si>
  <si>
    <t>提高30点力量，智力，体力，精神</t>
  </si>
  <si>
    <t>所有勇者英雄全技能lv+2</t>
  </si>
  <si>
    <t>所有战士英雄全技能lv+2</t>
  </si>
  <si>
    <t>所有射手英雄全技能lv+2</t>
  </si>
  <si>
    <t>所有坦克英雄全技能lv+2</t>
  </si>
  <si>
    <t>所有刺客英雄全技能lv+2</t>
  </si>
  <si>
    <t>所有法师英雄全技能lv+2</t>
  </si>
  <si>
    <t>所有辅助英雄全技能lv+2</t>
  </si>
  <si>
    <t>提高100点力量，智力，体力，精神</t>
  </si>
  <si>
    <t>提高5000点速度</t>
  </si>
  <si>
    <t>行动时10%几率提高2000点速度</t>
  </si>
  <si>
    <t>提高100点全属性强化</t>
  </si>
  <si>
    <t>行动时5%几率提高10点全属性强化</t>
  </si>
  <si>
    <t>提高25%暴击率</t>
  </si>
  <si>
    <t>所有英雄1,2,3技能lv+5</t>
  </si>
  <si>
    <t>所有英雄4,5技能lv+3</t>
  </si>
  <si>
    <t>提高15%闪避率</t>
  </si>
  <si>
    <t>被攻击时，提高1%回避率，持续5回合</t>
  </si>
  <si>
    <t>提高15%附加伤害</t>
  </si>
  <si>
    <t>提高15%所有伤害</t>
  </si>
  <si>
    <t>提高200点体力和精神</t>
  </si>
  <si>
    <t>提高3000点血量</t>
  </si>
  <si>
    <t>提高40%治疗效果</t>
  </si>
  <si>
    <t>每回合回复5%最大生命值</t>
  </si>
  <si>
    <t>提高1500点护甲穿透和法术穿透</t>
  </si>
  <si>
    <t>行动时降低敌方30点护甲和魔抗</t>
  </si>
  <si>
    <t>提高20%暴击</t>
  </si>
  <si>
    <t>提高30%pvp减伤</t>
  </si>
  <si>
    <t>聪聪君的祈福</t>
  </si>
  <si>
    <t>随机获得1-5种buff：1.提高50点力量，智力，体力，精神 2.提高10%暴击，10%暴击伤害 3.提高5000点速度 4.提高50点全属性强化 5.提高10%命中率和闪避率</t>
  </si>
  <si>
    <t>超电磁炮</t>
  </si>
  <si>
    <t>魔神之怒</t>
  </si>
  <si>
    <t>发动回合提高150队伍法术强度</t>
  </si>
  <si>
    <t>献祭仪式</t>
  </si>
  <si>
    <t>冷却时提高15%吸血</t>
  </si>
  <si>
    <t>动能打击</t>
  </si>
  <si>
    <t>发动回合提高250点护甲穿透</t>
  </si>
  <si>
    <t>百豪之术</t>
  </si>
  <si>
    <t>风之流动</t>
  </si>
  <si>
    <t>战神强袭</t>
  </si>
  <si>
    <t>500+80*lv+(100+15*lv)/100*a.ad</t>
  </si>
  <si>
    <t>20+3*lv</t>
  </si>
  <si>
    <t>提高[40+18*lv]点队伍攻击力</t>
  </si>
  <si>
    <t>提高[2+0.9*lv]%吸血</t>
  </si>
  <si>
    <t>生命值低于30%时，提高[10+2*lv]%吸血</t>
  </si>
  <si>
    <t>攻击附加[(10+2*lv)]%攻击力的伤害</t>
  </si>
  <si>
    <t>暴乱吸血鬼</t>
  </si>
  <si>
    <t>行动时[2+0.9*lv]%几率获得3层【吸血鬼】</t>
  </si>
  <si>
    <t>渴求鲜血</t>
  </si>
  <si>
    <t>【吟唱】，本回合提高[20+4*lv]%治疗效果和[10+lv]%吸血，并附加2层流血</t>
  </si>
  <si>
    <t>无尽愤怒</t>
  </si>
  <si>
    <t>提高[10+2*lv]点怒气上限</t>
  </si>
  <si>
    <t>至死不渝</t>
  </si>
  <si>
    <t>提高[100+20*lv]点护甲穿透，[2+0.4*lv]%暴击</t>
  </si>
  <si>
    <t>灭杀</t>
  </si>
  <si>
    <t>暴击时可以灭杀（伤害提高20倍）血量少于[4+0.3*lv]%的对手（PVE效果降低为1/2）</t>
  </si>
  <si>
    <t>敌方生命值高于80%，暴击伤害提高[15+3*lv]%</t>
  </si>
  <si>
    <t>$y60%$w几率造成$r[300+50*lv]+[(100+5*lv)]%*攻击力$w的物理伤害，视为【普通攻击】，风怒自带50%多重施法</t>
  </si>
  <si>
    <t>300+50*lv+(100+5*lv)/100*a.ad</t>
  </si>
  <si>
    <t>提高[200+90*lv]点速度</t>
  </si>
  <si>
    <t>【普通攻击】[3+1.35*lv]%几率附加3层【重伤】</t>
  </si>
  <si>
    <t>提高[100+45*lv]点护甲穿透</t>
  </si>
  <si>
    <t>提高[3+1.35*lv]%暴击伤害</t>
  </si>
  <si>
    <t>【普通攻击】[3+1.35*lv]%几率附加3层【流血】</t>
  </si>
  <si>
    <t>【普通攻击】减少敌方[20+4*lv]点护甲,15%几率提高[60*lv+300]点速度</t>
  </si>
  <si>
    <t>提高[100+45*lv]点速度，提高[10*lv]点队伍攻击力</t>
  </si>
  <si>
    <t>【风怒打击】提高[120+54*lv]点速度，10级，20级各获得1层【迅捷】</t>
  </si>
  <si>
    <t>迅捷如风1</t>
  </si>
  <si>
    <t>迅捷如风2</t>
  </si>
  <si>
    <t>【普通攻击】获得[2.2+0.99*lv]%吸血</t>
  </si>
  <si>
    <t>提高[2+0.9*lv]%治疗效果</t>
  </si>
  <si>
    <t>开局3回合，护甲穿透提高[300+60*lv]点，速度提高[600+120*lv]点</t>
  </si>
  <si>
    <t>光、暗强化提高[2*lv]点</t>
  </si>
  <si>
    <t>奥术球</t>
  </si>
  <si>
    <t>$y60%$w几率造成$b[600+240*lv]+[25*lv]%*法术强度$w的魔法伤害，50%几率附加1层【破防】</t>
  </si>
  <si>
    <t>600+240*lv+25*lv/100*a.ap</t>
  </si>
  <si>
    <t>【弱化连锁】$y30%$w几率造成$b[100+10*lv]+[(200+10*lv)]%*法术强度$w的魔法伤害</t>
  </si>
  <si>
    <t>100+10*lv+(200+10*lv)/100*a.ap</t>
  </si>
  <si>
    <t>提高[1+0.45*lv]%多重施法</t>
  </si>
  <si>
    <t>每次行动提高本回合[40+10*lv]点队伍法术强度</t>
  </si>
  <si>
    <t>法师屏障</t>
  </si>
  <si>
    <t>提高[100+16*lv]点体力</t>
  </si>
  <si>
    <t>加速护甲</t>
  </si>
  <si>
    <t>提高[60+22*lv]速度和[90+33*lv]点护甲</t>
  </si>
  <si>
    <t>提高[100+45*lv]点魔抗</t>
  </si>
  <si>
    <t>能量护盾</t>
  </si>
  <si>
    <t>大法师形态</t>
  </si>
  <si>
    <t>【吟唱】降低10000点速度，降低100%暴击，提高[50+5*lv]%伤害，所有技能不再消耗资源，持续3回合</t>
  </si>
  <si>
    <t>法术精研</t>
  </si>
  <si>
    <t>提高[100+45*lv]点法术穿透</t>
  </si>
  <si>
    <t>提高[40+28*lv]点力量</t>
  </si>
  <si>
    <t>尖刺护甲</t>
  </si>
  <si>
    <t>被攻击时[2+0.9*lv]%几率附加2层【裂伤】</t>
  </si>
  <si>
    <t>护甲专精</t>
  </si>
  <si>
    <t>一鼓作气</t>
  </si>
  <si>
    <t>荆棘护甲</t>
  </si>
  <si>
    <t>被攻击时[2+0.9*lv]%几率获得2层【荆棘】</t>
  </si>
  <si>
    <t>再而衰</t>
  </si>
  <si>
    <t>被攻击时[2+0.9*lv]%几率获得1层【再生】</t>
  </si>
  <si>
    <t>每10000点护甲，提高[1+0.45*lv]%治疗效果</t>
  </si>
  <si>
    <t>每10000点护甲，提高[0.5+0.225*lv]%多重施法</t>
  </si>
  <si>
    <t>强化转甲</t>
  </si>
  <si>
    <t>三而竭</t>
  </si>
  <si>
    <t>生命值低于25%时，提高[400+80*lv]点护甲和魔抗</t>
  </si>
  <si>
    <t>充能转甲</t>
  </si>
  <si>
    <t>被攻击提高[15+1*lv]点护甲和魔抗，最多叠加100层</t>
  </si>
  <si>
    <t>提高[10*lv]点队伍攻击力和[60+22*lv]点护甲穿透</t>
  </si>
  <si>
    <t>提高[10*lv]点队伍法术强度和[60+22*lv]点法术穿透</t>
  </si>
  <si>
    <t>前6回合每回合回复[1.2+0.24*lv]%最大生命值</t>
  </si>
  <si>
    <t>行动时[2+0.9*lv]%几率附加2层【重伤】</t>
  </si>
  <si>
    <t>40+2*lv</t>
  </si>
  <si>
    <t>行动时45%几率减少目标[55+4*lv]护甲和魔抗</t>
  </si>
  <si>
    <t>6回合开始，伤害提高[15+1*lv]%</t>
  </si>
  <si>
    <t>提高[100+45*lv]点护甲穿透和法术穿透</t>
  </si>
  <si>
    <t>前6回合提高[7+1.4*lv]%吸血</t>
  </si>
  <si>
    <t>生命值低于50%时，提高[7+1.4*lv]%治疗效果</t>
  </si>
  <si>
    <t>【怒火聚焦】使用后伤害和治疗效果提高[1+0.1*lv]%</t>
  </si>
  <si>
    <t>命运之骰</t>
  </si>
  <si>
    <t>敌方生命值高于80%，造成伤害提高[10+2*lv]%</t>
  </si>
  <si>
    <t>$y50%$w几率造成$r[1000+300*lv]$w的物理伤害</t>
  </si>
  <si>
    <t>1000+300*lv</t>
  </si>
  <si>
    <t>提高[20*lv]点队伍攻击力</t>
  </si>
  <si>
    <t>提高[20*lv]点队伍法术强度</t>
  </si>
  <si>
    <t>连锁技能暴击伤害提高[9+1.8*lv]%</t>
  </si>
  <si>
    <t>提高[90+33*lv]点护甲和魔抗</t>
  </si>
  <si>
    <t>行动时[10+0.5*lv]%几率获得1层【再生】</t>
  </si>
  <si>
    <t>10+0.5*lv</t>
  </si>
  <si>
    <t>生命值高于80%，治疗效果提高[6+2.7*lv]%</t>
  </si>
  <si>
    <t>烹饪大餐</t>
  </si>
  <si>
    <t>行动时[5+1*lv]%几率附加2层【重伤】</t>
  </si>
  <si>
    <t>提高[20+2*lv]%持续伤害</t>
  </si>
  <si>
    <t>提高[40+28*lv]点智力</t>
  </si>
  <si>
    <t>行动时[3+1.35*lv]%几率附加2层【破防】</t>
  </si>
  <si>
    <t>降低敌人[2+0.9*lv]%的治疗效果</t>
  </si>
  <si>
    <t>0.33+0.15*lv</t>
  </si>
  <si>
    <t>偷取敌人[1+0.45*lv]%吸血</t>
  </si>
  <si>
    <t>提高[100+15*lv]点队伍法术强度</t>
  </si>
  <si>
    <t>提高[100+15*lv]点队伍攻击力</t>
  </si>
  <si>
    <t>组合技中，伤害提高[2+lv]%</t>
  </si>
  <si>
    <t>提高[200+10*lv]点队伍攻击力</t>
  </si>
  <si>
    <t>提高[200+10*lv]点队伍法术强度</t>
  </si>
  <si>
    <t>被攻击时[3+1.35*lv]%几率获得1层【元素强化】</t>
  </si>
  <si>
    <t>生命值低于30%时，提高[10+2*lv]%治疗效果</t>
  </si>
  <si>
    <t>$y15%$w几率消耗20点法力值回复自己$g[2000+100*lv]$w的血量</t>
  </si>
  <si>
    <t>回春1</t>
  </si>
  <si>
    <t>提高[100+45*lv]点速度，提高[50+8*lv]点体力</t>
  </si>
  <si>
    <t>提高[1+0.2*lv]%多重施法，提高[1+0.45*lv]%吸血</t>
  </si>
  <si>
    <t>行动时[3+1.35*lv]%附加2层【虚弱】</t>
  </si>
  <si>
    <t>提高[1+1.2*lv]%治疗效果</t>
  </si>
  <si>
    <t>提高[100+45*lv]点双穿</t>
  </si>
  <si>
    <t>提高[1*lv]点怒气，能量，法力上限</t>
  </si>
  <si>
    <t>$y25%$w几率回复$g[1000+50*lv]$w血量并获得2层【再生】</t>
  </si>
  <si>
    <t>1000+50*lv</t>
  </si>
  <si>
    <t>【吟唱】，本回合获得[2*lv]%暴击，[20+2*lv]%暴击伤害</t>
  </si>
  <si>
    <t>提高[3+0.6*lv]%暴击，提高[0.8+0.36*lv]%暴伤</t>
  </si>
  <si>
    <t>【热血糖果】[20+4*lv]%几率获得5层【迅捷】</t>
  </si>
  <si>
    <t>行动时2%几率进入【吉兆】状态，本回合提高[6+3*lv]%吸血和[6+3*lv]%暴击伤害</t>
  </si>
  <si>
    <t>提高[1+0.2*lv]%回合生命恢复，[1+0.2*lv]%多重施法</t>
  </si>
  <si>
    <t>行动时2%几率使敌方进入【凶兆】状态，本回合减少[6+3*lv]%治疗效果和[6+3*lv]%暴击伤害</t>
  </si>
  <si>
    <t>能量灌注1</t>
  </si>
  <si>
    <t>每回合连锁+1，伤害降低[45-2*lv]%</t>
  </si>
  <si>
    <t>【吟唱】，下3个冰霜技能伤害提高[3+1.35*lv]%</t>
  </si>
  <si>
    <t>【吟唱】，下3个火焰技能附加[3+1.5*lv]%伤害</t>
  </si>
  <si>
    <t>【吟唱】，下3个光系技能获得[3+1.35*lv]%吸血</t>
  </si>
  <si>
    <t>提高[100+45*lv]点护甲</t>
  </si>
  <si>
    <t>贤者的叙述诗1</t>
  </si>
  <si>
    <t>军神的赞美诗1</t>
  </si>
  <si>
    <t>魔界的安魂曲1</t>
  </si>
  <si>
    <t>提高[100+45*lv]点队伍攻击力</t>
  </si>
  <si>
    <t>提高[100+45*lv]点队伍法术强度</t>
  </si>
  <si>
    <t>超速之歌1</t>
  </si>
  <si>
    <t>意气风发1</t>
  </si>
  <si>
    <t>意气风发2</t>
  </si>
  <si>
    <t>吸血鬼之歌1</t>
  </si>
  <si>
    <t>100*lv+(90+25*lv)/100*a.ad</t>
  </si>
  <si>
    <t>冰冻感染</t>
  </si>
  <si>
    <t>造成$r[100*lv]+[90+30*lv]%*攻击力$w的冰属性物理伤害，30%几率附加三层【中毒】</t>
  </si>
  <si>
    <t>伤口加深</t>
  </si>
  <si>
    <t>感染</t>
  </si>
  <si>
    <t>造成$r[100*lv]+[90+30*lv]%*攻击力$w的物理伤害，30%几率附加三层【中毒】</t>
  </si>
  <si>
    <t>尸毒</t>
  </si>
  <si>
    <t>每次攻击会使敌方受到的持续伤害提高[15+5*lv]%</t>
  </si>
  <si>
    <t>灵魂撞击</t>
  </si>
  <si>
    <t>造成$r[100*lv]+[90+35*lv]%*攻击力$w的物理伤害</t>
  </si>
  <si>
    <t>腥红收割</t>
  </si>
  <si>
    <t>100*lv+(90+30*lv)/100*a.ap</t>
  </si>
  <si>
    <t>淬毒长矛</t>
  </si>
  <si>
    <t>造成$r[100*lv]+[90+30*lv]%*攻击力$w的暗属性物理伤害，30%附加三层【中毒】</t>
  </si>
  <si>
    <t>鲜血传承</t>
  </si>
  <si>
    <t>提高[lv]%生命偷取</t>
  </si>
  <si>
    <t>鲜血转化</t>
  </si>
  <si>
    <t>行动时偷取敌方[0.2*lv]%生命偷取</t>
  </si>
  <si>
    <t>造成$r[100*lv]+[90+30*lv]%*攻击力$w的物理伤害</t>
  </si>
  <si>
    <t>魔法飞弹</t>
  </si>
  <si>
    <t>冰霜之球</t>
  </si>
  <si>
    <t>火焰精通</t>
  </si>
  <si>
    <t>提高[5*lv]点火属性强化</t>
  </si>
  <si>
    <t>冰霜精通</t>
  </si>
  <si>
    <t>提高[5*lv]点冰属性强化</t>
  </si>
  <si>
    <t>光明精通</t>
  </si>
  <si>
    <t>提高[5*lv]点光属性强化</t>
  </si>
  <si>
    <t>暗影精通</t>
  </si>
  <si>
    <t>提高[5*lv]点暗属性强化</t>
  </si>
  <si>
    <t>火焰适应</t>
  </si>
  <si>
    <t>冰霜适应</t>
  </si>
  <si>
    <t>光明适应</t>
  </si>
  <si>
    <t>暗影适应</t>
  </si>
  <si>
    <t>弱火</t>
  </si>
  <si>
    <t>降低[4*lv]点火属性抗性</t>
  </si>
  <si>
    <t>弱冰</t>
  </si>
  <si>
    <t>降低[4*lv]点冰属性抗性</t>
  </si>
  <si>
    <t>弱光</t>
  </si>
  <si>
    <t>降低[4*lv]点光属性抗性</t>
  </si>
  <si>
    <t>弱暗</t>
  </si>
  <si>
    <t>降低[4*lv]点暗属性抗性</t>
  </si>
  <si>
    <t>100*lv+(90+16*lv)/100*a.ap</t>
  </si>
  <si>
    <t>光辉</t>
  </si>
  <si>
    <t>40*lv+(50+12*lv)/100*a.ap</t>
  </si>
  <si>
    <t>烈化药剂</t>
  </si>
  <si>
    <t>修理机械</t>
  </si>
  <si>
    <t>回复$g[60*lv]+[50+15*lv]%*攻击力$w点生命值，并回复25点能量</t>
  </si>
  <si>
    <t>60*lv+(50+15*lv)/100*a.ad</t>
  </si>
  <si>
    <t>巨人之力</t>
  </si>
  <si>
    <t>提高[20*lv]点体力</t>
  </si>
  <si>
    <t>磐石</t>
  </si>
  <si>
    <t>硬壳</t>
  </si>
  <si>
    <t>护甲[80*lv]</t>
  </si>
  <si>
    <t>抗性皮肤</t>
  </si>
  <si>
    <t>魔法抗性[80*lv]</t>
  </si>
  <si>
    <t>治疗效果提高[lv]%</t>
  </si>
  <si>
    <t>极速</t>
  </si>
  <si>
    <t>暴击提高[3+1*lv]%</t>
  </si>
  <si>
    <t>暴击伤害提高[5+lv]%</t>
  </si>
  <si>
    <t>多重施法</t>
  </si>
  <si>
    <t>提高[5*lv]%多重施法</t>
  </si>
  <si>
    <t>拍打</t>
  </si>
  <si>
    <t>火石</t>
  </si>
  <si>
    <t>造成$r[100*lv]+[90+30*lv]%*攻击力$w的火属性物理伤害</t>
  </si>
  <si>
    <t>火焰外壳</t>
  </si>
  <si>
    <t>被攻击时获得一层【荆棘】</t>
  </si>
  <si>
    <t>扫尾</t>
  </si>
  <si>
    <t>魔能扫尾</t>
  </si>
  <si>
    <t>【扫尾】附加一层破防</t>
  </si>
  <si>
    <t>锋鳞扫尾</t>
  </si>
  <si>
    <t>【扫尾】减少敌人[10*lv]点护甲</t>
  </si>
  <si>
    <t>龙息</t>
  </si>
  <si>
    <t>消耗10点怒气，造成$r[120*lv]+[90+40*lv]%*攻击力$w的火属性物理伤害</t>
  </si>
  <si>
    <t>锋灵</t>
  </si>
  <si>
    <t>【龙息】降低敌人[10*lv]点护甲</t>
  </si>
  <si>
    <t>魔息</t>
  </si>
  <si>
    <t>【龙息】附加一层破防</t>
  </si>
  <si>
    <t>护甲弱化</t>
  </si>
  <si>
    <t>护甲降低[60*lv]</t>
  </si>
  <si>
    <t>魔抗弱化</t>
  </si>
  <si>
    <t>魔抗降低[60*lv]</t>
  </si>
  <si>
    <t>体力弱化</t>
  </si>
  <si>
    <t>降低[20*lv]点体力</t>
  </si>
  <si>
    <t>威力弱化</t>
  </si>
  <si>
    <t>烈焰冲击</t>
  </si>
  <si>
    <t>极寒冲击</t>
  </si>
  <si>
    <t>神圣冲击</t>
  </si>
  <si>
    <t>暗影冲击</t>
  </si>
  <si>
    <t>能量上限提高[10*lv]点</t>
  </si>
  <si>
    <t>充电</t>
  </si>
  <si>
    <t>回复[10+2*lv]点能量</t>
  </si>
  <si>
    <t>循环充能</t>
  </si>
  <si>
    <t>1+2x回合释放，回复30点能量（十级充电）</t>
  </si>
  <si>
    <t>折跃充能</t>
  </si>
  <si>
    <t>前六回合释放，回复20点能量（五级充电）</t>
  </si>
  <si>
    <t>物理模拟攻击</t>
  </si>
  <si>
    <t>2+4x回合释放，消耗35点能量，造成$r[100*lv]+[90+30*lv]%*攻击力$w的物理伤害，10级时附加3层【破防】</t>
  </si>
  <si>
    <t>魔法模拟攻击</t>
  </si>
  <si>
    <t>4+4x回合释放，消耗35点能量，造成$b[100*lv]+[90+30*lv]%*攻击力$w的魔法伤害，10级时附加3层【破防】</t>
  </si>
  <si>
    <t>物理必杀</t>
  </si>
  <si>
    <t>魔法必杀</t>
  </si>
  <si>
    <t>真实必杀</t>
  </si>
  <si>
    <t>50*lv+(50+20*lv)/100*a.ad</t>
  </si>
  <si>
    <t>充能一击</t>
  </si>
  <si>
    <t>火炮射击</t>
  </si>
  <si>
    <t>冰霜射线</t>
  </si>
  <si>
    <t>造成$r[100*lv]+[90+30*lv]%*攻击力$w的冰属性物理伤害</t>
  </si>
  <si>
    <t>魔爪击</t>
  </si>
  <si>
    <t>造成$r[100*lv]+[90+20*lv]%*攻击力$w的物理伤害，附加三层【中毒】</t>
  </si>
  <si>
    <t>重击</t>
  </si>
  <si>
    <t>造成$r[100*lv]+[90+32*lv]%*攻击力$w的物理伤害</t>
  </si>
  <si>
    <t>雷神药剂</t>
  </si>
  <si>
    <t>造成$b[100*lv]+[90+35*lv]%*攻击力$w的暗属性魔法伤害</t>
  </si>
  <si>
    <t>致死挥砍</t>
  </si>
  <si>
    <t>造成$r[100*lv]+[90+35*lv]%*攻击力$w的物理伤害，附加5层【重伤】和【流血】</t>
  </si>
  <si>
    <t>幸运魔爪</t>
  </si>
  <si>
    <t>造成$r[100*lv]+[90+35*lv]%*攻击力$w的物理伤害，获得3层【暴怒】</t>
  </si>
  <si>
    <t>精准一炮</t>
  </si>
  <si>
    <t>造成$r[100*lv]+[90+35*lv]%*攻击力$w的物理伤害，附加5层【破防】</t>
  </si>
  <si>
    <t>采花</t>
  </si>
  <si>
    <t>造成$r[100*lv]+[90+35*lv]%*攻击力$w的物理伤害，获得3层【迅捷】</t>
  </si>
  <si>
    <t>湖中剑</t>
  </si>
  <si>
    <t>造成$r[100*lv]+[90+45*lv]%*攻击力$w的物理伤害</t>
  </si>
  <si>
    <t>甲穿</t>
  </si>
  <si>
    <t>提高[200+30*lv]点护甲穿透</t>
  </si>
  <si>
    <t>法穿</t>
  </si>
  <si>
    <t>提高[200+30*lv]点法术穿透</t>
  </si>
  <si>
    <t>公主抱</t>
  </si>
  <si>
    <t>骰子射击</t>
  </si>
  <si>
    <t>造成$r[100*lv]+[90+35*lv]%*攻击力$w的暗属性物理伤害，并获得10层【暴怒】</t>
  </si>
  <si>
    <t>风王冲击</t>
  </si>
  <si>
    <t>造成$b[100*lv]+[90+50*lv]%*攻击力$w的冰属性魔法伤害，获得三层【元素强化】</t>
  </si>
  <si>
    <t>射击</t>
  </si>
  <si>
    <t>造成$r[100*lv]+[90+20*lv]%*攻击力$w的物理伤害，附加三层【破防】</t>
  </si>
  <si>
    <t>神风药剂</t>
  </si>
  <si>
    <t>造成$b[100*lv]+[90+35*lv]%*攻击力$w的冰属性魔法伤害</t>
  </si>
  <si>
    <t>击晕长矛</t>
  </si>
  <si>
    <t>【淬毒长矛】有[5+lv]%几率附加一层【眩晕】</t>
  </si>
  <si>
    <t>自身愤怒</t>
  </si>
  <si>
    <t>自身暴击提高[3+1*lv]%</t>
  </si>
  <si>
    <t>自身多重</t>
  </si>
  <si>
    <t>自身提高[5*lv]%多重施法</t>
  </si>
  <si>
    <t>自身暴怒</t>
  </si>
  <si>
    <t>自身暴击伤害提高[5+lv]%</t>
  </si>
  <si>
    <t>强化怒击</t>
  </si>
  <si>
    <t>【怒击】附加[lv]%敌方最大生命值伤害</t>
  </si>
  <si>
    <t>树木突刺</t>
  </si>
  <si>
    <t>生长</t>
  </si>
  <si>
    <t>提高[100+50*lv]点血量</t>
  </si>
  <si>
    <t>恢复光环</t>
  </si>
  <si>
    <t>每回合回复[lv]%最大生命值</t>
  </si>
  <si>
    <t>重锤拍打</t>
  </si>
  <si>
    <t>消耗50怒气，造成$r[100*lv]+[90+45*lv]%*攻击力$w的物理伤害</t>
  </si>
  <si>
    <t>愚者拍打</t>
  </si>
  <si>
    <t>【拍打】15%几率获得一层【眩晕】，15%几率附加一层【眩晕】</t>
  </si>
  <si>
    <t>法力涌动</t>
  </si>
  <si>
    <t>行动时回复[lv]法力值</t>
  </si>
  <si>
    <t>圣光炸弹</t>
  </si>
  <si>
    <t>造成$b[100*lv]+[90+30*lv]%*攻击力$w的光属性魔法伤害，消耗15点法力值</t>
  </si>
  <si>
    <t>暗影炸弹</t>
  </si>
  <si>
    <t>造成$b[100*lv]+[90+30*lv]%*攻击力$w的暗属性魔法伤害，消耗15点法力值</t>
  </si>
  <si>
    <t>魔导之力</t>
  </si>
  <si>
    <t>行动时提高[20*lv]点法术强度</t>
  </si>
  <si>
    <t>元素之力</t>
  </si>
  <si>
    <t>行动时获得一层【元素强化】</t>
  </si>
  <si>
    <t>元素皮肤</t>
  </si>
  <si>
    <t>全元素抗性提高[2*lv]点</t>
  </si>
  <si>
    <t>元素冲击</t>
  </si>
  <si>
    <t>造成$b[100*lv]+[120+30*lv]%*攻击力$w的光属性魔法伤害</t>
  </si>
  <si>
    <t>流血长矛</t>
  </si>
  <si>
    <t>【淬毒长矛】附加一层【流血】</t>
  </si>
  <si>
    <t>流血挥砍</t>
  </si>
  <si>
    <t>【挥砍】附加一层【流血】</t>
  </si>
  <si>
    <t>夺命挥砍</t>
  </si>
  <si>
    <t>【挥砍】有[3+lv]%附加50%最大生命值的伤害</t>
  </si>
  <si>
    <t>光辉之影</t>
  </si>
  <si>
    <t>回复$g[40*lv]+[50+12*lv]%*攻击力$w点生命值，造成$b[40*lv]+[50+12*lv]%*攻击力$w点魔法伤害</t>
  </si>
  <si>
    <t>行动时减少敌人[10*lv]点护甲</t>
  </si>
  <si>
    <t>重负</t>
  </si>
  <si>
    <t>行动时减少敌人[5*lv]点速度</t>
  </si>
  <si>
    <t>魔化外壳</t>
  </si>
  <si>
    <t>被攻击时给敌人附加一层【中毒】</t>
  </si>
  <si>
    <t>吸收魔雾</t>
  </si>
  <si>
    <t>指令：肉搏</t>
  </si>
  <si>
    <t>$y50%$w几率造成$r[100*lv]+[100+35*lv]*攻击力$w的物理伤害，并附加一层【破防】</t>
  </si>
  <si>
    <t>2500+3.5*a.ad</t>
  </si>
  <si>
    <t>指令：谐振</t>
  </si>
  <si>
    <t>$y50%$w几率造成$b[100*lv]+[100+35*lv]*攻击力$w的魔法伤害，并附加一层【破防】</t>
  </si>
  <si>
    <t>2000+3.5*a.ad</t>
  </si>
  <si>
    <t>欢愉</t>
  </si>
  <si>
    <t>行动时有30%几率获得10层【暴怒】和【迅捷】</t>
  </si>
  <si>
    <t>恶毒</t>
  </si>
  <si>
    <t>行动时有30%几率提高[0.2*lv]%暴伤并附加4层【破防】</t>
  </si>
  <si>
    <t>稳固</t>
  </si>
  <si>
    <t>行动时有30%几率获得4层【再生】和【保护】</t>
  </si>
  <si>
    <t>愉悦</t>
  </si>
  <si>
    <t>行动时有30%几率获得15层【暴怒】和【迅捷】</t>
  </si>
  <si>
    <t>阴险</t>
  </si>
  <si>
    <t>行动时有30%几率提高[0.2*lv]%暴伤并附加6层【破防】</t>
  </si>
  <si>
    <t>行动时有30%几率获得6层【再生】和【保护】</t>
  </si>
  <si>
    <t>烈焰风暴</t>
  </si>
  <si>
    <t>造成$b[120*lv]+[150+50*lv]%*攻击力$w的火属性物理伤害</t>
  </si>
  <si>
    <t>120*lv+(150+50*lv)/100*a.ad</t>
  </si>
  <si>
    <t>余烬</t>
  </si>
  <si>
    <t>【烈焰风暴】现在会附加两层【灼烧】</t>
  </si>
  <si>
    <t>玩火自焚</t>
  </si>
  <si>
    <t>每回合损失5%最大生命值</t>
  </si>
  <si>
    <t>灼光冲击</t>
  </si>
  <si>
    <t>$y50%$w几率造成$r[100*lv]+[100+35*lv]*攻击力$w的光属性物理伤害</t>
  </si>
  <si>
    <t>100*lv+(100+35*lv)/100*a.ad</t>
  </si>
  <si>
    <t>光线衰弱</t>
  </si>
  <si>
    <t>【灼光冲击】会降低敌人[lv]点光属性抗性</t>
  </si>
  <si>
    <t>光感</t>
  </si>
  <si>
    <t>行动时会回复[0.5+0.1*lv]%最大生命值</t>
  </si>
  <si>
    <t>暗影愤怒</t>
  </si>
  <si>
    <t>$y50%$w几率造成$r[100*lv]+[100+35*lv]*攻击力$w的暗属性物理伤害</t>
  </si>
  <si>
    <t>暗影漩涡</t>
  </si>
  <si>
    <t>行动时有[5+1v]%几率附加一层【忘却】</t>
  </si>
  <si>
    <t>防御矩阵</t>
  </si>
  <si>
    <t>矩阵激活</t>
  </si>
  <si>
    <t>本回合免疫伤害，每5回合发动一次</t>
  </si>
  <si>
    <t>防御休眠</t>
  </si>
  <si>
    <t>人形自走</t>
  </si>
  <si>
    <t>$y50%$w几率造成$r[70*lv]+[100+20*lv]*攻击力$w的物理伤害</t>
  </si>
  <si>
    <t>70*lv+(100+20*lv)/100*a.ad</t>
  </si>
  <si>
    <t>炮</t>
  </si>
  <si>
    <t>$y50%$w几率造成$r[110*lv]+[100+45*lv]*攻击力$w的物理伤害</t>
  </si>
  <si>
    <t>110*lv+(100+45*lv)/100*a.ad</t>
  </si>
  <si>
    <t>轻盈</t>
  </si>
  <si>
    <t>行动时提高[50*lv]速度</t>
  </si>
  <si>
    <t>力携</t>
  </si>
  <si>
    <t>行动时提高[10*lv]点护甲穿透</t>
  </si>
  <si>
    <t>能量倾泻</t>
  </si>
  <si>
    <t>能量值满后，消耗所有能量，造成$r[200*lv]+[200+70*lv]*攻击力$w的物理伤害</t>
  </si>
  <si>
    <t>200*lv+(200+70*lv)/100*a.ad</t>
  </si>
  <si>
    <t>魔力侵蚀</t>
  </si>
  <si>
    <t>行动时减少目标25点法力值</t>
  </si>
  <si>
    <t>魔力膨胀</t>
  </si>
  <si>
    <t>法力值上限提高[10*lv]点</t>
  </si>
  <si>
    <t>魔力燃烧</t>
  </si>
  <si>
    <t>消耗20点法力值，造成$b[100*lv]+40*当前法力值+[100+35*lv]*法术强度$w的魔法伤害</t>
  </si>
  <si>
    <t>贫乏耐久</t>
  </si>
  <si>
    <t>被攻击时降低自身[5*lv]点护甲和魔抗</t>
  </si>
  <si>
    <t>假山剑法</t>
  </si>
  <si>
    <t>$y50%$w几率造成$r[100*lv]+[100+35*lv]*攻击力$w的物理伤害,</t>
  </si>
  <si>
    <t>行动时有[5+1v]%几率获得一层【护卫】</t>
  </si>
  <si>
    <t>法术波</t>
  </si>
  <si>
    <t>$y50%$w几率造成$b[100*lv]+[100+35*lv]*法术强度$w的魔法伤害,</t>
  </si>
  <si>
    <t>100*lv+(100+35*lv)/100*a.ap</t>
  </si>
  <si>
    <t>火焰</t>
  </si>
  <si>
    <t>【法术波】会附加一层【灼烧】</t>
  </si>
  <si>
    <t>龟速</t>
  </si>
  <si>
    <t>速度降低[10*lv]</t>
  </si>
  <si>
    <t>龟甲</t>
  </si>
  <si>
    <t>被攻击时附加一层【虚弱】</t>
  </si>
  <si>
    <t>影</t>
  </si>
  <si>
    <t>回复$g[60*lv]+[50+30*lv]%*攻击力$w点生命值，造成$b[60*lv]+[80+30*lv]%*攻击力$w点魔法伤害</t>
  </si>
  <si>
    <t>60*lv+(80+30*lv)/100*a.ad</t>
  </si>
  <si>
    <t>影盾</t>
  </si>
  <si>
    <t>防爆术</t>
  </si>
  <si>
    <t>受的暴击伤害降低[lv]%</t>
  </si>
  <si>
    <t>反暴术</t>
  </si>
  <si>
    <t>被暴击后提高[10*lv]点护甲穿透和攻击力</t>
  </si>
  <si>
    <t>怒不可遏</t>
  </si>
  <si>
    <t>行动时额外获得10点怒气</t>
  </si>
  <si>
    <t>怒吼</t>
  </si>
  <si>
    <t>消耗10点怒气，造成$r[100*lv]+40*当前怒气值+[100+45*lv]*攻击力$w的物理伤害</t>
  </si>
  <si>
    <t>能量侵蚀</t>
  </si>
  <si>
    <t>行动时减少目标20点能量值</t>
  </si>
  <si>
    <t>法能转化</t>
  </si>
  <si>
    <t>行动时回复[0.5+0.1*lv]%最大生命值</t>
  </si>
  <si>
    <t>冰霜吐息</t>
  </si>
  <si>
    <t>造成$r[100*lv]+[100+40*lv]%*攻击力$w的冰属性物理伤害，并附加一层【减速】</t>
  </si>
  <si>
    <t>100*lv+(100+40*lv)/100*a.ad</t>
  </si>
  <si>
    <t>互搏</t>
  </si>
  <si>
    <t>迷彩</t>
  </si>
  <si>
    <t>被攻击时提高[15*lv]点护甲和魔抗</t>
  </si>
  <si>
    <t>自动维修</t>
  </si>
  <si>
    <t>被攻击时获得一层【再生】</t>
  </si>
  <si>
    <t>人品王</t>
  </si>
  <si>
    <t>行动时有1%几率造成50%敌方最大生命值的伤害</t>
  </si>
  <si>
    <t>斩击</t>
  </si>
  <si>
    <t>攻击附带目标[0.5*lv]%已损生命值的伤害</t>
  </si>
  <si>
    <t>小强</t>
  </si>
  <si>
    <t>治疗偷取</t>
  </si>
  <si>
    <t>行动时偷取目标[0.2*lv]%治疗效果</t>
  </si>
  <si>
    <t>行动时有35%几率附加一层【击晕】，并造成[0.1*lv]最大生命值的额外伤害</t>
  </si>
  <si>
    <t>甲胄</t>
  </si>
  <si>
    <t>攻击附加[2*lv]%*护甲的伤害</t>
  </si>
  <si>
    <t>衰</t>
  </si>
  <si>
    <t>攻击时会降低[5*lv]点护甲和魔抗</t>
  </si>
  <si>
    <t>魔力咬</t>
  </si>
  <si>
    <t>$y60%$w几率造成$b700+270%*攻击力$w的魔法伤害</t>
  </si>
  <si>
    <t>700+2.7*a.ad</t>
  </si>
  <si>
    <t>魔晶外壳</t>
  </si>
  <si>
    <t>被攻击时降低敌人30魔抗</t>
  </si>
  <si>
    <t>魔晶燃烧</t>
  </si>
  <si>
    <t>$y40%$w几率造成$b1800+350%*攻击力$w的魔法伤害</t>
  </si>
  <si>
    <t>1800+3.5*a.ad</t>
  </si>
  <si>
    <t>开门放狗</t>
  </si>
  <si>
    <t>$y80%$w几率造成$r1400+300%*攻击力$w的物理伤害</t>
  </si>
  <si>
    <t>1400+3*a.ad</t>
  </si>
  <si>
    <t>疯狂</t>
  </si>
  <si>
    <t>狂犬病</t>
  </si>
  <si>
    <t>行动有$y25%$w几率附加一层【中毒】</t>
  </si>
  <si>
    <t>$y50%$w几率造成$r2500+350%*攻击力$w的物理伤害，并附加一层【破防】</t>
  </si>
  <si>
    <t>$y50%$w几率造成$b2000+350%*攻击力$w的魔法伤害，并附加一层【破防】</t>
  </si>
  <si>
    <t>生化甲壳</t>
  </si>
  <si>
    <t>被攻击时会对敌方造成$o20%*护甲$w的伤害</t>
  </si>
  <si>
    <t>生化迷彩</t>
  </si>
  <si>
    <t>被攻击时提高100点护甲和攻击力，1%暴击伤害</t>
  </si>
  <si>
    <t>暴乱改造</t>
  </si>
  <si>
    <t>被攻击时获得一层【暴怒】</t>
  </si>
  <si>
    <t>挥洒药水</t>
  </si>
  <si>
    <t>$y40%$w几率造成$b2000+350%*攻击力$w的魔法伤害，并附加一层【灼烧】</t>
  </si>
  <si>
    <t>丢书本</t>
  </si>
  <si>
    <t>$y60%$w几率造成$r1700+370%*攻击力$w的物理伤害</t>
  </si>
  <si>
    <t>1700+4*a.ad</t>
  </si>
  <si>
    <t>生物义肢</t>
  </si>
  <si>
    <t>行动时有$y20%$w几率获得一层【再生】</t>
  </si>
  <si>
    <t>冰霜投掷</t>
  </si>
  <si>
    <t>$y50%$w几率造成$r3000+400%*攻击力$w的冰属性物理伤害</t>
  </si>
  <si>
    <t>3000+4*a.ad</t>
  </si>
  <si>
    <t>$y50%$w几率造成$b2800+390%*攻击力$w的火属性魔法伤害</t>
  </si>
  <si>
    <t>2800+3.9*a.ad</t>
  </si>
  <si>
    <t>冰封球</t>
  </si>
  <si>
    <t>$y75%$w几率造成$b2800+400%*攻击力$w的冰属性魔法伤害</t>
  </si>
  <si>
    <t>2800+4*a.ad</t>
  </si>
  <si>
    <t>冰火两重天</t>
  </si>
  <si>
    <t>释放【火焰飞弹】提高2点冰属性强化，释放【冰封球】提高2点火属性强化</t>
  </si>
  <si>
    <t>多重冰雪</t>
  </si>
  <si>
    <t>提高30%多重施法</t>
  </si>
  <si>
    <t>梦魇冲击</t>
  </si>
  <si>
    <t>$y60%$w几率造成$b4000+430%*攻击力$w的暗属性魔法伤害</t>
  </si>
  <si>
    <t>4000+4.3*a.ad</t>
  </si>
  <si>
    <t>梦魇壁障</t>
  </si>
  <si>
    <t>被攻击时提高10点暗属性强化</t>
  </si>
  <si>
    <t>梦醒</t>
  </si>
  <si>
    <t>$y30%$w几率造成$b4000+430%*攻击力$w的光属性魔法伤害</t>
  </si>
  <si>
    <t>深渊梦魇</t>
  </si>
  <si>
    <t>被攻击时提高1%多重施法</t>
  </si>
  <si>
    <t>滑行齿轮</t>
  </si>
  <si>
    <t>$y70%$w几率造成$r5000+440%*攻击力$w的物理伤害</t>
  </si>
  <si>
    <t>5000+4.4*a.ad</t>
  </si>
  <si>
    <t>齿轮天国</t>
  </si>
  <si>
    <t>每回合对敌方造成850点伤害</t>
  </si>
  <si>
    <t>吸</t>
  </si>
  <si>
    <t>$y70%$w几率造成$r5500+450%*攻击力$w的物理伤害</t>
  </si>
  <si>
    <t>5500+4.5*a.ad</t>
  </si>
  <si>
    <t>血统</t>
  </si>
  <si>
    <t>行动时提高2%暴击和3%暴击伤害</t>
  </si>
  <si>
    <t>利刃防护</t>
  </si>
  <si>
    <t>行动时提高25点护甲穿透和52点护甲</t>
  </si>
  <si>
    <t>旋风切割</t>
  </si>
  <si>
    <t>$y70%$w几率造成$r6000+450%*攻击力$w的物理伤害</t>
  </si>
  <si>
    <t>6000+4.5*a.ad</t>
  </si>
  <si>
    <t>利刃</t>
  </si>
  <si>
    <t>行动时减少敌人80点护甲</t>
  </si>
  <si>
    <t>速之极</t>
  </si>
  <si>
    <t>行动时提高1000点速度</t>
  </si>
  <si>
    <t>千本之樱</t>
  </si>
  <si>
    <t>$y85%$w几率造成$b7000+450%*攻击力$w的魔法伤害</t>
  </si>
  <si>
    <t>7000+4.5*a.ad</t>
  </si>
  <si>
    <t>托马斯回旋</t>
  </si>
  <si>
    <t>提高20%多重施法，40%暴击</t>
  </si>
  <si>
    <t>时之四刻</t>
  </si>
  <si>
    <t>行动时提高100点法术穿透</t>
  </si>
  <si>
    <t>落</t>
  </si>
  <si>
    <t>行动时50%几率获得二层【再生】</t>
  </si>
  <si>
    <t>噬体之焰</t>
  </si>
  <si>
    <t>$y60%$w几率造成$b8000+630%*攻击力$w的火属性魔法伤害，对己方附加3层【灼烧】</t>
  </si>
  <si>
    <t>8000+6.3*a.ad</t>
  </si>
  <si>
    <t>八岐</t>
  </si>
  <si>
    <t>$y30%$w几率造成$r5500+350%*攻击力$w的物理伤害，并附加三层【虚弱】，三层【中毒】，三层【减速】</t>
  </si>
  <si>
    <t>5500+3.5*a.ad</t>
  </si>
  <si>
    <t>爆裂岩浆</t>
  </si>
  <si>
    <t>$y60%$w几率造成$r6000+450%*攻击力$w的火属性魔法伤害，【爆裂岩浆】的暴击和暴击伤害提高25%</t>
  </si>
  <si>
    <t>恐惧之源</t>
  </si>
  <si>
    <t>$y60%$w几率造成$r6000+450%*攻击力$w的暗属性物理伤害，并附加8%敌方已损生命值的伤害</t>
  </si>
  <si>
    <t>无上传说</t>
  </si>
  <si>
    <t>$y70%$w几率消耗40能量造成$r5500+500%*攻击力$w的物理伤害，并获得两层【再生】</t>
  </si>
  <si>
    <t>5500+5*a.ad</t>
  </si>
  <si>
    <t>迷幻</t>
  </si>
  <si>
    <t>$y60%$w几率造成$r6000+450%*攻击力$w的暗属性魔法伤害，并25%附加【眩晕】，25%附加【忘却】</t>
  </si>
  <si>
    <t>爪击</t>
  </si>
  <si>
    <t>70%几率造成(125+25*lv)%AD的物理伤害</t>
  </si>
  <si>
    <t>(125+25*lv)/100*a.ad</t>
  </si>
  <si>
    <t>撕咬</t>
  </si>
  <si>
    <t>50%几率造成(115+35*lv)%AD的物理伤害</t>
  </si>
  <si>
    <t>(115+35*lv)/100*a.ad</t>
  </si>
  <si>
    <t>咆哮</t>
  </si>
  <si>
    <t>40%几率造成(105+45*lv)%AD的物理伤害</t>
  </si>
  <si>
    <t>(105+45*lv)/100*a.ad</t>
  </si>
  <si>
    <t>65%几率造成(120+20*lv)%AD的物理伤害，并附加1层【中毒】</t>
  </si>
  <si>
    <t>(120+20*lv)/100*a.ad</t>
  </si>
  <si>
    <t>55%几率造成(110+30*lv)%AD的物理伤害，并附加1层【中毒】</t>
  </si>
  <si>
    <t>(110+30*lv)/100*a.ad</t>
  </si>
  <si>
    <t>45%几率造成(100+40*lv)%AD的物理伤害，并附加1层【中毒】</t>
  </si>
  <si>
    <t>(100+40*lv)/100*a.ad</t>
  </si>
  <si>
    <t>魔化爪击</t>
  </si>
  <si>
    <t>70%几率造成(125+25*lv)%AP的魔法伤害</t>
  </si>
  <si>
    <t>(125+25*lv)/100*a.ap</t>
  </si>
  <si>
    <t>魔化撕咬</t>
  </si>
  <si>
    <t>50%几率造成(115+35*lv)%AP的魔法伤害</t>
  </si>
  <si>
    <t>(115+35*lv)/100*a.ap</t>
  </si>
  <si>
    <t>魔化咆哮</t>
  </si>
  <si>
    <t>(105+45*lv)/100*a.ap</t>
  </si>
  <si>
    <t>60%几率造成(120+40*lv)%AD的物理伤害</t>
  </si>
  <si>
    <t>减速弹</t>
  </si>
  <si>
    <t>60%几率造成(115+35*lv)%AD的物理伤害，并附加1层【减速】</t>
  </si>
  <si>
    <t>60%几率造成(120+30*lv)%AP的魔法伤害，15%几率触发多重施法</t>
  </si>
  <si>
    <t>(120+30*lv)/100*a.ap</t>
  </si>
  <si>
    <t>60%几率造成(120+40*lv)%AP的魔法伤害</t>
  </si>
  <si>
    <t>(120+40*lv)/100*a.ap</t>
  </si>
  <si>
    <t>60%几率造成(110+35*lv)%AP的魔法伤害，必定暴击</t>
  </si>
  <si>
    <t>(110+35*lv)/100*a.ap</t>
  </si>
  <si>
    <t>60%几率回复(25+5*lv)%AP的生命值</t>
  </si>
  <si>
    <t>(25+5*lv)/100*a.ap</t>
  </si>
  <si>
    <t>75%几率造成(115+25*lv)%AD的物理伤害，33%几率附加1层【流血】，33%几率附加1层【中毒】，33%几率附加1层【灼烧】</t>
  </si>
  <si>
    <t>(115+25*lv)/100*a.ad</t>
  </si>
  <si>
    <t>【击晕连锁】提高180+20*lv点速度，180+20*lv点暴击，180+20*lv点吸血，持续3回合，可叠加</t>
  </si>
  <si>
    <t>精英光环</t>
  </si>
  <si>
    <t>提高(15+2*lv)%战斗力提高(8+2*lv)%AD，(8+2*lv)%AP，(8+2*lv)%物抗，(8+2*lv)%魔抗</t>
  </si>
  <si>
    <t>领主光环</t>
  </si>
  <si>
    <t>暴击光环</t>
  </si>
  <si>
    <t>提高900+100*lv点暴击</t>
  </si>
  <si>
    <t>物抗光环</t>
  </si>
  <si>
    <t>提高(5+5*lv)%物抗</t>
  </si>
  <si>
    <t>魔抗光环</t>
  </si>
  <si>
    <t>提高(5+5*lv)%魔抗</t>
  </si>
  <si>
    <t>魔攻光环</t>
  </si>
  <si>
    <t>提高(6+4*lv)%AP，降低(6+4*lv)%AD</t>
  </si>
  <si>
    <t>王者光环</t>
  </si>
  <si>
    <t>提高(7+3*lv)%AD，(7+3*lv)%AP，(7+3*lv)%物抗，(7+3*lv)%魔抗，(70+30*lv)点速度，(70+30*lv)点暴击</t>
  </si>
  <si>
    <t>夏日元气弹</t>
  </si>
  <si>
    <t>95%几率造成(165+25*lv)%AD的魔法伤害</t>
  </si>
  <si>
    <t>(165+25*lv)/100*a.ad</t>
  </si>
  <si>
    <t>Hit Special 2</t>
  </si>
  <si>
    <t>必杀光环</t>
  </si>
  <si>
    <t>在弗莱斯森林，提高[(25*lv)/100]%暴击，[25*lv/100]%暴击伤害</t>
  </si>
  <si>
    <t>在幽影沼泽，提高[(0.5*lv)]%法术强度</t>
  </si>
  <si>
    <t>在元素大陆，提高[(0.5*lv)]%攻击力</t>
  </si>
  <si>
    <t>耐久光环</t>
  </si>
  <si>
    <t>在苍穹高原，提高[(60*lv)]点速度</t>
  </si>
  <si>
    <t>在巨龙山，提高[(0.5*lv)]%护甲和魔抗</t>
  </si>
  <si>
    <t>修罗之戮</t>
  </si>
  <si>
    <t>攻击矿点时10%几率伤害增加[100+5*lv]%</t>
  </si>
  <si>
    <t>战争守则</t>
  </si>
  <si>
    <t>受到pvp伤害降低30%</t>
  </si>
  <si>
    <t>生命绽放</t>
  </si>
  <si>
    <t>回复10%最大生命值，并提高2%治疗效果</t>
  </si>
  <si>
    <t>0.1*a.hp</t>
  </si>
  <si>
    <t>2+2X回合释放，回复18%最大生命值，并提高3%治疗效果</t>
  </si>
  <si>
    <t>a.hp*0.18</t>
  </si>
  <si>
    <t>纳鲁赐福</t>
  </si>
  <si>
    <t>【特性】每回合回复1%最大生命值</t>
  </si>
  <si>
    <t>命运之夜</t>
  </si>
  <si>
    <t>造成220%法术强度的魔法伤害</t>
  </si>
  <si>
    <t>2.2*a.ap</t>
  </si>
  <si>
    <t>无尽长夜</t>
  </si>
  <si>
    <t>1+4X回合释放，造成150%法术强度的魔法伤害，并且每回合造成85%法术强度的伤害，持续10回合</t>
  </si>
  <si>
    <t>1.5*a.ap</t>
  </si>
  <si>
    <t>【特性】受到的持续伤害提高400%</t>
  </si>
  <si>
    <t>自残行贿</t>
  </si>
  <si>
    <t>2.05*a.ad</t>
  </si>
  <si>
    <t>疯入膏肓</t>
  </si>
  <si>
    <t>死棘之枪</t>
  </si>
  <si>
    <t>1.3*a.ad+0.1*a.losehp</t>
  </si>
  <si>
    <t>死翔之枪</t>
  </si>
  <si>
    <t>造成280%攻击力+20%自身已损失生命值的物理伤害</t>
  </si>
  <si>
    <t>2.8*a.ad+0.2*a.losehp</t>
  </si>
  <si>
    <t>受虐之心</t>
  </si>
  <si>
    <t>如尼符文</t>
  </si>
  <si>
    <t>每回合提高500点速度</t>
  </si>
  <si>
    <t>暴击</t>
  </si>
  <si>
    <t>造成220%攻击力的物理伤害，必定暴击</t>
  </si>
  <si>
    <t>2.2*a.ad</t>
  </si>
  <si>
    <t>爆头</t>
  </si>
  <si>
    <t>2+3X回合释放，造成400%攻击力的物理伤害，必定暴击</t>
  </si>
  <si>
    <t>4*a.ad</t>
  </si>
  <si>
    <t>【特性】免疫非暴击伤害</t>
  </si>
  <si>
    <t>爆人者人恒爆之</t>
  </si>
  <si>
    <t>【特性】受到的暴击伤害提高100%</t>
  </si>
  <si>
    <t>心如止水</t>
  </si>
  <si>
    <t>【特性】受到的暴击伤害降低40%</t>
  </si>
  <si>
    <t>吞噬疯狂</t>
  </si>
  <si>
    <t>【特性】受到暴击后伤害提高150%</t>
  </si>
  <si>
    <t>神奇的一击</t>
  </si>
  <si>
    <t>1.8*a.ad</t>
  </si>
  <si>
    <t>可怕的一击</t>
  </si>
  <si>
    <t>2.85*a.ad</t>
  </si>
  <si>
    <t>【特性】提高10000点护甲和魔抗</t>
  </si>
  <si>
    <t>选王之剑</t>
  </si>
  <si>
    <t>造成目标20%最大生命值的物理伤害</t>
  </si>
  <si>
    <t>b.hp*0.2</t>
  </si>
  <si>
    <t>王者之剑</t>
  </si>
  <si>
    <t>b.hp*0.11</t>
  </si>
  <si>
    <t>破法之符</t>
  </si>
  <si>
    <t>1+2X回合释放，造成150%法术强度的魔法伤害并降低目标40%治疗效果，持续3回合</t>
  </si>
  <si>
    <t>奥能倾泻</t>
  </si>
  <si>
    <t>2+2X回合释放，造成320%法术强度的魔法伤害</t>
  </si>
  <si>
    <t>3.2*a.ap</t>
  </si>
  <si>
    <t>破万法之符</t>
  </si>
  <si>
    <t>1+2X回合释放，造成200%法术强度的魔法伤害并降低目标75%治疗效果，持续3回合</t>
  </si>
  <si>
    <t>2*a.ap</t>
  </si>
  <si>
    <t>狂化</t>
  </si>
  <si>
    <t>黑化</t>
  </si>
  <si>
    <t>【特性】攻击时造成自身已损生命值30%的伤害</t>
  </si>
  <si>
    <t>生命之光</t>
  </si>
  <si>
    <t>10+10X回合释放，回复80%最大生命值</t>
  </si>
  <si>
    <t>0.8*a.hp</t>
  </si>
  <si>
    <t>牧羊人竖笛</t>
  </si>
  <si>
    <t>【特性】受到的持续伤害提高400%，其他伤害降低60%</t>
  </si>
  <si>
    <t>生命渴望</t>
  </si>
  <si>
    <t>3+3X回合释放，造成220%攻击力的物理伤害，该次伤害额外获得60%吸血</t>
  </si>
  <si>
    <t>狂入膏肓</t>
  </si>
  <si>
    <t>凯尔特之心</t>
  </si>
  <si>
    <t>无限爆制</t>
  </si>
  <si>
    <t>【特性】每次攻击提高5%暴击伤害</t>
  </si>
  <si>
    <t>骑士之剑</t>
  </si>
  <si>
    <t>【特性】攻击会附加目标已损生命值12%的伤害</t>
  </si>
  <si>
    <t>毁灭共鸣</t>
  </si>
  <si>
    <t>0.5*b.hp</t>
  </si>
  <si>
    <t>暴化</t>
  </si>
  <si>
    <t>黑闪</t>
  </si>
  <si>
    <t>【特性】每回合对敌方造成3%最大生命值的伤害</t>
  </si>
  <si>
    <t>欧皇的恩赐</t>
  </si>
  <si>
    <t>【特性】对敌方提高70%暴击</t>
  </si>
  <si>
    <t>老怪强化</t>
  </si>
  <si>
    <t>生命恢复</t>
  </si>
  <si>
    <t>回复5%最大生命值</t>
  </si>
  <si>
    <t>0.05*a.hp</t>
  </si>
  <si>
    <t>强化生命恢复</t>
  </si>
  <si>
    <t>2+2X回合释放，回复12%最大生命值</t>
  </si>
  <si>
    <t>a.hp*0.12</t>
  </si>
  <si>
    <t>魔法冲击</t>
  </si>
  <si>
    <t>造成200%法术强度的魔法伤害</t>
  </si>
  <si>
    <t>长夜</t>
  </si>
  <si>
    <t>1+5X回合释放，造成100%法术强度的魔法伤害，并且每回合造成65%法术强度的伤害，持续10回合</t>
  </si>
  <si>
    <t>1*a.ap</t>
  </si>
  <si>
    <t>自残</t>
  </si>
  <si>
    <t>1.25*a.ad</t>
  </si>
  <si>
    <t>穿刺</t>
  </si>
  <si>
    <t>0.9*a.ad+0.05*a.losehp</t>
  </si>
  <si>
    <t>突刺</t>
  </si>
  <si>
    <t>造成250%攻击力+10%自身已损失生命值的物理伤害</t>
  </si>
  <si>
    <t>2.5*a.ad+0.1*a.losehp</t>
  </si>
  <si>
    <t>暴伤</t>
  </si>
  <si>
    <t>造成180%攻击力的物理伤害，必定暴击</t>
  </si>
  <si>
    <t>爆裂</t>
  </si>
  <si>
    <t>2+3X回合释放造成270%攻击力的物理伤害，必定暴击</t>
  </si>
  <si>
    <t>2.7*a.ad</t>
  </si>
  <si>
    <t>奥能冲击</t>
  </si>
  <si>
    <t>2+2X回合释放，造成240%法术强度的魔法伤害</t>
  </si>
  <si>
    <t>2.4*a.ap</t>
  </si>
  <si>
    <t>求生打击</t>
  </si>
  <si>
    <t>3+3X回合释放，造成160%攻击力的物理伤害，求生打击获得60%吸血</t>
  </si>
  <si>
    <t>1.6*a.ad</t>
  </si>
  <si>
    <t>聚能共鸣</t>
  </si>
  <si>
    <t>40*b.hp</t>
  </si>
  <si>
    <t>老怪坚毅</t>
  </si>
  <si>
    <t>涨潮</t>
  </si>
  <si>
    <t>造成$r3000*lv+[320+180*lv]%*攻击力$w的物理伤害，并获得两层【再生】，【涨潮】伤害会随回合越来越高</t>
  </si>
  <si>
    <t>3000*lv+(320+180*lv)/100*a.ad</t>
  </si>
  <si>
    <t>落潮</t>
  </si>
  <si>
    <t>造成$r3000*lv+[450+200*lv]%*攻击力$w的物理伤害，并获得两层【再生】，【落潮】伤害会随回合越来越低</t>
  </si>
  <si>
    <t>3000*lv+(450+200*lv)/100*a.ad</t>
  </si>
  <si>
    <t>灵子收缩</t>
  </si>
  <si>
    <t>造成$r2000*lv+[150+100*lv]%*攻击力$w的暗属性物理伤害，并获得两层【威能】</t>
  </si>
  <si>
    <t>灵子爆破</t>
  </si>
  <si>
    <t>造成$r3000*lv+[350+200*lv]%*攻击力$w的暗属性魔法伤害，并附加一层【虚弱】</t>
  </si>
  <si>
    <t>3000*lv+(350+200*lv)/100*a.ad</t>
  </si>
  <si>
    <t>迷乱药剂</t>
  </si>
  <si>
    <t>造成$r3000*lv+[320+180*lv]%*攻击力$w的魔法伤害，并附加五层【重伤】，两层【裂伤】</t>
  </si>
  <si>
    <t>黄金药剂</t>
  </si>
  <si>
    <t>造成$r3000*lv+[320+180*lv]%*攻击力$w的魔法伤害，并获得五层【再生】</t>
  </si>
  <si>
    <t>缩小药剂</t>
  </si>
  <si>
    <t>造成$r3000*lv+[320+180*lv]%*攻击力$w的魔法伤害，并附加五层【减速】，两层【虚弱】</t>
  </si>
  <si>
    <t>旋风斩</t>
  </si>
  <si>
    <t>风神庇护</t>
  </si>
  <si>
    <t>疾风击</t>
  </si>
  <si>
    <t>风之爆裂</t>
  </si>
  <si>
    <t>每次攻击提高2%暴击</t>
  </si>
  <si>
    <t>阳炎冲击</t>
  </si>
  <si>
    <t>风暴冲击</t>
  </si>
  <si>
    <t>地震</t>
  </si>
  <si>
    <t>1*a.ad+1*a.ap</t>
  </si>
  <si>
    <t>元素使者</t>
  </si>
  <si>
    <t>每次攻击提高50攻击力和法术强度</t>
  </si>
  <si>
    <t>侵掠之火</t>
  </si>
  <si>
    <t>炽热连击</t>
  </si>
  <si>
    <t>燃烧之魂</t>
  </si>
  <si>
    <t>陨石术</t>
  </si>
  <si>
    <t>每次攻击降低目标100点攻击力，100点法术强度，0.5%暴击，2%暴击伤害</t>
  </si>
  <si>
    <t>火山</t>
  </si>
  <si>
    <t>山崩</t>
  </si>
  <si>
    <t>不动如山</t>
  </si>
  <si>
    <t>每次受到攻击会降低敌人速度200点</t>
  </si>
  <si>
    <t>召唤技</t>
  </si>
  <si>
    <t>该类技能使用后召唤出敌人表中对应怪物</t>
  </si>
  <si>
    <t>【日炎之息】伤害提高15%</t>
  </si>
  <si>
    <t>【日炎之息】伤害提高30%</t>
  </si>
  <si>
    <t>【射法·玉天贯】伤害提高25%</t>
  </si>
  <si>
    <t>【多重射击】伤害提高25%</t>
  </si>
  <si>
    <t>【烈火流星】伤害提高25%</t>
  </si>
  <si>
    <t>【誓约胜利之剑】伤害提高35%</t>
  </si>
  <si>
    <t>物魔转换</t>
  </si>
  <si>
    <t>0.03*a.hp</t>
  </si>
  <si>
    <t>0.15*a.hp</t>
  </si>
  <si>
    <t>3,0,1</t>
  </si>
  <si>
    <t>6,1,3</t>
  </si>
  <si>
    <t>6,2,3</t>
  </si>
  <si>
    <t>5/100*a.str</t>
  </si>
  <si>
    <t>-5</t>
  </si>
  <si>
    <t>0.01*b.hp</t>
  </si>
  <si>
    <t>敌方生命值低于30%时，伤害提高10%</t>
  </si>
  <si>
    <t>0.03*a.arm</t>
  </si>
  <si>
    <t>0.03*a.mr</t>
  </si>
  <si>
    <t>体力+120，被攻击时20%几率提高10000点护甲，附加2层【裂伤】</t>
  </si>
  <si>
    <t>100</t>
  </si>
  <si>
    <t>4,2</t>
  </si>
  <si>
    <t>40601,3</t>
  </si>
  <si>
    <t>100/100*a.ad</t>
  </si>
  <si>
    <t>20</t>
  </si>
  <si>
    <t>10</t>
  </si>
  <si>
    <t>40109,2</t>
  </si>
  <si>
    <t>40115,2</t>
  </si>
  <si>
    <t>40117,3</t>
  </si>
  <si>
    <t>2000</t>
  </si>
  <si>
    <t>行动时10%几率使伤害变为暗属性，持续3回合</t>
  </si>
  <si>
    <t>a.redark</t>
  </si>
  <si>
    <t>5</t>
  </si>
  <si>
    <t>500</t>
  </si>
  <si>
    <t>40205,1</t>
  </si>
  <si>
    <t>40214,1</t>
  </si>
  <si>
    <t>15</t>
  </si>
  <si>
    <t>40201,1</t>
  </si>
  <si>
    <t>40201</t>
  </si>
  <si>
    <t>2,0,1</t>
  </si>
  <si>
    <t>1,2</t>
  </si>
  <si>
    <t>40301,2</t>
  </si>
  <si>
    <t>30</t>
  </si>
  <si>
    <t>40315,3</t>
  </si>
  <si>
    <t>-10</t>
  </si>
  <si>
    <t>6,1</t>
  </si>
  <si>
    <t>1,3</t>
  </si>
  <si>
    <t>1000</t>
  </si>
  <si>
    <t>-1/100*a.hp</t>
  </si>
  <si>
    <t>-5/100*a.hp</t>
  </si>
  <si>
    <t>20/100*a.hp</t>
  </si>
  <si>
    <t>0.01*a.hp</t>
  </si>
  <si>
    <t>所有英雄技能等级加1</t>
  </si>
  <si>
    <t>0,0,1</t>
  </si>
  <si>
    <t>1,0,1</t>
  </si>
  <si>
    <t>4,0,1</t>
  </si>
  <si>
    <t>5,0,1</t>
  </si>
  <si>
    <t>6,0,1</t>
  </si>
  <si>
    <t>所有伤害提高2%</t>
  </si>
  <si>
    <t>40507,5</t>
  </si>
  <si>
    <t>0.5*b.cur_hp</t>
  </si>
  <si>
    <t>40711,5</t>
  </si>
  <si>
    <t>0.05*b.cur_hp</t>
  </si>
  <si>
    <t>5,3</t>
  </si>
  <si>
    <t>0.05*a.arm</t>
  </si>
  <si>
    <t>40403,5</t>
  </si>
  <si>
    <t>40410,3</t>
  </si>
  <si>
    <t>0.02*a.hp</t>
  </si>
  <si>
    <t>41008,4</t>
  </si>
  <si>
    <t>41004,5</t>
  </si>
  <si>
    <t>2,4</t>
  </si>
  <si>
    <t>0,0,2</t>
  </si>
  <si>
    <t>行动时10%几率释放【】</t>
  </si>
  <si>
    <t>5000</t>
  </si>
  <si>
    <t>2500</t>
  </si>
  <si>
    <t>7,1,5</t>
  </si>
  <si>
    <t>7,2,5</t>
  </si>
  <si>
    <t>7,3,5</t>
  </si>
  <si>
    <t>7,4,3</t>
  </si>
  <si>
    <t>7,5,3</t>
  </si>
  <si>
    <t>1500</t>
  </si>
  <si>
    <t>200</t>
  </si>
  <si>
    <t>3000</t>
  </si>
  <si>
    <t>4000</t>
  </si>
  <si>
    <t>5/100*a.hp</t>
  </si>
  <si>
    <t>-30</t>
  </si>
  <si>
    <t>50</t>
  </si>
  <si>
    <t>发动回合+10所有属性强化</t>
  </si>
  <si>
    <t>发动回合+150队伍法术强度</t>
  </si>
  <si>
    <t>冷却时+15%吸血</t>
  </si>
  <si>
    <t>发动回合+250点护甲穿透</t>
  </si>
  <si>
    <t>-1</t>
  </si>
  <si>
    <t>1/200*a.vit</t>
  </si>
  <si>
    <t>1/300*a.spi</t>
  </si>
  <si>
    <t>1</t>
  </si>
  <si>
    <t>-50/100*b.redark</t>
  </si>
  <si>
    <t>-300</t>
  </si>
  <si>
    <t>2</t>
  </si>
  <si>
    <t>2/100*a.hp</t>
  </si>
  <si>
    <t>-200</t>
  </si>
  <si>
    <t>0.005*a.hp</t>
  </si>
  <si>
    <t>0.5*a.hp</t>
  </si>
  <si>
    <t>伤害提高10%，行动时有8%几率获得两层【裂伤】</t>
  </si>
  <si>
    <t>0.07*(b.arm+b.mr)</t>
  </si>
  <si>
    <t>0.03*a,hp</t>
  </si>
  <si>
    <t>伤害提高5%，护甲降低500</t>
  </si>
  <si>
    <t>3</t>
  </si>
  <si>
    <t>$y50%$w几率造成$r[100+20*lv]+[(100+15*lv)]%*攻击力$w的物理伤害，本回合提高[6+2*lv]%暴击，伤害提高[lv]%</t>
  </si>
  <si>
    <t>600+200*lv</t>
  </si>
  <si>
    <t>lv</t>
  </si>
  <si>
    <t>40+18*lv</t>
  </si>
  <si>
    <t>200+90*lv</t>
  </si>
  <si>
    <t>1000+200*lv</t>
  </si>
  <si>
    <t>0-300-10*lv</t>
  </si>
  <si>
    <t>200+80*lv</t>
  </si>
  <si>
    <t>攻击附加[(2+0.9*lv)]%攻击力的伤害</t>
  </si>
  <si>
    <t>(10+2*lv)/100*a.ad</t>
  </si>
  <si>
    <t>1000+100*lv</t>
  </si>
  <si>
    <t>2000+400*lv</t>
  </si>
  <si>
    <t>怒气上限提高[10+2*lv]点</t>
  </si>
  <si>
    <t>提高[1+0.45*lv)]%吸血，[1+0.45*lv)]%暴击</t>
  </si>
  <si>
    <t>100+45*lv</t>
  </si>
  <si>
    <t>血量低于60%时，每减少1%的生命值，提高[0.4+0.08*lv]%伤害</t>
  </si>
  <si>
    <t>100+20*lv</t>
  </si>
  <si>
    <t>200+40*lv</t>
  </si>
  <si>
    <t>160+32*lv</t>
  </si>
  <si>
    <t>背水一战</t>
  </si>
  <si>
    <t>生命值低于30%时，提高[12+2.4*lv]%暴击伤害</t>
  </si>
  <si>
    <t>1200+240*lv</t>
  </si>
  <si>
    <t>1500+300*lv</t>
  </si>
  <si>
    <t>割碎伤口：每1层流血，使伤害和持续伤害提高[0.4+0.08*lv]%</t>
  </si>
  <si>
    <t>0.4+0.08*lv</t>
  </si>
  <si>
    <t>【普通攻击】$y12%$w几率造成$r[100+5*lv]+[(100+5*lv)]%*攻击力$w的物理伤害，风怒自带50%多重施法</t>
  </si>
  <si>
    <t>暴击提高[2+0.9*lv]%</t>
  </si>
  <si>
    <t>速度提高[200+90*lv]点</t>
  </si>
  <si>
    <t>护甲穿透提高[100+45*lv]</t>
  </si>
  <si>
    <t>暴击伤害提高[3+1.35*lv]%</t>
  </si>
  <si>
    <t>300+135*lv</t>
  </si>
  <si>
    <t>【普通攻击】减少敌方[20+4*lv]点护甲</t>
  </si>
  <si>
    <t>-10-2*lv</t>
  </si>
  <si>
    <t>10*lv</t>
  </si>
  <si>
    <t>【风怒】提高[120+54*lv]点速度，10级，20级各获得1层迅捷</t>
  </si>
  <si>
    <t>120+54*lv</t>
  </si>
  <si>
    <t>40+28*lv</t>
  </si>
  <si>
    <t>32+27*lv</t>
  </si>
  <si>
    <t>普通攻击获得[2.2+0.99*lv]%吸血</t>
  </si>
  <si>
    <t>220+99*lv</t>
  </si>
  <si>
    <t>治疗效果提高[2+0.9*lv]%</t>
  </si>
  <si>
    <t>300+60*lv</t>
  </si>
  <si>
    <t>600+120*lv</t>
  </si>
  <si>
    <t>2*lv</t>
  </si>
  <si>
    <t>风怒打击伤害提高[20+4*lv]%</t>
  </si>
  <si>
    <t>【普通攻击】15%几率提高[60*lv+300]点速度</t>
  </si>
  <si>
    <t>行动时有[2+0.9*lv]%几率附加1层【虚弱】，【弱化连锁】【症状连锁】伤害提高[1*lv]%</t>
  </si>
  <si>
    <t>法术掌握</t>
  </si>
  <si>
    <t>提高[10*lv]点队伍法术强度和[100+20*lv]点法术穿透</t>
  </si>
  <si>
    <t>提高[100+10*lv]点智力，[0.5*lv]%暴击</t>
  </si>
  <si>
    <t>100+10*lv</t>
  </si>
  <si>
    <t>50*lv</t>
  </si>
  <si>
    <t>40+10*lv</t>
  </si>
  <si>
    <t>100+16*lv</t>
  </si>
  <si>
    <t>60+22*lv</t>
  </si>
  <si>
    <t>90+33*lv</t>
  </si>
  <si>
    <t>霜火护甲</t>
  </si>
  <si>
    <t>提高[90+33*lv]护甲和魔抗</t>
  </si>
  <si>
    <t>60+13*lv</t>
  </si>
  <si>
    <t>每一次触发多重施法回复[2+0.5*lv]点法力值</t>
  </si>
  <si>
    <t>-10000</t>
  </si>
  <si>
    <t>50+5*lv</t>
  </si>
  <si>
    <t>20+9*lv</t>
  </si>
  <si>
    <t>魔抗提高[100+45*lv]点</t>
  </si>
  <si>
    <t>提高[1600+320*lv]点护甲，降低[2000+400*lv]点速度，持续1回合</t>
  </si>
  <si>
    <t>1600+320*lv</t>
  </si>
  <si>
    <t>0-2000-400*lv</t>
  </si>
  <si>
    <t>(2+0.9*lv)/100*a.arm</t>
  </si>
  <si>
    <t>威力壁垒</t>
  </si>
  <si>
    <t>80+36*lv</t>
  </si>
  <si>
    <t>(100+45*lv)*(a.arm/10000)</t>
  </si>
  <si>
    <t>(50+22.5*lv)*(a.arm/10000)</t>
  </si>
  <si>
    <t>20+7*lv</t>
  </si>
  <si>
    <t>0-15-3*lv</t>
  </si>
  <si>
    <t>400+80*lv</t>
  </si>
  <si>
    <t>1.5*lv</t>
  </si>
  <si>
    <t>每次被攻击提高[15+1*lv]点护甲和魔抗，最多叠加100层</t>
  </si>
  <si>
    <t>15+1*lv</t>
  </si>
  <si>
    <t>[10*lv]点攻击和[60+22*lv]点护甲穿透</t>
  </si>
  <si>
    <t>[10*lv]点法强和[60+22*lv]点法术穿透</t>
  </si>
  <si>
    <t>(1.2+0.24*lv)/100*a.hp</t>
  </si>
  <si>
    <t>400+40*lv</t>
  </si>
  <si>
    <t>使你的下一次连锁技能造成伤害提高[6+1.2*lv]%,可叠加</t>
  </si>
  <si>
    <t>6+1.2*lv</t>
  </si>
  <si>
    <t>行动时45%几率减少目标[25+2*lv]护甲和魔抗</t>
  </si>
  <si>
    <t>0-55-4*lv</t>
  </si>
  <si>
    <t>多重施法提高[1+0.45*lv]%</t>
  </si>
  <si>
    <t>前6回合吸血提高[7+1.4*lv]%</t>
  </si>
  <si>
    <t>700+140*lv</t>
  </si>
  <si>
    <t>生命值低于50%时，治疗效果提高[7+1.4*lv]%</t>
  </si>
  <si>
    <t>暴击伤害提高[1+0.45*lv]%，暴击提高[1.5+0.675*lv]%</t>
  </si>
  <si>
    <t>150+65*lv</t>
  </si>
  <si>
    <t>提高[2*lv+20]%暴击伤害</t>
  </si>
  <si>
    <t>2000+200*lv</t>
  </si>
  <si>
    <t>命运大吸血</t>
  </si>
  <si>
    <t>提高[2*lv+20]%吸血</t>
  </si>
  <si>
    <t>命运大伤害</t>
  </si>
  <si>
    <t>提高[2*lv]%伤害</t>
  </si>
  <si>
    <t>200*lv</t>
  </si>
  <si>
    <t>20*lv</t>
  </si>
  <si>
    <t>怒击伤害提高[70+4*lv]%</t>
  </si>
  <si>
    <t>70+4*lv</t>
  </si>
  <si>
    <t>900+180*lv</t>
  </si>
  <si>
    <t>护甲和魔抗提高[90+33*lv]点</t>
  </si>
  <si>
    <t>30+8*lv</t>
  </si>
  <si>
    <t>600+270*lv</t>
  </si>
  <si>
    <t>怒击伤害提高[10+4.5*lv]%，暴击伤害提高[10+4.5*lv]%</t>
  </si>
  <si>
    <t>1000+450*lv</t>
  </si>
  <si>
    <t>【吟唱】，本回合所有行动30%几率恢复[10+lv]点怒气，能量和法力</t>
  </si>
  <si>
    <t>10+lv</t>
  </si>
  <si>
    <t>持续伤害提高[20+2*lv]%</t>
  </si>
  <si>
    <t>20+2*lv</t>
  </si>
  <si>
    <t>持续伤害提高[1.5*lv]%，速度提高[100+45*lv]点</t>
  </si>
  <si>
    <t>敌人的治疗效果降低[2+0.9*lv]%</t>
  </si>
  <si>
    <t>0-200-90*lv</t>
  </si>
  <si>
    <t>提高火、暗强化[2*lv]点</t>
  </si>
  <si>
    <t>减少敌人[1+0.45*lv]%吸血</t>
  </si>
  <si>
    <t>0-100-45*lv</t>
  </si>
  <si>
    <t>提高自己[1+0.45*lv]%吸血</t>
  </si>
  <si>
    <t>【吟唱】，持续伤害提高[6+2.7*lv]%，敌方获得20层暴怒，持续3回合</t>
  </si>
  <si>
    <t>40+3*lv</t>
  </si>
  <si>
    <t>(1+0.45*lv)/100*a.hp</t>
  </si>
  <si>
    <t>被暴击攻击时使敌人减少[1+0.2*lv]%治疗效果（叠加5层）</t>
  </si>
  <si>
    <t>0-100-20*lv</t>
  </si>
  <si>
    <t>提高[100+15*lv]点法强</t>
  </si>
  <si>
    <t>100+15*lv</t>
  </si>
  <si>
    <t>减少敌人[1+0.45*lv]%治疗效果</t>
  </si>
  <si>
    <t>提高自己[1+0.45*lv]%治疗效果</t>
  </si>
  <si>
    <t>200+100*lv</t>
  </si>
  <si>
    <t>200+10*lv</t>
  </si>
  <si>
    <t>提高[20+3*lv]%治疗效果</t>
  </si>
  <si>
    <t>2000+300*lv</t>
  </si>
  <si>
    <t>50+8*lv</t>
  </si>
  <si>
    <t>光明之泉治疗量增加[6+2.7*lv]%</t>
  </si>
  <si>
    <t>治疗效果提高[1+1.2*lv]%</t>
  </si>
  <si>
    <t>100+120*lv</t>
  </si>
  <si>
    <t>怒气，能量，法力上限提高[1*lv]点</t>
  </si>
  <si>
    <t>回复糖果回复效果提高[10+4.5*lv]%</t>
  </si>
  <si>
    <t>行动时2%几率进入吉兆状态，本回合提高[6+3*lv]%吸血和[6+3*lv]%暴击伤害</t>
  </si>
  <si>
    <t>600+300*lv</t>
  </si>
  <si>
    <t>(1+0.2*lv)/100*a.hp</t>
  </si>
  <si>
    <t>队伍攻击力和法术强度提高[100+20*lv]点</t>
  </si>
  <si>
    <t>行动时2%几率使敌方进入凶兆状态，本回合减少[6+3*lv]%治疗效果和[6+3*lv]%暴击伤害</t>
  </si>
  <si>
    <t>0-600-300*lv</t>
  </si>
  <si>
    <t>【吟唱】，获得25层迅捷</t>
  </si>
  <si>
    <t>护甲提高[100+45*lv]点</t>
  </si>
  <si>
    <t>【吟唱】，获得10层法强强化</t>
  </si>
  <si>
    <t>5*lv</t>
  </si>
  <si>
    <t>【吟唱】，获得10层攻击强化</t>
  </si>
  <si>
    <t>【吟唱】，暴怒提高10层</t>
  </si>
  <si>
    <t>队伍攻击力提高[100+45*lv]点</t>
  </si>
  <si>
    <t>队伍法术强度提高[100+45*lv]点</t>
  </si>
  <si>
    <t>【吟唱】，迅捷提高10层</t>
  </si>
  <si>
    <t>怒气，能量，法力上限增加20点，每10级回复速度提高10%</t>
  </si>
  <si>
    <t>【吟唱】，吸血鬼提高10层</t>
  </si>
  <si>
    <t>体力提高[100+16*lv]点</t>
  </si>
  <si>
    <t>审判之锤伤害提高[(80+6*lv)]%</t>
  </si>
  <si>
    <t>8000+600*lv</t>
  </si>
  <si>
    <t>怒气，能量，法力回复速度提高10%</t>
  </si>
  <si>
    <t>15+5*lv</t>
  </si>
  <si>
    <t>80*lv</t>
  </si>
  <si>
    <t>100*lv</t>
  </si>
  <si>
    <t>0-20*lv</t>
  </si>
  <si>
    <t>25</t>
  </si>
  <si>
    <t>300+100*lv</t>
  </si>
  <si>
    <t>-50-10*lv</t>
  </si>
  <si>
    <t>降低敌人[10*lv]点护甲</t>
  </si>
  <si>
    <t>0-10*lv</t>
  </si>
  <si>
    <t>200+30*lv</t>
  </si>
  <si>
    <t>弱敌方5点暗属性抗性</t>
  </si>
  <si>
    <t>lv/100*b.hp</t>
  </si>
  <si>
    <t>100+50*lv</t>
  </si>
  <si>
    <t>lv/100*a.hp</t>
  </si>
  <si>
    <t>0-60*lv</t>
  </si>
  <si>
    <t>0-50-35*lv</t>
  </si>
  <si>
    <t>0-0.05*a.hp</t>
  </si>
  <si>
    <t>回复所有血量</t>
  </si>
  <si>
    <t>a.hp</t>
  </si>
  <si>
    <t>0-lv</t>
  </si>
  <si>
    <t>(0.5+0.1*lv)/100*a.hp</t>
  </si>
  <si>
    <t>0-5*lv</t>
  </si>
  <si>
    <t>行动时损失2%最大生命值</t>
  </si>
  <si>
    <t>0-0.02*a.hp</t>
  </si>
  <si>
    <t>8*lv</t>
  </si>
  <si>
    <t>回复$g[60*lv]+[50+30*lv]%*攻击力$w点生命值</t>
  </si>
  <si>
    <t>60*lv+(50+30*lv)*a.ad</t>
  </si>
  <si>
    <t>40*lv</t>
  </si>
  <si>
    <t>0-100*lv</t>
  </si>
  <si>
    <t>被暴击后提高[10*lv]点攻击力</t>
  </si>
  <si>
    <t>行动时回复[0.1*lv]%最大生命值</t>
  </si>
  <si>
    <t>0.1*lv/100*a.hp</t>
  </si>
  <si>
    <t>15*lv</t>
  </si>
  <si>
    <t>0.5*lv/100*b.losehp</t>
  </si>
  <si>
    <t>行动时偷取目标[0.2*lv]%治疗效果+</t>
  </si>
  <si>
    <t>行动时偷取目标[0.2*lv]%治疗效果-</t>
  </si>
  <si>
    <t>造成[0.1*lv]最大生命值的额外伤害</t>
  </si>
  <si>
    <t>0.1*lv/100*b.hp</t>
  </si>
  <si>
    <t>0.02*lv*a.arm</t>
  </si>
  <si>
    <t>0.2*a.arm</t>
  </si>
  <si>
    <t>提高2点冰属性强化</t>
  </si>
  <si>
    <t>提高10点暗属性强化</t>
  </si>
  <si>
    <t>提高2点火属性强化</t>
  </si>
  <si>
    <t>降低敌方10点冰属性抗性</t>
  </si>
  <si>
    <t>【爆裂岩浆】的暴击和暴击伤害提高25%</t>
  </si>
  <si>
    <t>附加8%敌方已损生命值的伤害</t>
  </si>
  <si>
    <t>25*lv</t>
  </si>
  <si>
    <t>0.5*lv</t>
  </si>
  <si>
    <t>60*lv</t>
  </si>
  <si>
    <t>【击晕连锁】提高180+20*lv点速度，180+20*lv点暴击，180+20*lv点生命偷取，持续3回合，可叠加</t>
  </si>
  <si>
    <t>180+20*lv</t>
  </si>
  <si>
    <t>提高(50+30*lv)点体力，(5+3*lv)%AD，(5+3*lv)%AP，(5+3*lv)%物抗，(5+3*lv)%魔抗</t>
  </si>
  <si>
    <t>50+30*lv</t>
  </si>
  <si>
    <t>5+3*lv</t>
  </si>
  <si>
    <t>提高500+300*lv点暴击</t>
  </si>
  <si>
    <t>500+300*lv</t>
  </si>
  <si>
    <t>5+5*lv</t>
  </si>
  <si>
    <t>提高(5+5*lv)%AP，降低(5+5*lv)%AD</t>
  </si>
  <si>
    <t>提高50+50*lv点体力，(5+5*lv)%AD，(5+5*lv)%AP，(5+5*lv)%物抗，(5+5*lv)%魔抗，(50+50*lv)点速度，(50+50*lv)点暴击</t>
  </si>
  <si>
    <t>50+50*lv</t>
  </si>
  <si>
    <t>10000+500*lv</t>
  </si>
  <si>
    <t>必定暴击</t>
  </si>
  <si>
    <t>每回合回复1%最大生命值</t>
  </si>
  <si>
    <t>1/100*a.hp</t>
  </si>
  <si>
    <t>造成200%AP魔法伤害，并在每回合造成85%AP的伤害，持续10回合</t>
  </si>
  <si>
    <t>0.85*a.ap</t>
  </si>
  <si>
    <t>受到的DOT伤害提高400%</t>
  </si>
  <si>
    <t>造成205%AD的真实伤害，并对自身造成15%最大生命值的伤害</t>
  </si>
  <si>
    <t>15/100*a.hp</t>
  </si>
  <si>
    <t>每回合速度提高500</t>
  </si>
  <si>
    <t>增加敌人暴击伤害提高100%</t>
  </si>
  <si>
    <t>敌人暴击伤害降低40%</t>
  </si>
  <si>
    <t>增加敌人暴击后伤害提高150%</t>
  </si>
  <si>
    <t>双抗提高10000点</t>
  </si>
  <si>
    <t>造成150%AP的魔法伤害并降低目标40%治疗效果，持续3回合</t>
  </si>
  <si>
    <t>造成200%AP的魔法伤害并降低目标75%治疗效果，持续3回合</t>
  </si>
  <si>
    <t>攻击时造成已损生命值30%的伤害</t>
  </si>
  <si>
    <t>0.3*b.losehp</t>
  </si>
  <si>
    <t>受到的伤害降低60%</t>
  </si>
  <si>
    <t>造成220%AD物理伤害，该次伤害额外获得60%吸血</t>
  </si>
  <si>
    <t>受到的伤害降低30%，在9回合触发</t>
  </si>
  <si>
    <t>每次攻击提高5%暴击伤害</t>
  </si>
  <si>
    <t>攻击会附加目标已损生命值12%的伤害</t>
  </si>
  <si>
    <t>0.12*b.losehp</t>
  </si>
  <si>
    <t>生命值低于20%时，受到的伤害提高25%</t>
  </si>
  <si>
    <t>每回合造成3%最大生命值的伤害</t>
  </si>
  <si>
    <t>0.03*b.hp</t>
  </si>
  <si>
    <t>为敌人提高70%暴击</t>
  </si>
  <si>
    <t>每回合造成65%AP的伤害，持续10回合</t>
  </si>
  <si>
    <t>0.65*a.ap</t>
  </si>
  <si>
    <t>造成160%AD物理伤害，该次伤害额外获得60%吸血</t>
  </si>
  <si>
    <t>-1000</t>
  </si>
  <si>
    <t>每次攻击提高20攻击力和法术强度</t>
  </si>
  <si>
    <t>【炽热连击】的暴击提高40%</t>
  </si>
  <si>
    <t>使目标每回合受到30%法术强度的伤害</t>
  </si>
  <si>
    <t>0.3*a.ap</t>
  </si>
  <si>
    <t>降低目标52点速度</t>
  </si>
  <si>
    <t>使目标每回合受到2%最大生命值的伤害</t>
  </si>
  <si>
    <t>0.02*b.hp</t>
  </si>
  <si>
    <t>每次受到攻击会降低目标速度200点</t>
  </si>
  <si>
    <t>强化怒击</t>
    <phoneticPr fontId="1" type="noConversion"/>
  </si>
  <si>
    <t>$y100%$w几率造成$r[2000+3000*lv]$w的物理伤害</t>
    <phoneticPr fontId="1" type="noConversion"/>
  </si>
  <si>
    <t>强化风怒打击</t>
    <phoneticPr fontId="1" type="noConversion"/>
  </si>
  <si>
    <t>$y100%$w几率造成$r[200+40*lv]+[(200+10*lv)]%*攻击力$w的物理伤害，视为【普通攻击】，风怒自带50%多重施法</t>
    <phoneticPr fontId="1" type="noConversion"/>
  </si>
  <si>
    <t>强化诸神黄昏</t>
    <phoneticPr fontId="1" type="noConversion"/>
  </si>
  <si>
    <t>$y100%$w几率造成$r[400+80*lv]+[(200+20*lv)]%*攻击力$w的物理伤害，本回合提高[10+2*lv]%暴击，[10+2*lv]%吸血</t>
    <phoneticPr fontId="1" type="noConversion"/>
  </si>
  <si>
    <t>强化奥术球</t>
    <phoneticPr fontId="1" type="noConversion"/>
  </si>
  <si>
    <t>$y100%$w几率造成$b[800+160*lv]+[160+22*lv]%*法术强度$w的魔法伤害，33%几率附加1层【虚弱】,33%几率附加1层【灼烧】，33%几率附加1层【减速】</t>
    <phoneticPr fontId="1" type="noConversion"/>
  </si>
  <si>
    <t>强化转甲</t>
    <phoneticPr fontId="1" type="noConversion"/>
  </si>
  <si>
    <t>【吟唱】，提高[1600+320*lv]点护甲，降低[2000+400*lv]点速度，持续1回合</t>
    <phoneticPr fontId="1" type="noConversion"/>
  </si>
  <si>
    <t>烈焰之球</t>
    <phoneticPr fontId="1" type="noConversion"/>
  </si>
  <si>
    <t>【症状连锁】$y100%$w几率造成$b[100+10*lv]+[(200+10*lv)]%*法术强度$w的火属性魔法伤害</t>
    <phoneticPr fontId="1" type="noConversion"/>
  </si>
  <si>
    <t>虚无之球</t>
    <phoneticPr fontId="1" type="noConversion"/>
  </si>
  <si>
    <t>【弱化连锁】$y100%$w几率造成$b[100+10*lv]+[(200+10*lv)]%*法术强度$w的暗属性魔法伤害</t>
    <phoneticPr fontId="1" type="noConversion"/>
  </si>
  <si>
    <t>寒冰之球</t>
    <phoneticPr fontId="1" type="noConversion"/>
  </si>
  <si>
    <t>【控制连锁】$y100%$w几率造成$b[100+10*lv]+[(200+10*lv)]%*法术强度$w的冰属性魔法伤害</t>
    <phoneticPr fontId="1" type="noConversion"/>
  </si>
  <si>
    <t>破甲</t>
    <phoneticPr fontId="1" type="noConversion"/>
  </si>
  <si>
    <t>降低敌方[100*lv]点护甲</t>
    <phoneticPr fontId="1" type="noConversion"/>
  </si>
  <si>
    <t>破魔</t>
    <phoneticPr fontId="1" type="noConversion"/>
  </si>
  <si>
    <t>降低敌方[100*lv]点魔抗</t>
    <phoneticPr fontId="1" type="noConversion"/>
  </si>
  <si>
    <t>破防</t>
    <phoneticPr fontId="1" type="noConversion"/>
  </si>
  <si>
    <t>衰弱光环</t>
    <phoneticPr fontId="1" type="noConversion"/>
  </si>
  <si>
    <t>降低敌方[100*lv]点体力</t>
    <phoneticPr fontId="1" type="noConversion"/>
  </si>
  <si>
    <t>竭心光环</t>
    <phoneticPr fontId="1" type="noConversion"/>
  </si>
  <si>
    <t>降低敌方[100*lv]点暴击</t>
    <phoneticPr fontId="1" type="noConversion"/>
  </si>
  <si>
    <t>腐蚀光环</t>
    <phoneticPr fontId="1" type="noConversion"/>
  </si>
  <si>
    <t>降低敌方[100*lv]点治疗效果</t>
    <phoneticPr fontId="1" type="noConversion"/>
  </si>
  <si>
    <t>菊花开</t>
    <phoneticPr fontId="1" type="noConversion"/>
  </si>
  <si>
    <t>金钱壁</t>
    <phoneticPr fontId="1" type="noConversion"/>
  </si>
  <si>
    <t>紫电轰击</t>
    <phoneticPr fontId="1" type="noConversion"/>
  </si>
  <si>
    <t>雷云</t>
    <phoneticPr fontId="1" type="noConversion"/>
  </si>
  <si>
    <t>胜者之歌</t>
    <phoneticPr fontId="1" type="noConversion"/>
  </si>
  <si>
    <t>无畏</t>
    <phoneticPr fontId="1" type="noConversion"/>
  </si>
  <si>
    <t>堕落殉道</t>
    <phoneticPr fontId="1" type="noConversion"/>
  </si>
  <si>
    <t>巫毒扩散</t>
    <phoneticPr fontId="1" type="noConversion"/>
  </si>
  <si>
    <t>迷雾穿透</t>
    <phoneticPr fontId="1" type="noConversion"/>
  </si>
  <si>
    <t>胡闹</t>
    <phoneticPr fontId="1" type="noConversion"/>
  </si>
  <si>
    <t>最后的最后</t>
    <phoneticPr fontId="1" type="noConversion"/>
  </si>
  <si>
    <t>随缘巧篆</t>
    <phoneticPr fontId="1" type="noConversion"/>
  </si>
  <si>
    <t>能量强化</t>
    <phoneticPr fontId="1" type="noConversion"/>
  </si>
  <si>
    <t>炽热连击</t>
    <phoneticPr fontId="1" type="noConversion"/>
  </si>
  <si>
    <t>提炉再生</t>
    <phoneticPr fontId="1" type="noConversion"/>
  </si>
  <si>
    <t>冰霜智慧</t>
    <phoneticPr fontId="1" type="noConversion"/>
  </si>
  <si>
    <t>审判之焰</t>
    <phoneticPr fontId="1" type="noConversion"/>
  </si>
  <si>
    <t>英勇奖赏</t>
    <phoneticPr fontId="1" type="noConversion"/>
  </si>
  <si>
    <t>复苏</t>
    <phoneticPr fontId="1" type="noConversion"/>
  </si>
  <si>
    <t>天命</t>
    <phoneticPr fontId="1" type="noConversion"/>
  </si>
  <si>
    <t>圣盾</t>
    <phoneticPr fontId="1" type="noConversion"/>
  </si>
  <si>
    <t>圣洁</t>
    <phoneticPr fontId="1" type="noConversion"/>
  </si>
  <si>
    <t>无限光明</t>
    <phoneticPr fontId="1" type="noConversion"/>
  </si>
  <si>
    <t>坚强祷告</t>
    <phoneticPr fontId="1" type="noConversion"/>
  </si>
  <si>
    <t>末世</t>
    <phoneticPr fontId="1" type="noConversion"/>
  </si>
  <si>
    <t>杀意骤起</t>
    <phoneticPr fontId="1" type="noConversion"/>
  </si>
  <si>
    <t>无间炼狱</t>
    <phoneticPr fontId="1" type="noConversion"/>
  </si>
  <si>
    <t>嗜血本能</t>
    <phoneticPr fontId="1" type="noConversion"/>
  </si>
  <si>
    <t>亡魂侵扰</t>
    <phoneticPr fontId="1" type="noConversion"/>
  </si>
  <si>
    <t>终结</t>
    <phoneticPr fontId="1" type="noConversion"/>
  </si>
  <si>
    <t>战场老兵</t>
    <phoneticPr fontId="1" type="noConversion"/>
  </si>
  <si>
    <t>龙血护体</t>
    <phoneticPr fontId="1" type="noConversion"/>
  </si>
  <si>
    <t>华丽的开场白</t>
    <phoneticPr fontId="1" type="noConversion"/>
  </si>
  <si>
    <t>智慧的贤者</t>
    <phoneticPr fontId="1" type="noConversion"/>
  </si>
  <si>
    <t>大全套</t>
    <phoneticPr fontId="1" type="noConversion"/>
  </si>
  <si>
    <t>天罚术式</t>
    <phoneticPr fontId="1" type="noConversion"/>
  </si>
  <si>
    <t>暗影审判</t>
    <phoneticPr fontId="1" type="noConversion"/>
  </si>
  <si>
    <t>极端堕落</t>
    <phoneticPr fontId="1" type="noConversion"/>
  </si>
  <si>
    <t>疯狂</t>
    <phoneticPr fontId="1" type="noConversion"/>
  </si>
  <si>
    <t>暗影祭祀</t>
    <phoneticPr fontId="1" type="noConversion"/>
  </si>
  <si>
    <t>理性之音</t>
    <phoneticPr fontId="1" type="noConversion"/>
  </si>
  <si>
    <t>虚无之影</t>
    <phoneticPr fontId="1" type="noConversion"/>
  </si>
  <si>
    <t>鲜血诅咒</t>
    <phoneticPr fontId="1" type="noConversion"/>
  </si>
  <si>
    <t>致命潜伏</t>
    <phoneticPr fontId="1" type="noConversion"/>
  </si>
  <si>
    <t>轮回</t>
    <phoneticPr fontId="1" type="noConversion"/>
  </si>
  <si>
    <t>天选之人</t>
    <phoneticPr fontId="1" type="noConversion"/>
  </si>
  <si>
    <t>力量诅咒</t>
    <phoneticPr fontId="1" type="noConversion"/>
  </si>
  <si>
    <t>直死</t>
    <phoneticPr fontId="1" type="noConversion"/>
  </si>
  <si>
    <t>尸毒</t>
    <phoneticPr fontId="1" type="noConversion"/>
  </si>
  <si>
    <t>灵魂转移</t>
    <phoneticPr fontId="1" type="noConversion"/>
  </si>
  <si>
    <t>吸血天性</t>
    <phoneticPr fontId="1" type="noConversion"/>
  </si>
  <si>
    <t>灵魂压迫</t>
    <phoneticPr fontId="1" type="noConversion"/>
  </si>
  <si>
    <t>死灵转生</t>
    <phoneticPr fontId="1" type="noConversion"/>
  </si>
  <si>
    <t>愤怒回复</t>
    <phoneticPr fontId="1" type="noConversion"/>
  </si>
  <si>
    <t>鲜血拥抱</t>
    <phoneticPr fontId="1" type="noConversion"/>
  </si>
  <si>
    <t>血液加速</t>
    <phoneticPr fontId="1" type="noConversion"/>
  </si>
  <si>
    <t>继承者</t>
    <phoneticPr fontId="1" type="noConversion"/>
  </si>
  <si>
    <t>家族信仰</t>
    <phoneticPr fontId="1" type="noConversion"/>
  </si>
  <si>
    <t>家族之咒</t>
    <phoneticPr fontId="1" type="noConversion"/>
  </si>
  <si>
    <t>起手一套</t>
    <phoneticPr fontId="1" type="noConversion"/>
  </si>
  <si>
    <t>审判之路</t>
    <phoneticPr fontId="1" type="noConversion"/>
  </si>
  <si>
    <t>终焉之时</t>
    <phoneticPr fontId="1" type="noConversion"/>
  </si>
  <si>
    <t>时之沙</t>
    <phoneticPr fontId="1" type="noConversion"/>
  </si>
  <si>
    <t>审判誓言</t>
    <phoneticPr fontId="1" type="noConversion"/>
  </si>
  <si>
    <t>集束扼杀</t>
    <phoneticPr fontId="1" type="noConversion"/>
  </si>
  <si>
    <t>强化等级</t>
    <phoneticPr fontId="1" type="noConversion"/>
  </si>
  <si>
    <t>该类技能的技能等级由拥有该技能的装备的强化等级决定</t>
    <phoneticPr fontId="1" type="noConversion"/>
  </si>
  <si>
    <t>math.random(1,3999)</t>
    <phoneticPr fontId="1" type="noConversion"/>
  </si>
  <si>
    <t>方之国度</t>
  </si>
  <si>
    <t>行动时有25%几率提高500点攻击附加伤害，可叠加</t>
  </si>
  <si>
    <t>方之宇宙</t>
  </si>
  <si>
    <t>行动时有30%几率提高800点攻击附加伤害，可叠加</t>
  </si>
  <si>
    <t>帅醒</t>
  </si>
  <si>
    <t>帅活</t>
  </si>
  <si>
    <t>滑背</t>
  </si>
  <si>
    <t>被攻击时附加2层【虚弱】，1层【迅捷】</t>
  </si>
  <si>
    <t>极限滑背</t>
  </si>
  <si>
    <t>被攻击时附加5层【虚弱】，2层【迅捷】</t>
  </si>
  <si>
    <t>回首</t>
  </si>
  <si>
    <t>不堪回首</t>
  </si>
  <si>
    <t>提高8%pvp减伤，降低250点智力</t>
  </si>
  <si>
    <t>花环</t>
  </si>
  <si>
    <t>行动时提高1点全属性强化</t>
  </si>
  <si>
    <t>花王</t>
  </si>
  <si>
    <t>行动时提高2点全属性强化</t>
  </si>
  <si>
    <t>失了智</t>
  </si>
  <si>
    <t>行动时附加5%当前生命值的伤害，消耗2%当前生命值，减少1点智力</t>
  </si>
  <si>
    <t>石乐志</t>
  </si>
  <si>
    <t>行动时附加8%当前生命值的伤害，消耗3%当前生命值，减少2点智力</t>
  </si>
  <si>
    <t>战士冲锋</t>
  </si>
  <si>
    <t>所有战士英雄的技能等级提高1级</t>
  </si>
  <si>
    <t>战神冲锋</t>
  </si>
  <si>
    <t>所有战士英雄的技能等级提高2级</t>
  </si>
  <si>
    <t>宿命</t>
  </si>
  <si>
    <t>行动时有几率获得随机效果</t>
  </si>
  <si>
    <t>非酋的夙愿</t>
  </si>
  <si>
    <t>行动时有几率获得强力随机效果（有可能会降低获取传说及以上品质物品的概率）</t>
  </si>
  <si>
    <t>米迦勒的祝福</t>
  </si>
  <si>
    <t>第1回合提高2000速度，持续1回合</t>
  </si>
  <si>
    <t>米迦勒的祈福</t>
  </si>
  <si>
    <t>第1回合提高3000速度，持续1回合</t>
  </si>
  <si>
    <t>拉斐尔的祝福</t>
  </si>
  <si>
    <t>被攻击时附加1层【减速】</t>
  </si>
  <si>
    <t>拉斐尔的祈福</t>
  </si>
  <si>
    <t>被攻击时附加2层【减速】</t>
  </si>
  <si>
    <t>加百列的祝福</t>
  </si>
  <si>
    <t>被攻击时获得1层【迅捷】</t>
  </si>
  <si>
    <t>加百列的祈福</t>
  </si>
  <si>
    <t>被攻击时获得2层【迅捷】</t>
  </si>
  <si>
    <t>雷米尔的祝福</t>
  </si>
  <si>
    <t>10回合后提高1000速度</t>
  </si>
  <si>
    <t>雷米尔的祈福</t>
  </si>
  <si>
    <t>10回合后提高1500速度</t>
  </si>
  <si>
    <t>米达伦的祝福</t>
  </si>
  <si>
    <t>每点队伍攻击力提高1点速度</t>
  </si>
  <si>
    <t>米达伦的祈福</t>
  </si>
  <si>
    <t>每点队伍攻击力提高1.5点速度</t>
  </si>
  <si>
    <t>乌利尔的祝福</t>
  </si>
  <si>
    <t>每点队伍法术强度提高1点速度</t>
  </si>
  <si>
    <t>乌利尔的祈福</t>
  </si>
  <si>
    <t>每点队伍法术强度提高1.5点速度</t>
  </si>
  <si>
    <t>骷髅契约</t>
  </si>
  <si>
    <t>降低敌方3点全属性抗性</t>
  </si>
  <si>
    <t>Leoric的契约</t>
  </si>
  <si>
    <t>降低敌方5点全属性抗性</t>
  </si>
  <si>
    <t>骨龙契约</t>
  </si>
  <si>
    <t>降低敌方5点全属性强化</t>
  </si>
  <si>
    <t>Heks的契约</t>
  </si>
  <si>
    <t>降低敌方8点全属性强化</t>
  </si>
  <si>
    <t>憎恶契约</t>
  </si>
  <si>
    <t>行动时10%几率提高5点暗属性强化</t>
  </si>
  <si>
    <t>Pudge的契约</t>
  </si>
  <si>
    <t>行动时10%几率提高8点暗属性强化</t>
  </si>
  <si>
    <t>炎魔契约</t>
  </si>
  <si>
    <t>行动时10%几率提高5点火属性强化</t>
  </si>
  <si>
    <t>Ragnaros的契约</t>
  </si>
  <si>
    <t>行动时10%几率提高8点火属性强化</t>
  </si>
  <si>
    <t>巫妖契约</t>
  </si>
  <si>
    <t>行动时10%几率提高5点冰属性强化</t>
  </si>
  <si>
    <t>Thuzad的契约</t>
  </si>
  <si>
    <t>行动时10%几率提高8点冰属性强化</t>
  </si>
  <si>
    <t>堕天使契约</t>
  </si>
  <si>
    <t>行动时10%几率提高5点光属性强化</t>
  </si>
  <si>
    <t>Malthael的契约</t>
  </si>
  <si>
    <t>行动时10%几率提高8点光属性强化</t>
  </si>
  <si>
    <t>婆修竖之力</t>
  </si>
  <si>
    <t>暴击时，提高3%附加伤害，持续1回合</t>
  </si>
  <si>
    <t>筏苏枳之力</t>
  </si>
  <si>
    <t>暴击时，提高5%附加伤害，持续1回合</t>
  </si>
  <si>
    <t>高意之力</t>
  </si>
  <si>
    <t>暴击时，提高3%所有伤害，持续1回合</t>
  </si>
  <si>
    <t>慈心之力</t>
  </si>
  <si>
    <t>暴击时，提高5%所有伤害，持续1回合</t>
  </si>
  <si>
    <t>青莲之力</t>
  </si>
  <si>
    <t>行动时提高0.5%暴击率</t>
  </si>
  <si>
    <t>优婆罗之力</t>
  </si>
  <si>
    <t>行动时提高0.8%暴击率</t>
  </si>
  <si>
    <t>难头之力</t>
  </si>
  <si>
    <t>被攻击时提高1%暴击伤害</t>
  </si>
  <si>
    <t>难途之力</t>
  </si>
  <si>
    <t>被攻击时提高1.5%暴击伤害</t>
  </si>
  <si>
    <t>娑竭罗之力</t>
  </si>
  <si>
    <t>沙迦罗之力</t>
  </si>
  <si>
    <t>多舌之力</t>
  </si>
  <si>
    <t>视毒之力</t>
  </si>
  <si>
    <t>一重奏</t>
  </si>
  <si>
    <t>降低敌方3%命中率</t>
  </si>
  <si>
    <t>二重奏</t>
  </si>
  <si>
    <t>降低敌方5%命中率</t>
  </si>
  <si>
    <t>三重奏</t>
  </si>
  <si>
    <t>行动时5%几率提高1%回避率</t>
  </si>
  <si>
    <t>四重奏</t>
  </si>
  <si>
    <t>行动时5%几率提高1.5%回避率</t>
  </si>
  <si>
    <t>五重奏</t>
  </si>
  <si>
    <t>行动时1%几率提高5%回避率</t>
  </si>
  <si>
    <t>六重奏</t>
  </si>
  <si>
    <t>行动时1%几率提高8%回避率</t>
  </si>
  <si>
    <t>第一乐章</t>
  </si>
  <si>
    <t>行动时1%几率获得1层【护卫】</t>
  </si>
  <si>
    <t>第二乐章</t>
  </si>
  <si>
    <t>行动时1.5%几率获得1层【护卫】</t>
  </si>
  <si>
    <t>第三乐章</t>
  </si>
  <si>
    <t>行动时1%几率附加1层【眩晕】</t>
  </si>
  <si>
    <t>第四乐章</t>
  </si>
  <si>
    <t>行动时1.5%几率附加1层【眩晕】</t>
  </si>
  <si>
    <t>第五乐章</t>
  </si>
  <si>
    <t>行动时1%几率附加1层【忘却】</t>
  </si>
  <si>
    <t>第六乐章</t>
  </si>
  <si>
    <t>行动时1.5%几率附加1层【忘却】</t>
  </si>
  <si>
    <t>提高8%所有伤害</t>
  </si>
  <si>
    <t>提高8%附加伤害</t>
  </si>
  <si>
    <t>提高5%技能伤害和治疗效果</t>
  </si>
  <si>
    <t>提高8%技能伤害和治疗效果</t>
  </si>
  <si>
    <t>行动时20%几率获得1层【神圣之光】</t>
  </si>
  <si>
    <t>行动时30%几率获得1层【神圣之光】</t>
  </si>
  <si>
    <t>行动时20%几率获得1层【威能】</t>
  </si>
  <si>
    <t>行动时30%几率获得1层【威能】</t>
  </si>
  <si>
    <t>奥术护盾</t>
  </si>
  <si>
    <t>被攻击时50%几率获得1层【保护】</t>
  </si>
  <si>
    <t>奥术盔甲</t>
  </si>
  <si>
    <t>被攻击时50%几率获得2层【保护】</t>
  </si>
  <si>
    <t>金属外壳</t>
  </si>
  <si>
    <t>黄金外壳</t>
  </si>
  <si>
    <t>岩石外表</t>
  </si>
  <si>
    <t>被攻击时1%几率附加1层【眩晕】</t>
  </si>
  <si>
    <t>崎岖外表</t>
  </si>
  <si>
    <t>被攻击时1.5%几率附加1层【眩晕】</t>
  </si>
  <si>
    <t>冰霜之核</t>
  </si>
  <si>
    <t>每1000点护甲提高1点冰属性抗性</t>
  </si>
  <si>
    <t>冰霜之心</t>
  </si>
  <si>
    <t>每800点护甲提高1点冰属性抗性</t>
  </si>
  <si>
    <t>熔炎之核</t>
  </si>
  <si>
    <t>每1000点魔抗提高1点火属性抗性</t>
  </si>
  <si>
    <t>熔炎之心</t>
  </si>
  <si>
    <t>每800点魔抗提高1点火属性抗性</t>
  </si>
  <si>
    <t>双子之核</t>
  </si>
  <si>
    <t>每10000点血量提高1点光属性抗性和暗属性抗性</t>
  </si>
  <si>
    <t>双子之心</t>
  </si>
  <si>
    <t>每8000点血量提高1点光属性抗性和暗属性抗性</t>
  </si>
  <si>
    <t>行动时20%获得1层【吸血鬼】</t>
  </si>
  <si>
    <t>行动时20%获得2层【吸血鬼】</t>
  </si>
  <si>
    <t>行动时20%获得1层【再生】</t>
  </si>
  <si>
    <t>行动时20%获得2层【再生】</t>
  </si>
  <si>
    <t>每回合回复1.5%最大生命值</t>
  </si>
  <si>
    <t>被攻击时提高1%治疗效果</t>
  </si>
  <si>
    <t>被攻击时提高1.5%治疗效果</t>
  </si>
  <si>
    <t>组合技中提高5%伤害和治疗效果</t>
  </si>
  <si>
    <t>组合技中提高8%伤害和治疗效果</t>
  </si>
  <si>
    <t>苍狼之魂</t>
  </si>
  <si>
    <t>行动时附加敌方2%护甲的伤害</t>
  </si>
  <si>
    <t>贪狼之魂</t>
  </si>
  <si>
    <t>行动时附加敌方3%护甲的伤害</t>
  </si>
  <si>
    <t>黑虎之魂</t>
  </si>
  <si>
    <t>行动时附加敌方2%魔抗的伤害</t>
  </si>
  <si>
    <t>猛虎之魂</t>
  </si>
  <si>
    <t>行动时附加敌方3%魔抗的伤害</t>
  </si>
  <si>
    <t>雪兔之魂</t>
  </si>
  <si>
    <t>每5点法术穿透提高1点护甲穿透</t>
  </si>
  <si>
    <t>玉兔之魂</t>
  </si>
  <si>
    <t>每3点法术穿透提高1点护甲穿透</t>
  </si>
  <si>
    <t>白猫之魂</t>
  </si>
  <si>
    <t>每5点护甲穿透提高1点法术穿透</t>
  </si>
  <si>
    <t>天猫之魂</t>
  </si>
  <si>
    <t>每3点护甲穿透提高1点法术穿透</t>
  </si>
  <si>
    <t>银狐之魂</t>
  </si>
  <si>
    <t>行动时50%几率提高10点护甲穿透和法术穿透</t>
  </si>
  <si>
    <t>灵狐之魂</t>
  </si>
  <si>
    <t>行动时50%几率提高15点护甲穿透和法术穿透</t>
  </si>
  <si>
    <t>棕熊之魂</t>
  </si>
  <si>
    <t>行动时50%几率降低敌方10点护甲和魔抗</t>
  </si>
  <si>
    <t>狂熊之魂</t>
  </si>
  <si>
    <t>行动时50%几率降低敌方15点护甲和魔抗</t>
  </si>
  <si>
    <t>造成200%*法术强度的光属性魔法伤害，并降低敌方10点光属性抗性</t>
  </si>
  <si>
    <t>造成200%*法术强度的魔法伤害，并附加3层【破防】</t>
  </si>
  <si>
    <t>造成200%*法术强度的魔法伤害，并附加5层【重伤】</t>
  </si>
  <si>
    <t>造成200%*法术强度的魔法伤害，并附加3层【裂伤】</t>
  </si>
  <si>
    <t>造成200%*法术强度的冰属性魔法伤害，并降低敌方10点冰属性抗性</t>
  </si>
  <si>
    <t>造成200%*法术强度的火属性魔法伤害，并降低敌方10点火属性抗性</t>
  </si>
  <si>
    <t>造成200%*法术强度的暗属性魔法伤害，并降低敌方10点暗属性抗性</t>
  </si>
  <si>
    <t>800</t>
  </si>
  <si>
    <t>8</t>
  </si>
  <si>
    <t>-250</t>
  </si>
  <si>
    <t>0.02*a.cur_hp</t>
  </si>
  <si>
    <t>0.08*b.cur_hp</t>
  </si>
  <si>
    <t>0.03*a.cur_hp</t>
  </si>
  <si>
    <t>-2</t>
  </si>
  <si>
    <t>1,0,2</t>
  </si>
  <si>
    <t>-3</t>
  </si>
  <si>
    <t>-8</t>
  </si>
  <si>
    <t>80</t>
  </si>
  <si>
    <t>150</t>
  </si>
  <si>
    <t>-500</t>
  </si>
  <si>
    <t>a.arm/1000</t>
  </si>
  <si>
    <t>a.arm/800</t>
  </si>
  <si>
    <t>a.mr/1000</t>
  </si>
  <si>
    <t>a.mr/800</t>
  </si>
  <si>
    <t>1.5/100*a.hp</t>
  </si>
  <si>
    <t>2/100*b.arm</t>
  </si>
  <si>
    <t>3/100*b.arm</t>
  </si>
  <si>
    <t>2/100*b.mr</t>
  </si>
  <si>
    <t>3/100*b.mr</t>
  </si>
  <si>
    <t>a.api/5</t>
  </si>
  <si>
    <t>a.api/3</t>
  </si>
  <si>
    <t>a.adi/5</t>
  </si>
  <si>
    <t>a.adi/3</t>
  </si>
  <si>
    <t>活力</t>
    <phoneticPr fontId="1" type="noConversion"/>
  </si>
  <si>
    <t>意志</t>
    <phoneticPr fontId="1" type="noConversion"/>
  </si>
  <si>
    <t>聆听</t>
    <phoneticPr fontId="1" type="noConversion"/>
  </si>
  <si>
    <t>唤醒</t>
    <phoneticPr fontId="1" type="noConversion"/>
  </si>
  <si>
    <t>支持</t>
    <phoneticPr fontId="1" type="noConversion"/>
  </si>
  <si>
    <t>协作</t>
    <phoneticPr fontId="1" type="noConversion"/>
  </si>
  <si>
    <t>倾听</t>
    <phoneticPr fontId="1" type="noConversion"/>
  </si>
  <si>
    <t>享受</t>
    <phoneticPr fontId="1" type="noConversion"/>
  </si>
  <si>
    <t>自信</t>
    <phoneticPr fontId="1" type="noConversion"/>
  </si>
  <si>
    <t>永恒</t>
    <phoneticPr fontId="1" type="noConversion"/>
  </si>
  <si>
    <t>洞察</t>
    <phoneticPr fontId="1" type="noConversion"/>
  </si>
  <si>
    <t>预言</t>
    <phoneticPr fontId="1" type="noConversion"/>
  </si>
  <si>
    <t>200/100*a.ap</t>
  </si>
  <si>
    <t>200/100*a.ap</t>
    <phoneticPr fontId="1" type="noConversion"/>
  </si>
  <si>
    <t>string:author=官方游戏制作人</t>
    <phoneticPr fontId="1" type="noConversion"/>
  </si>
  <si>
    <t>丰臣秀吉</t>
    <phoneticPr fontId="1" type="noConversion"/>
  </si>
  <si>
    <t>小猴子111</t>
    <phoneticPr fontId="1" type="noConversion"/>
  </si>
  <si>
    <t>叫我方头</t>
    <phoneticPr fontId="1" type="noConversion"/>
  </si>
  <si>
    <t>叔叔好</t>
    <phoneticPr fontId="1" type="noConversion"/>
  </si>
  <si>
    <t>剑气凌云，实曰虎臣。勇加一国，敌号万人。</t>
  </si>
  <si>
    <t>豹子尾摇穿画戟，雄兵十万脱征衣。</t>
  </si>
  <si>
    <t>小猴子111,LOL官方吧务</t>
    <phoneticPr fontId="1" type="noConversion"/>
  </si>
  <si>
    <t>拼将一死存奸雄,勇绝还赞古恶来。</t>
    <phoneticPr fontId="1" type="noConversion"/>
  </si>
  <si>
    <t>真选组松平大叔,叔叔好</t>
    <phoneticPr fontId="1" type="noConversion"/>
  </si>
  <si>
    <t>毕须博须</t>
    <phoneticPr fontId="1" type="noConversion"/>
  </si>
  <si>
    <t>我说过很多遍了，贫僧不是自东土大唐而来</t>
    <phoneticPr fontId="1" type="noConversion"/>
  </si>
  <si>
    <t>只因孟起军前见,天下从兹播虎侯。</t>
    <phoneticPr fontId="1" type="noConversion"/>
  </si>
  <si>
    <t>弗兰肯斯坦</t>
    <phoneticPr fontId="1" type="noConversion"/>
  </si>
  <si>
    <t>关爱老人#3537</t>
  </si>
  <si>
    <t>关爱老人#3537</t>
    <phoneticPr fontId="1" type="noConversion"/>
  </si>
  <si>
    <t>FGO公国</t>
    <phoneticPr fontId="1" type="noConversion"/>
  </si>
  <si>
    <t>由于相对随意的设定，从完成之初就开始疯狂吐槽游戏团队的某个制作人，最终获得巨大BUFF成为一名游戏向导</t>
    <rPh sb="0" eb="1">
      <t>cong</t>
    </rPh>
    <rPh sb="1" eb="2">
      <t>she ding</t>
    </rPh>
    <rPh sb="3" eb="4">
      <t>zhi chu</t>
    </rPh>
    <rPh sb="4" eb="5">
      <t>chu</t>
    </rPh>
    <rPh sb="5" eb="6">
      <t>jiu kai shi</t>
    </rPh>
    <rPh sb="8" eb="9">
      <t>feng kuang</t>
    </rPh>
    <rPh sb="10" eb="11">
      <t>tu cao</t>
    </rPh>
    <rPh sb="12" eb="13">
      <t>zhi zuo ren</t>
    </rPh>
    <rPh sb="16" eb="17">
      <t>zui zhong</t>
    </rPh>
    <rPh sb="18" eb="19">
      <t>huo de</t>
    </rPh>
    <rPh sb="20" eb="21">
      <t>ju da</t>
    </rPh>
    <rPh sb="26" eb="27">
      <t>cheng wei</t>
    </rPh>
    <rPh sb="28" eb="29">
      <t>yi ming</t>
    </rPh>
    <rPh sb="30" eb="31">
      <t>you xi</t>
    </rPh>
    <rPh sb="32" eb="33">
      <t>xiang dao</t>
    </rPh>
    <phoneticPr fontId="1" type="noConversion"/>
  </si>
  <si>
    <t>某一制作人Eric</t>
    <phoneticPr fontId="1" type="noConversion"/>
  </si>
  <si>
    <t>职业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</si>
  <si>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</si>
  <si>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</si>
  <si>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</si>
  <si>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之力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</si>
  <si>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</si>
  <si>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</si>
  <si>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</si>
  <si>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</si>
  <si>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order</t>
    <phoneticPr fontId="1" type="noConversion"/>
  </si>
  <si>
    <t>name</t>
    <phoneticPr fontId="1" type="noConversion"/>
  </si>
  <si>
    <t>des</t>
    <phoneticPr fontId="1" type="noConversion"/>
  </si>
  <si>
    <t>position</t>
    <phoneticPr fontId="1" type="noConversion"/>
  </si>
  <si>
    <t>img</t>
    <phoneticPr fontId="1" type="noConversion"/>
  </si>
  <si>
    <t>health</t>
    <phoneticPr fontId="1" type="noConversion"/>
  </si>
  <si>
    <t>vit</t>
    <phoneticPr fontId="1" type="noConversion"/>
  </si>
  <si>
    <t>inte</t>
    <phoneticPr fontId="1" type="noConversion"/>
  </si>
  <si>
    <t>spi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</si>
  <si>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</si>
  <si>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</si>
  <si>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</si>
  <si>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</si>
  <si>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狂战士</t>
    <phoneticPr fontId="1" type="noConversion"/>
  </si>
  <si>
    <t>重装战士主角，无畏攻击的英雄，并且越战越强</t>
    <rPh sb="0" eb="1">
      <t>zhong zhuang</t>
    </rPh>
    <rPh sb="2" eb="3">
      <t>zhan shi</t>
    </rPh>
    <rPh sb="4" eb="5">
      <t>zhu jiao</t>
    </rPh>
    <rPh sb="7" eb="8">
      <t>wu wei</t>
    </rPh>
    <rPh sb="9" eb="10">
      <t>gong ji</t>
    </rPh>
    <rPh sb="11" eb="12">
      <t>d</t>
    </rPh>
    <rPh sb="12" eb="13">
      <t>ying xiong</t>
    </rPh>
    <rPh sb="15" eb="16">
      <t>bing qie</t>
    </rPh>
    <rPh sb="17" eb="18">
      <t>yue zhan yue qiang</t>
    </rPh>
    <phoneticPr fontId="1" type="noConversion"/>
  </si>
  <si>
    <t>飓风游侠</t>
    <phoneticPr fontId="1" type="noConversion"/>
  </si>
  <si>
    <t>无情射手主角，通过不断强化普通攻击来获得强大的输出，但是防御能力较弱</t>
    <rPh sb="0" eb="1">
      <t>wu qing</t>
    </rPh>
    <rPh sb="2" eb="3">
      <t>she shou</t>
    </rPh>
    <rPh sb="4" eb="5">
      <t>zhu jiao</t>
    </rPh>
    <rPh sb="7" eb="8">
      <t>tong guo</t>
    </rPh>
    <rPh sb="9" eb="10">
      <t>bu duan</t>
    </rPh>
    <rPh sb="11" eb="12">
      <t>qiang hua</t>
    </rPh>
    <rPh sb="13" eb="14">
      <t>pu tong</t>
    </rPh>
    <rPh sb="15" eb="16">
      <t>gong ji</t>
    </rPh>
    <rPh sb="17" eb="18">
      <t>lai</t>
    </rPh>
    <rPh sb="18" eb="19">
      <t>huo de</t>
    </rPh>
    <rPh sb="20" eb="21">
      <t>qiang da</t>
    </rPh>
    <rPh sb="22" eb="23">
      <t>d</t>
    </rPh>
    <rPh sb="23" eb="24">
      <t>shu chu</t>
    </rPh>
    <rPh sb="26" eb="27">
      <t>dan sh</t>
    </rPh>
    <rPh sb="28" eb="29">
      <t>fang yu</t>
    </rPh>
    <rPh sb="30" eb="31">
      <t>neng li</t>
    </rPh>
    <rPh sb="32" eb="33">
      <t>jiao ruo</t>
    </rPh>
    <phoneticPr fontId="1" type="noConversion"/>
  </si>
  <si>
    <t>大法师</t>
    <phoneticPr fontId="1" type="noConversion"/>
  </si>
  <si>
    <t>爆发法术主角，通过蓄力后的巨大法术伤害来一举击溃敌人</t>
    <rPh sb="0" eb="1">
      <t>bao fa</t>
    </rPh>
    <rPh sb="2" eb="3">
      <t>fa sh</t>
    </rPh>
    <rPh sb="4" eb="5">
      <t>zhu jiao</t>
    </rPh>
    <rPh sb="7" eb="8">
      <t>tong guo</t>
    </rPh>
    <rPh sb="9" eb="10">
      <t>xu li</t>
    </rPh>
    <rPh sb="11" eb="12">
      <t>hou</t>
    </rPh>
    <rPh sb="12" eb="13">
      <t>d</t>
    </rPh>
    <rPh sb="13" eb="14">
      <t>ju da</t>
    </rPh>
    <rPh sb="15" eb="16">
      <t>fa shu</t>
    </rPh>
    <rPh sb="17" eb="18">
      <t>shang hai</t>
    </rPh>
    <rPh sb="19" eb="20">
      <t>lai</t>
    </rPh>
    <rPh sb="20" eb="21">
      <t>yi ju</t>
    </rPh>
    <rPh sb="22" eb="23">
      <t>ji kui</t>
    </rPh>
    <rPh sb="24" eb="25">
      <t>di ren</t>
    </rPh>
    <phoneticPr fontId="1" type="noConversion"/>
  </si>
  <si>
    <t>重甲骑士</t>
    <phoneticPr fontId="1" type="noConversion"/>
  </si>
  <si>
    <t>站在我身后！</t>
  </si>
  <si>
    <t>隐秘者</t>
    <phoneticPr fontId="1" type="noConversion"/>
  </si>
  <si>
    <t>我从阴影中降临。</t>
  </si>
  <si>
    <t>冒险家</t>
    <phoneticPr fontId="1" type="noConversion"/>
  </si>
  <si>
    <t>最普通的主角，攻守平衡，但是全面的技能组合让他有无限的潜力</t>
    <rPh sb="0" eb="1">
      <t>zui</t>
    </rPh>
    <rPh sb="1" eb="2">
      <t>pu tong</t>
    </rPh>
    <rPh sb="3" eb="4">
      <t>d</t>
    </rPh>
    <rPh sb="4" eb="5">
      <t>zhu jiao</t>
    </rPh>
    <rPh sb="7" eb="8">
      <t>gong shou</t>
    </rPh>
    <rPh sb="9" eb="10">
      <t>pin hen</t>
    </rPh>
    <rPh sb="12" eb="13">
      <t>dan shi</t>
    </rPh>
    <rPh sb="14" eb="15">
      <t>quan mian d</t>
    </rPh>
    <rPh sb="17" eb="18">
      <t>ji neng</t>
    </rPh>
    <rPh sb="19" eb="20">
      <t>zu he</t>
    </rPh>
    <rPh sb="21" eb="22">
      <t>rang ta</t>
    </rPh>
    <rPh sb="23" eb="24">
      <t>you</t>
    </rPh>
    <rPh sb="24" eb="25">
      <t>wu xian</t>
    </rPh>
    <rPh sb="26" eb="27">
      <t>d</t>
    </rPh>
    <rPh sb="27" eb="28">
      <t>qian li</t>
    </rPh>
    <phoneticPr fontId="1" type="noConversion"/>
  </si>
  <si>
    <t>死灵术士</t>
    <phoneticPr fontId="1" type="noConversion"/>
  </si>
  <si>
    <t>你有成为死者的觉悟么？</t>
  </si>
  <si>
    <t>光明祭祀</t>
    <phoneticPr fontId="1" type="noConversion"/>
  </si>
  <si>
    <t>我所信仰的光明，会照亮这里！</t>
  </si>
  <si>
    <t>炼金师</t>
    <phoneticPr fontId="1" type="noConversion"/>
  </si>
  <si>
    <t>来一瓶，再来一瓶！</t>
  </si>
  <si>
    <t>吟游诗人</t>
    <phoneticPr fontId="1" type="noConversion"/>
  </si>
  <si>
    <t>让我为你唱一首歌~</t>
  </si>
  <si>
    <t>ld_talent:id=key</t>
    <phoneticPr fontId="1" type="noConversion"/>
  </si>
  <si>
    <t>配图</t>
    <phoneticPr fontId="1" type="noConversion"/>
  </si>
  <si>
    <t>定位</t>
    <phoneticPr fontId="1" type="noConversion"/>
  </si>
  <si>
    <t>描述</t>
    <phoneticPr fontId="1" type="noConversion"/>
  </si>
  <si>
    <t>名称</t>
    <phoneticPr fontId="1" type="noConversion"/>
  </si>
  <si>
    <t>list&lt;order&gt;:skill</t>
    <phoneticPr fontId="1" type="noConversion"/>
  </si>
  <si>
    <t>int:skill1=0</t>
    <phoneticPr fontId="1" type="noConversion"/>
  </si>
  <si>
    <t>int:skill2=0</t>
    <phoneticPr fontId="1" type="noConversion"/>
  </si>
  <si>
    <t>战争之矛</t>
  </si>
  <si>
    <t>造成$r[100*lv]+[90+40*lv]%*攻击力$w的物理伤害</t>
  </si>
  <si>
    <t>冲动</t>
  </si>
  <si>
    <t>行动时提高1%暴击和500速度</t>
  </si>
  <si>
    <t>星座之力</t>
  </si>
  <si>
    <t>提高300点体力，500点精神，力量和智力</t>
  </si>
  <si>
    <t>正义真言</t>
  </si>
  <si>
    <t>造成$b[100*lv]+[90+40*lv]%*法术强度$w的光属性魔法伤害，并回复4%最大生命值</t>
  </si>
  <si>
    <t>100*lv+(90+40*lv)/100*a.ap</t>
  </si>
  <si>
    <t>智慧</t>
  </si>
  <si>
    <t>提高2000点法术穿透</t>
  </si>
  <si>
    <t>狩猎之箭</t>
  </si>
  <si>
    <t>造成$b[100*lv]+[90+40*lv]%*法术强度$w的魔法伤害</t>
  </si>
  <si>
    <t>预言</t>
  </si>
  <si>
    <t>提高20%多重施法</t>
  </si>
  <si>
    <t>无限炮轰</t>
  </si>
  <si>
    <t>造成$r[100*lv]+[90+40*lv]%*攻击力$w的火属性物理伤害，自带15%多重施法</t>
  </si>
  <si>
    <t>无限动能</t>
  </si>
  <si>
    <t>提高800点力量</t>
  </si>
  <si>
    <t>无暇超频</t>
  </si>
  <si>
    <t>提高3000点速度</t>
  </si>
  <si>
    <t>10回合后，行动时有5%几率造成25%敌方最大生命值的伤害</t>
  </si>
  <si>
    <t>300</t>
  </si>
  <si>
    <t>0.04*a.hp</t>
  </si>
  <si>
    <t>0.25*b.hp</t>
  </si>
  <si>
    <t>增加某个职业技能</t>
    <phoneticPr fontId="1" type="noConversion"/>
  </si>
  <si>
    <t>上阵的勇者英雄全技能lv+2</t>
    <phoneticPr fontId="1" type="noConversion"/>
  </si>
  <si>
    <t>上阵的战士英雄全技能lv+2</t>
  </si>
  <si>
    <t>上阵的射手英雄全技能lv+2</t>
  </si>
  <si>
    <t>上阵的坦克英雄全技能lv+2</t>
  </si>
  <si>
    <t>上阵的刺客英雄全技能lv+2</t>
  </si>
  <si>
    <t>上阵的法师英雄全技能lv+2</t>
  </si>
  <si>
    <t>上阵的辅助英雄全技能lv+2</t>
  </si>
  <si>
    <t>上阵英雄1,2,3技能lv+5</t>
  </si>
  <si>
    <t>上阵英雄4,5技能lv+3</t>
  </si>
  <si>
    <t>上阵的辅助英雄全技能lv+2</t>
    <phoneticPr fontId="1" type="noConversion"/>
  </si>
  <si>
    <t>【贤者的叙事诗】lv+5</t>
    <phoneticPr fontId="1" type="noConversion"/>
  </si>
  <si>
    <t>【拔剑神曲】lv+4</t>
    <phoneticPr fontId="1" type="noConversion"/>
  </si>
  <si>
    <t>上阵英雄全技能lv+1</t>
    <phoneticPr fontId="1" type="noConversion"/>
  </si>
  <si>
    <t>上阵的射手英雄全技能lv+1</t>
    <phoneticPr fontId="1" type="noConversion"/>
  </si>
  <si>
    <t>上阵的战士英雄全技能lv+2</t>
    <phoneticPr fontId="1" type="noConversion"/>
  </si>
  <si>
    <t>上阵的战士英雄全技能lv+1</t>
  </si>
  <si>
    <t>当前英雄全技能lv+1</t>
    <phoneticPr fontId="1" type="noConversion"/>
  </si>
  <si>
    <t>当前英雄1,2技能lv+3</t>
    <phoneticPr fontId="1" type="noConversion"/>
  </si>
  <si>
    <t>40610,1</t>
  </si>
  <si>
    <t>40611,1</t>
  </si>
  <si>
    <t>40612,1</t>
  </si>
  <si>
    <t>40613,1</t>
  </si>
  <si>
    <t>40614,1</t>
  </si>
  <si>
    <t>40615,1</t>
  </si>
  <si>
    <t>40601,1</t>
  </si>
  <si>
    <t>40602,1</t>
  </si>
  <si>
    <t>40603,1</t>
  </si>
  <si>
    <t>40607,1</t>
  </si>
  <si>
    <t>40608,1</t>
  </si>
  <si>
    <t>40609,1</t>
  </si>
  <si>
    <t>40104,1</t>
  </si>
  <si>
    <t>40105,1</t>
  </si>
  <si>
    <t>40106,1</t>
  </si>
  <si>
    <t>40110,1</t>
  </si>
  <si>
    <t>40111,1</t>
  </si>
  <si>
    <t>40112,1</t>
  </si>
  <si>
    <t>40101,1</t>
  </si>
  <si>
    <t>40102,1</t>
  </si>
  <si>
    <t>40103,1</t>
  </si>
  <si>
    <t>40107,1</t>
  </si>
  <si>
    <t>40108,1</t>
  </si>
  <si>
    <t>40109,1</t>
  </si>
  <si>
    <t>40204,1</t>
  </si>
  <si>
    <t>40206,1</t>
  </si>
  <si>
    <t>40207,1</t>
  </si>
  <si>
    <t>40208,1</t>
  </si>
  <si>
    <t>40209,1</t>
  </si>
  <si>
    <t>40202,1</t>
  </si>
  <si>
    <t>40203,1</t>
  </si>
  <si>
    <t>40210,1</t>
  </si>
  <si>
    <t>40211,1</t>
  </si>
  <si>
    <t>40212,1</t>
  </si>
  <si>
    <t>40301,1</t>
  </si>
  <si>
    <t>40302,1</t>
  </si>
  <si>
    <t>40303,1</t>
  </si>
  <si>
    <t>40304,1</t>
  </si>
  <si>
    <t>40305,1</t>
  </si>
  <si>
    <t>40306,1</t>
  </si>
  <si>
    <t>40310,1</t>
  </si>
  <si>
    <t>40311,1</t>
  </si>
  <si>
    <t>40312,1</t>
  </si>
  <si>
    <t>40904,1</t>
  </si>
  <si>
    <t>40905,1</t>
  </si>
  <si>
    <t>40906,1</t>
  </si>
  <si>
    <t>40907,1</t>
  </si>
  <si>
    <t>40908,1</t>
  </si>
  <si>
    <t>40909,1</t>
  </si>
  <si>
    <t>40901,1</t>
  </si>
  <si>
    <t>40902,1</t>
  </si>
  <si>
    <t>40903,1</t>
  </si>
  <si>
    <t>40913,1</t>
  </si>
  <si>
    <t>40914,1</t>
  </si>
  <si>
    <t>40915,1</t>
  </si>
  <si>
    <t>40803,1</t>
  </si>
  <si>
    <t>40801,1</t>
  </si>
  <si>
    <t>40802,1</t>
  </si>
  <si>
    <t>40805,1</t>
  </si>
  <si>
    <t>40804,1</t>
  </si>
  <si>
    <t>40806,1</t>
  </si>
  <si>
    <t>40510,1</t>
  </si>
  <si>
    <t>40511,1</t>
  </si>
  <si>
    <t>40512,1</t>
  </si>
  <si>
    <t>40501,1</t>
  </si>
  <si>
    <t>40502,1</t>
  </si>
  <si>
    <t>40503,1</t>
  </si>
  <si>
    <t>40504,1</t>
  </si>
  <si>
    <t>40505,1</t>
  </si>
  <si>
    <t>40506,1</t>
  </si>
  <si>
    <t>40517,1</t>
  </si>
  <si>
    <t>40518,1</t>
  </si>
  <si>
    <t>40514,1</t>
  </si>
  <si>
    <t>40702,1</t>
  </si>
  <si>
    <t>40703,1</t>
  </si>
  <si>
    <t>40705,1</t>
  </si>
  <si>
    <t>40708,1</t>
  </si>
  <si>
    <t>40707,1</t>
  </si>
  <si>
    <t>40712,1</t>
  </si>
  <si>
    <t>40701,1</t>
  </si>
  <si>
    <t>40704,1</t>
  </si>
  <si>
    <t>40709,1</t>
  </si>
  <si>
    <t>40716,1</t>
  </si>
  <si>
    <t>40706,1</t>
  </si>
  <si>
    <t>40401,1</t>
  </si>
  <si>
    <t>40402,1</t>
  </si>
  <si>
    <t>40405,1</t>
  </si>
  <si>
    <t>40406,1</t>
  </si>
  <si>
    <t>40411,1</t>
  </si>
  <si>
    <t>40412,1</t>
  </si>
  <si>
    <t>40404,1</t>
  </si>
  <si>
    <t>40408,1</t>
  </si>
  <si>
    <t>40407,1</t>
  </si>
  <si>
    <t>40409,1</t>
  </si>
  <si>
    <t>40414,1</t>
  </si>
  <si>
    <t>40415,1</t>
  </si>
  <si>
    <t>41001,1</t>
  </si>
  <si>
    <t>41002,1</t>
  </si>
  <si>
    <t>41003,1</t>
  </si>
  <si>
    <t>41008,1</t>
  </si>
  <si>
    <t>41006,1</t>
  </si>
  <si>
    <t>41009,1</t>
  </si>
  <si>
    <t>41011,1</t>
  </si>
  <si>
    <t>1,0,2</t>
    <phoneticPr fontId="1" type="noConversion"/>
  </si>
  <si>
    <t>2,0,2</t>
    <phoneticPr fontId="1" type="noConversion"/>
  </si>
  <si>
    <t>3,0,2</t>
    <phoneticPr fontId="1" type="noConversion"/>
  </si>
  <si>
    <t>4,0,2</t>
    <phoneticPr fontId="1" type="noConversion"/>
  </si>
  <si>
    <t>5,0,2</t>
    <phoneticPr fontId="1" type="noConversion"/>
  </si>
  <si>
    <t>6,0,2</t>
    <phoneticPr fontId="1" type="noConversion"/>
  </si>
  <si>
    <t>【强力连锁】lv+1</t>
  </si>
  <si>
    <t>【防御专家】lv+1</t>
  </si>
  <si>
    <t>【生存专家】lv+1</t>
  </si>
  <si>
    <t>【开拓者】lv+1</t>
  </si>
  <si>
    <t>【精力旺盛】lv+1</t>
  </si>
  <si>
    <t>【吸血鬼家族】lv+1</t>
  </si>
  <si>
    <t>【怒击】lv+1</t>
  </si>
  <si>
    <t>【冒险小队】lv+1</t>
  </si>
  <si>
    <t>【均衡天赋】lv+1</t>
  </si>
  <si>
    <t>【连锁偏好】lv+1</t>
  </si>
  <si>
    <t>【怒击强化】lv+1</t>
  </si>
  <si>
    <t>【暴击偏好】lv+1</t>
  </si>
  <si>
    <t>【嗜血】lv+1</t>
  </si>
  <si>
    <t>【破釜沉舟】lv+1</t>
  </si>
  <si>
    <t>【暴怒】lv+1</t>
  </si>
  <si>
    <t>【渴求鲜血】lv+1</t>
  </si>
  <si>
    <t>【无尽愤怒】lv+1</t>
  </si>
  <si>
    <t>【巴托里之怒】lv+1</t>
  </si>
  <si>
    <t>【诸神黄昏】lv+1</t>
  </si>
  <si>
    <t>【力击连发】lv+1</t>
  </si>
  <si>
    <t>【物理专精】lv+1</t>
  </si>
  <si>
    <t>【狂暴姿态】lv+1</t>
  </si>
  <si>
    <t>【武器大师】lv+1</t>
  </si>
  <si>
    <t>【暴乱吸血鬼】lv+1</t>
  </si>
  <si>
    <t>【急速射击】lv+1</t>
  </si>
  <si>
    <t>【火力弹幕】lv+1</t>
  </si>
  <si>
    <t>【穿透射击】lv+1</t>
  </si>
  <si>
    <t>【恩赐解脱】lv+1</t>
  </si>
  <si>
    <t>【出血】lv+1</t>
  </si>
  <si>
    <t>【夺命连射】lv+1</t>
  </si>
  <si>
    <t>【风怒打击】lv+1</t>
  </si>
  <si>
    <t>【射手天赋】lv+1</t>
  </si>
  <si>
    <t>【致命射击】lv+1</t>
  </si>
  <si>
    <t>【风行步】lv+1</t>
  </si>
  <si>
    <t>【装逼如风】lv+1</t>
  </si>
  <si>
    <t>【神威】lv+1</t>
  </si>
  <si>
    <t>【奥术球】lv+1</t>
  </si>
  <si>
    <t>【连锁大师】lv+1</t>
  </si>
  <si>
    <t>【法术威能】lv+1</t>
  </si>
  <si>
    <t>【神圣复仇】lv+1</t>
  </si>
  <si>
    <t>【法术连击】lv+1</t>
  </si>
  <si>
    <t>【奥能膨胀】lv+1</t>
  </si>
  <si>
    <t>【能量护盾】lv+1</t>
  </si>
  <si>
    <t>【法师结界】lv+1</t>
  </si>
  <si>
    <t>【防爆服】lv+1</t>
  </si>
  <si>
    <t>【上无边界】lv+1</t>
  </si>
  <si>
    <t>【回复糖果】lv+1</t>
  </si>
  <si>
    <t>【热血糖果】lv+1</t>
  </si>
  <si>
    <t>【暴力】lv+1</t>
  </si>
  <si>
    <t>【强化回复】lv+1</t>
  </si>
  <si>
    <t>【热血强化】lv+1</t>
  </si>
  <si>
    <t>【高速炼成】lv+1</t>
  </si>
  <si>
    <t>【癫狂】lv+1</t>
  </si>
  <si>
    <t>【爆炸浆果】lv+1</t>
  </si>
  <si>
    <t>【凶兆】lv+1</t>
  </si>
  <si>
    <t>【能量灌注】lv+1</t>
  </si>
  <si>
    <t>【连锁打击】lv+1</t>
  </si>
  <si>
    <t>【强击光环】lv+1</t>
  </si>
  <si>
    <t>【命令光环】lv+1</t>
  </si>
  <si>
    <t>【辉煌光环】lv+1</t>
  </si>
  <si>
    <t>【专注光环】lv+1</t>
  </si>
  <si>
    <t>【虔诚光环】lv+1</t>
  </si>
  <si>
    <t>【吸血光环】lv+1</t>
  </si>
  <si>
    <t>【正中眉心】lv+1</t>
  </si>
  <si>
    <t>【洞悉弱点】lv+1</t>
  </si>
  <si>
    <t>【冰冷智慧】lv+1</t>
  </si>
  <si>
    <t>【隐秘刀锋】lv+1</t>
  </si>
  <si>
    <t>【隐秘法球】lv+1</t>
  </si>
  <si>
    <t>【刺客之路】lv+1</t>
  </si>
  <si>
    <t>【蓄势待发】lv+1</t>
  </si>
  <si>
    <t>【暗中观察】lv+1</t>
  </si>
  <si>
    <t>【蓄力一击】lv+1</t>
  </si>
  <si>
    <t>【破隐一击】lv+1</t>
  </si>
  <si>
    <t>【暴击掌握】lv+1</t>
  </si>
  <si>
    <t>【外科手术】lv+1</t>
  </si>
  <si>
    <t>【溃烂之伤】lv+1</t>
  </si>
  <si>
    <t>【死灵法威】lv+1</t>
  </si>
  <si>
    <t>【死灵之灾】lv+1</t>
  </si>
  <si>
    <t>【灾祸】lv+1</t>
  </si>
  <si>
    <t>【死灵缠绕】lv+1</t>
  </si>
  <si>
    <t>【灵魂分流】lv+1</t>
  </si>
  <si>
    <t>【幽冥之触】lv+1</t>
  </si>
  <si>
    <t>【幽冥渗透】lv+1</t>
  </si>
  <si>
    <t>【天照】lv+1</t>
  </si>
  <si>
    <t>【虚弱诅咒】lv+1</t>
  </si>
  <si>
    <t>【亡者之墙】lv+1</t>
  </si>
  <si>
    <t>【盾牌冲锋】lv+1</t>
  </si>
  <si>
    <t>【魔法护甲】lv+1</t>
  </si>
  <si>
    <t>【护甲专精】lv+1</t>
  </si>
  <si>
    <t>【一鼓作气】lv+1</t>
  </si>
  <si>
    <t>【治愈壁垒】lv+1</t>
  </si>
  <si>
    <t>【连击壁垒】lv+1</t>
  </si>
  <si>
    <t>【尖刺护甲】lv+1</t>
  </si>
  <si>
    <t>【剑盾合璧】lv+1</t>
  </si>
  <si>
    <t>【荆棘护甲】lv+1</t>
  </si>
  <si>
    <t>【再而衰】lv+1</t>
  </si>
  <si>
    <t>【盛气凌人】lv+1</t>
  </si>
  <si>
    <t>【三而竭】lv+1</t>
  </si>
  <si>
    <t>【军神的赞美诗】lv+1</t>
  </si>
  <si>
    <t>【颅骨战歌】lv+1</t>
  </si>
  <si>
    <t>【剑士之歌】lv+1</t>
  </si>
  <si>
    <t>【牧师之歌】lv+1</t>
  </si>
  <si>
    <t>【杀意之歌】lv+1</t>
  </si>
  <si>
    <t>【拔剑神曲】lv+1</t>
  </si>
  <si>
    <t>【核爆神曲】lv+1</t>
  </si>
  <si>
    <t>【意气风发】lv+1</t>
  </si>
  <si>
    <t>强化强力连锁</t>
  </si>
  <si>
    <t>强化防御专家</t>
  </si>
  <si>
    <t>强化生存专家</t>
  </si>
  <si>
    <t>强化开拓者</t>
  </si>
  <si>
    <t>强化精力旺盛</t>
  </si>
  <si>
    <t>强化吸血鬼家族</t>
  </si>
  <si>
    <t>强化冒险小队</t>
  </si>
  <si>
    <t>强化均衡天赋</t>
  </si>
  <si>
    <t>强化连锁偏好</t>
  </si>
  <si>
    <t>强化怒击强化</t>
  </si>
  <si>
    <t>强化暴击偏好</t>
  </si>
  <si>
    <t>强化嗜血</t>
  </si>
  <si>
    <t>强化破釜沉舟</t>
  </si>
  <si>
    <t>强化暴怒</t>
  </si>
  <si>
    <t>强化渴求鲜血</t>
  </si>
  <si>
    <t>强化无尽愤怒</t>
  </si>
  <si>
    <t>强化巴托里之怒</t>
  </si>
  <si>
    <t>强化诸神黄昏</t>
  </si>
  <si>
    <t>强化力击连发</t>
  </si>
  <si>
    <t>强化物理专精</t>
  </si>
  <si>
    <t>强化狂暴姿态</t>
  </si>
  <si>
    <t>强化武器大师</t>
  </si>
  <si>
    <t>强化暴乱吸血鬼</t>
  </si>
  <si>
    <t>强化急速射击</t>
  </si>
  <si>
    <t>强化火力弹幕</t>
  </si>
  <si>
    <t>强化穿透射击</t>
  </si>
  <si>
    <t>强化恩赐解脱</t>
  </si>
  <si>
    <t>强化出血</t>
  </si>
  <si>
    <t>强化夺命连射</t>
  </si>
  <si>
    <t>强化风怒打击</t>
  </si>
  <si>
    <t>强化射手天赋</t>
  </si>
  <si>
    <t>强化致命射击</t>
  </si>
  <si>
    <t>强化风行步</t>
  </si>
  <si>
    <t>强化装逼如风</t>
  </si>
  <si>
    <t>强化神威</t>
  </si>
  <si>
    <t>强化奥术球</t>
  </si>
  <si>
    <t>强化连锁大师</t>
  </si>
  <si>
    <t>强化法术威能</t>
  </si>
  <si>
    <t>强化神圣复仇</t>
  </si>
  <si>
    <t>强化法术连击</t>
  </si>
  <si>
    <t>强化奥能膨胀</t>
  </si>
  <si>
    <t>强化能量护盾</t>
  </si>
  <si>
    <t>强化法师结界</t>
  </si>
  <si>
    <t>强化防爆服</t>
  </si>
  <si>
    <t>强化上无边界</t>
  </si>
  <si>
    <t>强化回复糖果</t>
  </si>
  <si>
    <t>强化热血糖果</t>
  </si>
  <si>
    <t>强化暴力</t>
  </si>
  <si>
    <t>强化强化回复</t>
  </si>
  <si>
    <t>强化热血强化</t>
  </si>
  <si>
    <t>强化高速炼成</t>
  </si>
  <si>
    <t>强化癫狂</t>
  </si>
  <si>
    <t>强化爆炸浆果</t>
  </si>
  <si>
    <t>强化凶兆</t>
  </si>
  <si>
    <t>强化能量灌注</t>
  </si>
  <si>
    <t>强化连锁打击</t>
  </si>
  <si>
    <t>强化强击光环</t>
  </si>
  <si>
    <t>强化命令光环</t>
  </si>
  <si>
    <t>强化辉煌光环</t>
  </si>
  <si>
    <t>强化专注光环</t>
  </si>
  <si>
    <t>强化虔诚光环</t>
  </si>
  <si>
    <t>强化吸血光环</t>
  </si>
  <si>
    <t>强化正中眉心</t>
  </si>
  <si>
    <t>强化洞悉弱点</t>
  </si>
  <si>
    <t>强化冰冷智慧</t>
  </si>
  <si>
    <t>强化隐秘刀锋</t>
  </si>
  <si>
    <t>强化隐秘法球</t>
  </si>
  <si>
    <t>强化刺客之路</t>
  </si>
  <si>
    <t>强化蓄势待发</t>
  </si>
  <si>
    <t>强化暗中观察</t>
  </si>
  <si>
    <t>强化蓄力一击</t>
  </si>
  <si>
    <t>强化破隐一击</t>
  </si>
  <si>
    <t>强化暴击掌握</t>
  </si>
  <si>
    <t>强化外科手术</t>
  </si>
  <si>
    <t>强化溃烂之伤</t>
  </si>
  <si>
    <t>强化死灵法威</t>
  </si>
  <si>
    <t>强化死灵之灾</t>
  </si>
  <si>
    <t>强化灾祸</t>
  </si>
  <si>
    <t>强化死灵缠绕</t>
  </si>
  <si>
    <t>强化灵魂分流</t>
  </si>
  <si>
    <t>强化幽冥之触</t>
  </si>
  <si>
    <t>强化幽冥渗透</t>
  </si>
  <si>
    <t>强化天照</t>
  </si>
  <si>
    <t>强化虚弱诅咒</t>
  </si>
  <si>
    <t>强化亡者之墙</t>
  </si>
  <si>
    <t>强化盾牌冲锋</t>
  </si>
  <si>
    <t>强化魔法护甲</t>
  </si>
  <si>
    <t>强化护甲专精</t>
  </si>
  <si>
    <t>强化一鼓作气</t>
  </si>
  <si>
    <t>强化治愈壁垒</t>
  </si>
  <si>
    <t>强化连击壁垒</t>
  </si>
  <si>
    <t>强化尖刺护甲</t>
  </si>
  <si>
    <t>强化剑盾合璧</t>
  </si>
  <si>
    <t>强化荆棘护甲</t>
  </si>
  <si>
    <t>强化再而衰</t>
  </si>
  <si>
    <t>强化盛气凌人</t>
  </si>
  <si>
    <t>强化三而竭</t>
  </si>
  <si>
    <t>强化军神的赞美诗</t>
  </si>
  <si>
    <t>强化颅骨战歌</t>
  </si>
  <si>
    <t>强化剑士之歌</t>
  </si>
  <si>
    <t>强化牧师之歌</t>
  </si>
  <si>
    <t>强化杀意之歌</t>
  </si>
  <si>
    <t>强化拔剑神曲</t>
  </si>
  <si>
    <t>强化核爆神曲</t>
  </si>
  <si>
    <t>强化意气风发</t>
  </si>
  <si>
    <t>41005,1</t>
  </si>
  <si>
    <t>降低敌方[100*lv]点精神</t>
    <phoneticPr fontId="1" type="noConversion"/>
  </si>
  <si>
    <t>-100*lv</t>
    <phoneticPr fontId="1" type="noConversion"/>
  </si>
  <si>
    <t>闪电射线</t>
    <phoneticPr fontId="1" type="noConversion"/>
  </si>
  <si>
    <t>造成$r[100*lv]+[90+30*lv]%*攻击力$w的光属性魔法伤害</t>
    <phoneticPr fontId="1" type="noConversion"/>
  </si>
  <si>
    <t>超电磁炮</t>
    <phoneticPr fontId="1" type="noConversion"/>
  </si>
  <si>
    <t>造成$r[100*lv]+[200+50*lv]%*攻击力$w的光属性魔法伤害</t>
    <phoneticPr fontId="1" type="noConversion"/>
  </si>
  <si>
    <t>【怒击】攻击时附加100%攻击力的伤害</t>
    <phoneticPr fontId="1" type="noConversion"/>
  </si>
  <si>
    <t>提高0.5%回避率</t>
  </si>
  <si>
    <t>行动时10%几率释放【聪聪君的祈福】随机获得1-5种buff：1.提高50点力量，智力，体力，精神 2.提高10%暴击，10%暴击伤害 3.提高5000点速度 4.提高50点全属性强化 5.提高10%命中率和回避率</t>
  </si>
  <si>
    <t>提高15%回避率</t>
  </si>
  <si>
    <t>随机获得1-5种buff：1.提高50点力量，智力，体力，精神 2.提高10%暴击，10%暴击伤害 3.提高5000点速度 4.提高50点全属性强化 5.提高10%命中率和回避率</t>
  </si>
  <si>
    <t>31138</t>
    <phoneticPr fontId="1" type="noConversion"/>
  </si>
  <si>
    <t>聪聪酱的胜利</t>
  </si>
  <si>
    <t>聪聪酱的迷之微笑</t>
  </si>
  <si>
    <t>1000</t>
    <phoneticPr fontId="1" type="noConversion"/>
  </si>
  <si>
    <t>20</t>
    <phoneticPr fontId="1" type="noConversion"/>
  </si>
  <si>
    <t>自身【剑刃风暴】附加1层流血</t>
    <phoneticPr fontId="1" type="noConversion"/>
  </si>
  <si>
    <t>自身【火球术】和【炎爆术】额外获得[(20+10*lv)]%暴击伤害并提高[2*lv]火属性强化</t>
    <phoneticPr fontId="1" type="noConversion"/>
  </si>
  <si>
    <t>【必杀技】$y12%$w几率造成$b[600+50*lv]+[(150+12*lv)]%*法术强度$w的魔法伤害，并附加1层【减速】</t>
    <phoneticPr fontId="1" type="noConversion"/>
  </si>
  <si>
    <t>$y12%$w几率消耗10能量造成$r[710+5*lv]+[(100+10*lv)]%*攻击力$w的物理伤害，15%几率附加1层【减速】</t>
    <phoneticPr fontId="1" type="noConversion"/>
  </si>
  <si>
    <t>【瞬狱杀】有$y[10+5*lv]%$w几率附加2层【灼烧】</t>
    <phoneticPr fontId="1" type="noConversion"/>
  </si>
  <si>
    <t>【天空霸邪】释放时[6+3*lv]%几率附加1层【中毒】，【裂伤】和【破防】</t>
    <phoneticPr fontId="1" type="noConversion"/>
  </si>
  <si>
    <t>$y15%$w几率造成$b[130+20*lv]+[(110+11*lv)]%*法术强度$w的魔法伤害并附加1层【破防】</t>
    <phoneticPr fontId="1" type="noConversion"/>
  </si>
  <si>
    <t>行动时有$y25%$w几率使你提高[50+30*lv]点精神（可叠加，持续1回合）</t>
    <phoneticPr fontId="1" type="noConversion"/>
  </si>
  <si>
    <t>$y12%$w几率造成$b[100+30*lv]+[(80+10*lv)]%*法术强度$w的魔法伤害，并附加1层【减速】</t>
    <phoneticPr fontId="1" type="noConversion"/>
  </si>
  <si>
    <t>$y8%$w几率消耗15点怒气，造成$r[280+20*lv]+[135+16*lv]%*攻击力$w的物理伤害并附加1层【灼烧】</t>
    <phoneticPr fontId="1" type="noConversion"/>
  </si>
  <si>
    <t>【弱化连锁】消耗45点怒气造成$r[200+65*lv]%*攻击力$w的物理伤害</t>
    <phoneticPr fontId="1" type="noConversion"/>
  </si>
  <si>
    <t>行动时有$y[10+2*lv]%$w几率附加1层【虚弱】</t>
    <phoneticPr fontId="1" type="noConversion"/>
  </si>
  <si>
    <t>被攻击时有$y[2+0.6*lv]%$w几率获得1层【荆棘】</t>
    <phoneticPr fontId="1" type="noConversion"/>
  </si>
  <si>
    <t>自身【海神洗礼】额外回复$g[50+15*lv]%*攻击力+[650+150*lv]$w的血量</t>
    <phoneticPr fontId="1" type="noConversion"/>
  </si>
  <si>
    <t>【普通攻击】提高[0.5+0.1*lv]%暴击伤害（可叠加）</t>
    <phoneticPr fontId="1" type="noConversion"/>
  </si>
  <si>
    <t>自身【冲刺铁拳】伤害提高[6+2*lv]%，10级之后释放【冲刺铁拳】获得1层【迅捷】</t>
    <phoneticPr fontId="1" type="noConversion"/>
  </si>
  <si>
    <t>自身【方块冲击】释放后提高[120+60*lv]点攻击附加伤害</t>
    <phoneticPr fontId="1" type="noConversion"/>
  </si>
  <si>
    <t>$y4%$w几率造成$r[60+20*lv]+[100+200*lv]%*攻击力$w的物理伤害，并降低己方6000点速度（持续1回合）</t>
    <phoneticPr fontId="1" type="noConversion"/>
  </si>
  <si>
    <t>【症状连锁】$y30%$w几率提高[6+1*lv]%暴击（可叠加，最多5层，持续3回合）</t>
    <phoneticPr fontId="1" type="noConversion"/>
  </si>
  <si>
    <t>行动有$y[5+lv]%$w几率附加1层【中毒】</t>
    <phoneticPr fontId="1" type="noConversion"/>
  </si>
  <si>
    <t>自身【挖金矿】有$y[3+lv]%$w几率附加1层【灼烧】</t>
    <phoneticPr fontId="1" type="noConversion"/>
  </si>
  <si>
    <t>行动有$y[7+lv]%$w几率获得1层【迅捷】</t>
    <phoneticPr fontId="1" type="noConversion"/>
  </si>
  <si>
    <t>行动有$y[4+2*lv]%$w几率附加1层【中毒】</t>
    <phoneticPr fontId="1" type="noConversion"/>
  </si>
  <si>
    <t>行动时$y[10+2*lv]%$w几率获得1层【暴怒】</t>
    <phoneticPr fontId="1" type="noConversion"/>
  </si>
  <si>
    <t>行动时5%几率伤害变为火属性（持续1回合）</t>
    <phoneticPr fontId="1" type="noConversion"/>
  </si>
  <si>
    <t>行动时5%几率伤害变为冰属性（持续1回合）</t>
    <phoneticPr fontId="1" type="noConversion"/>
  </si>
  <si>
    <t>连击装置中物理攻击变为魔法伤害，魔法攻击变为物理伤害</t>
    <phoneticPr fontId="1" type="noConversion"/>
  </si>
  <si>
    <t>自身【开膛手】暴击时无视敌方30%魔抗</t>
    <phoneticPr fontId="1" type="noConversion"/>
  </si>
  <si>
    <t>自身【审判连击】释放后本回合获得600点双穿</t>
    <phoneticPr fontId="1" type="noConversion"/>
  </si>
  <si>
    <t>自身【血腥狂舞】提高50%治疗效果</t>
    <phoneticPr fontId="1" type="noConversion"/>
  </si>
  <si>
    <t>被攻击时20%几率获得1层【报复】</t>
    <phoneticPr fontId="1" type="noConversion"/>
  </si>
  <si>
    <t>行动时20%几率获得5层【攻击强化】</t>
    <phoneticPr fontId="1" type="noConversion"/>
  </si>
  <si>
    <t>行动时5%几率释放【雷神之怒】</t>
    <phoneticPr fontId="1" type="noConversion"/>
  </si>
  <si>
    <t>行动时随机获得1-3层【再生】</t>
    <phoneticPr fontId="1" type="noConversion"/>
  </si>
  <si>
    <t>行动时随机附加1-3层【裂伤】</t>
    <phoneticPr fontId="1" type="noConversion"/>
  </si>
  <si>
    <t>行动时20%几率附加1层【破防】</t>
    <phoneticPr fontId="1" type="noConversion"/>
  </si>
  <si>
    <t>行动时20%几率获得1层【吸血鬼】</t>
    <phoneticPr fontId="1" type="noConversion"/>
  </si>
  <si>
    <t>敌方生命值低于30%时，提高10%所有伤害</t>
    <phoneticPr fontId="1" type="noConversion"/>
  </si>
  <si>
    <t>被攻击时30%几率获得1层【荆棘】</t>
    <phoneticPr fontId="1" type="noConversion"/>
  </si>
  <si>
    <t>被攻击时9%几率获得1层【护卫】</t>
    <phoneticPr fontId="1" type="noConversion"/>
  </si>
  <si>
    <t>被攻击时0.5%几率附加1层【眩晕】</t>
    <phoneticPr fontId="1" type="noConversion"/>
  </si>
  <si>
    <t>被攻击时0.5%几率附加1层【忘却】</t>
    <phoneticPr fontId="1" type="noConversion"/>
  </si>
  <si>
    <t>被攻击时1%几率附加1层【减速】</t>
    <phoneticPr fontId="1" type="noConversion"/>
  </si>
  <si>
    <t>行动时附加2%智力的伤害</t>
    <phoneticPr fontId="1" type="noConversion"/>
  </si>
  <si>
    <t>行动时附加2%体力的伤害</t>
    <phoneticPr fontId="1" type="noConversion"/>
  </si>
  <si>
    <t>行动时附加2%精神的伤害</t>
    <phoneticPr fontId="1" type="noConversion"/>
  </si>
  <si>
    <t>行动时10%几率提高1点暗属性强化</t>
    <phoneticPr fontId="1" type="noConversion"/>
  </si>
  <si>
    <t>行动时1%几率提高15点暗属性强化</t>
    <phoneticPr fontId="1" type="noConversion"/>
  </si>
  <si>
    <t>行动时20%几率获得5层【荆棘】</t>
    <phoneticPr fontId="1" type="noConversion"/>
  </si>
  <si>
    <t>行动时20%几率获得5层【暴怒】</t>
    <phoneticPr fontId="1" type="noConversion"/>
  </si>
  <si>
    <t>行动时20%几率获得5层【迅捷】</t>
    <phoneticPr fontId="1" type="noConversion"/>
  </si>
  <si>
    <t>行动时20%几率获得5层【再生】</t>
    <phoneticPr fontId="1" type="noConversion"/>
  </si>
  <si>
    <t>行动时20%几率获得5层【威能】</t>
    <phoneticPr fontId="1" type="noConversion"/>
  </si>
  <si>
    <t>行动时一定几率随机获得1层【暴怒】【威能】【再生】【迅捷】【流血】【中毒】</t>
    <phoneticPr fontId="1" type="noConversion"/>
  </si>
  <si>
    <t>被攻击时10%几率获得3层【报复】，1%获得1层【虚弱】</t>
    <phoneticPr fontId="1" type="noConversion"/>
  </si>
  <si>
    <t>行动时10%几率获得5层【暴怒】，1%几率获得1层【破防】</t>
    <phoneticPr fontId="1" type="noConversion"/>
  </si>
  <si>
    <t>行动时2%几率获得10层【吸血鬼】</t>
    <phoneticPr fontId="1" type="noConversion"/>
  </si>
  <si>
    <t>行动时5%几率附加2层【眩晕】</t>
    <phoneticPr fontId="1" type="noConversion"/>
  </si>
  <si>
    <t>被攻击时40%几率附加1层【流血】</t>
    <phoneticPr fontId="1" type="noConversion"/>
  </si>
  <si>
    <t>行动时30%几率获得1层【神圣之光】</t>
    <phoneticPr fontId="1" type="noConversion"/>
  </si>
  <si>
    <t>行动时30%几率获得2层【神圣之光】，1层【再生】</t>
    <phoneticPr fontId="1" type="noConversion"/>
  </si>
  <si>
    <t>暴击时获得1层【吸血鬼】</t>
    <phoneticPr fontId="1" type="noConversion"/>
  </si>
  <si>
    <t>暴击时获得2层【吸血鬼】</t>
    <phoneticPr fontId="1" type="noConversion"/>
  </si>
  <si>
    <t>暴击时附加1层【中毒】</t>
    <phoneticPr fontId="1" type="noConversion"/>
  </si>
  <si>
    <t>暴击时附加2层【中毒】</t>
    <phoneticPr fontId="1" type="noConversion"/>
  </si>
  <si>
    <t>提高12%附加伤害</t>
    <phoneticPr fontId="1" type="noConversion"/>
  </si>
  <si>
    <t>提高2%技能伤害和治疗效果</t>
    <phoneticPr fontId="1" type="noConversion"/>
  </si>
  <si>
    <t>提高30%附加伤害</t>
    <phoneticPr fontId="1" type="noConversion"/>
  </si>
  <si>
    <t>提高30%所有伤害</t>
    <phoneticPr fontId="1" type="noConversion"/>
  </si>
  <si>
    <t>提高40点全属性强化和30%所有伤害</t>
    <phoneticPr fontId="1" type="noConversion"/>
  </si>
  <si>
    <t>提高100点护甲和魔抗</t>
    <phoneticPr fontId="1" type="noConversion"/>
  </si>
  <si>
    <t>被攻击时获得1层【荆棘】</t>
    <phoneticPr fontId="1" type="noConversion"/>
  </si>
  <si>
    <t>行动时30%附加2层【流血】</t>
    <phoneticPr fontId="1" type="noConversion"/>
  </si>
  <si>
    <t>【审判之锤】附加1%最大生命值的伤害</t>
    <phoneticPr fontId="1" type="noConversion"/>
  </si>
  <si>
    <t>提高30%连锁技能伤害</t>
    <phoneticPr fontId="1" type="noConversion"/>
  </si>
  <si>
    <t>提高1000点护甲穿透和法术穿透</t>
    <phoneticPr fontId="1" type="noConversion"/>
  </si>
  <si>
    <t>行动时15%几率提高1000点速度</t>
    <phoneticPr fontId="1" type="noConversion"/>
  </si>
  <si>
    <t>提高2000点魔抗和1000点法术穿透</t>
    <phoneticPr fontId="1" type="noConversion"/>
  </si>
  <si>
    <t>提高[1+0.45*lv]%吸血和[1+0.45*lv]%暴击</t>
    <phoneticPr fontId="1" type="noConversion"/>
  </si>
  <si>
    <t>大于8回合时提高15%所有伤害</t>
    <rPh sb="0" eb="1">
      <t>kai qiao</t>
    </rPh>
    <rPh sb="5" eb="6">
      <t>hui he</t>
    </rPh>
    <rPh sb="7" eb="8">
      <t>shang hai</t>
    </rPh>
    <rPh sb="9" eb="10">
      <t>ti gao</t>
    </rPh>
    <phoneticPr fontId="1" type="noConversion"/>
  </si>
  <si>
    <t>提高[100+20*lv]点护甲穿透和[2+0.4*lv]%暴击</t>
    <phoneticPr fontId="1" type="noConversion"/>
  </si>
  <si>
    <t>提高[100+45*lv]点速度和[10*lv]点队伍攻击力</t>
    <phoneticPr fontId="1" type="noConversion"/>
  </si>
  <si>
    <t>获得1层【迅捷】</t>
    <phoneticPr fontId="1" type="noConversion"/>
  </si>
  <si>
    <t>提高[2*lv]点光属性强化和暗属性强化</t>
    <phoneticPr fontId="1" type="noConversion"/>
  </si>
  <si>
    <t>行动时[2+0.9*lv]%几率附加1层【虚弱】，提高[1*lv]%连锁技能伤害</t>
    <phoneticPr fontId="1" type="noConversion"/>
  </si>
  <si>
    <t>提高[100+10*lv]智力和[0.5*lv]%暴击</t>
    <phoneticPr fontId="1" type="noConversion"/>
  </si>
  <si>
    <t>行动时提高本回合[40+10*lv]点队伍法术强度</t>
    <phoneticPr fontId="1" type="noConversion"/>
  </si>
  <si>
    <t>被暴击时提高[20+4*lv]点精神（最多叠加5层）</t>
    <phoneticPr fontId="1" type="noConversion"/>
  </si>
  <si>
    <t>每次触发多重施法恢复[2+0.5*lv]点法力值</t>
    <phoneticPr fontId="1" type="noConversion"/>
  </si>
  <si>
    <t>每10000点护甲提高[1+0.45*lv]%治疗效果</t>
    <phoneticPr fontId="1" type="noConversion"/>
  </si>
  <si>
    <t>每10000点护甲提高[0.5+0.225*lv]%多重施法</t>
    <phoneticPr fontId="1" type="noConversion"/>
  </si>
  <si>
    <t>前3回合提高[300+60*lv]点护甲穿透和[600+120*lv]点速度</t>
  </si>
  <si>
    <t>前3回合提高[160+32*lv]点精神</t>
  </si>
  <si>
    <t>6回合后提高[15+1*lv]%所有伤害</t>
    <phoneticPr fontId="1" type="noConversion"/>
  </si>
  <si>
    <t>【吟唱】消耗60点能量，获得一个随机强力效果</t>
    <phoneticPr fontId="1" type="noConversion"/>
  </si>
  <si>
    <t>敌方生命值高于80%，提高[10+2*lv]%所有伤害</t>
    <phoneticPr fontId="1" type="noConversion"/>
  </si>
  <si>
    <t>提高[1+0.45*lv]%暴击和提高[1+0.45*lv]%吸血</t>
    <phoneticPr fontId="1" type="noConversion"/>
  </si>
  <si>
    <t>提高[3+1.35*lv]%连锁技能伤害</t>
    <phoneticPr fontId="1" type="noConversion"/>
  </si>
  <si>
    <t>提高[9+1.8*lv]%连锁技能暴击伤害</t>
    <phoneticPr fontId="1" type="noConversion"/>
  </si>
  <si>
    <t>提高[20+9*lv]点体力和[30+8*lv]点精神</t>
    <phoneticPr fontId="1" type="noConversion"/>
  </si>
  <si>
    <t>【吟唱】本回合每次行动有30%几率恢复[10+lv]点怒气，能量和法力</t>
    <phoneticPr fontId="1" type="noConversion"/>
  </si>
  <si>
    <t>提高[1.5*lv]%持续伤害和[100+45*lv]点速度</t>
    <phoneticPr fontId="1" type="noConversion"/>
  </si>
  <si>
    <t>行动时[1+0.45*lv]%几率随机附加1层【中毒】、【流血】、【灼烧】</t>
    <phoneticPr fontId="1" type="noConversion"/>
  </si>
  <si>
    <t>提高[2*lv]点火属性强化和暗属性强化</t>
    <phoneticPr fontId="1" type="noConversion"/>
  </si>
  <si>
    <t>被暴击时降低敌方[1+0.2*lv]%治疗效果（最多叠加10层）</t>
    <phoneticPr fontId="1" type="noConversion"/>
  </si>
  <si>
    <t>被暴击时[60+2*lv]%几率附加1层【减速】</t>
    <phoneticPr fontId="1" type="noConversion"/>
  </si>
  <si>
    <t>提高[100+45*lv]点速度和[50+8*lv]点体力</t>
    <phoneticPr fontId="1" type="noConversion"/>
  </si>
  <si>
    <t>【光明之泉】释放后[20+4*lv]%几率获得2层【再生】</t>
    <phoneticPr fontId="1" type="noConversion"/>
  </si>
  <si>
    <t>【回春】释放后[10+2*lv]%几率获得5层【迅捷】</t>
    <phoneticPr fontId="1" type="noConversion"/>
  </si>
  <si>
    <t>提高[1+0.2*lv]%多重施法和[1+0.45*lv]%吸血</t>
    <phoneticPr fontId="1" type="noConversion"/>
  </si>
  <si>
    <t>【光明之泉】提高[6+2.7*lv]%治疗效果</t>
    <phoneticPr fontId="1" type="noConversion"/>
  </si>
  <si>
    <t>【吟唱】本回合获得[2*lv]%暴击，[20+2*lv]%暴击伤害</t>
    <phoneticPr fontId="1" type="noConversion"/>
  </si>
  <si>
    <t>提高[3+0.6*lv]%暴击和[0.8+0.36*lv]%暴击伤害</t>
    <phoneticPr fontId="1" type="noConversion"/>
  </si>
  <si>
    <t>【回复糖果】提高[10+4.5*lv]%治疗效果</t>
    <phoneticPr fontId="1" type="noConversion"/>
  </si>
  <si>
    <t>提高[1+0.2*lv]%回合生命恢复和[1+0.2*lv]%多重施法</t>
    <phoneticPr fontId="1" type="noConversion"/>
  </si>
  <si>
    <t>每回合连锁技能次数+1，降低[45-2*lv]%连锁技能伤害</t>
    <phoneticPr fontId="1" type="noConversion"/>
  </si>
  <si>
    <t>【吟唱】下3个火焰技能提高[3+1.5*lv]%附加伤害</t>
    <phoneticPr fontId="1" type="noConversion"/>
  </si>
  <si>
    <t>【吟唱】下3个光系技能提高[3+1.35*lv]%吸血</t>
    <phoneticPr fontId="1" type="noConversion"/>
  </si>
  <si>
    <t>提高[lv]点怒气，能量，法力上限，每10级提高10%回复速度</t>
    <phoneticPr fontId="1" type="noConversion"/>
  </si>
  <si>
    <t>行动时有20%几率附加1层【流血】</t>
    <phoneticPr fontId="1" type="noConversion"/>
  </si>
  <si>
    <t>造成$b[100*lv]+[90+25*lv]%*攻击力$w的暗属性魔法伤害，附加3层【虚弱】</t>
    <phoneticPr fontId="1" type="noConversion"/>
  </si>
  <si>
    <t>狂战士</t>
    <phoneticPr fontId="1" type="noConversion"/>
  </si>
  <si>
    <t>大法师</t>
    <phoneticPr fontId="1" type="noConversion"/>
  </si>
  <si>
    <t>重甲骑士</t>
    <phoneticPr fontId="1" type="noConversion"/>
  </si>
  <si>
    <t>隐秘者</t>
    <phoneticPr fontId="1" type="noConversion"/>
  </si>
  <si>
    <t>冒险家</t>
    <phoneticPr fontId="1" type="noConversion"/>
  </si>
  <si>
    <t>死灵术士</t>
    <phoneticPr fontId="1" type="noConversion"/>
  </si>
  <si>
    <t>光明祭祀</t>
    <phoneticPr fontId="1" type="noConversion"/>
  </si>
  <si>
    <t>炼金师</t>
    <phoneticPr fontId="1" type="noConversion"/>
  </si>
  <si>
    <t>吟游诗人</t>
    <phoneticPr fontId="1" type="noConversion"/>
  </si>
  <si>
    <t>天赋等级</t>
    <phoneticPr fontId="1" type="noConversion"/>
  </si>
  <si>
    <t>int:inilevel</t>
    <phoneticPr fontId="1" type="noConversion"/>
  </si>
  <si>
    <t>int:levelup</t>
    <phoneticPr fontId="1" type="noConversion"/>
  </si>
  <si>
    <t>int:maxlevel</t>
    <phoneticPr fontId="1" type="noConversion"/>
  </si>
  <si>
    <t>sp</t>
    <phoneticPr fontId="1" type="noConversion"/>
  </si>
  <si>
    <t>ld_talentunlock:order=key</t>
    <phoneticPr fontId="1" type="noConversion"/>
  </si>
  <si>
    <t>list&lt;struct&lt;int:addstate&gt;&gt;:skillup</t>
    <phoneticPr fontId="1" type="noConversion"/>
  </si>
  <si>
    <t>int:statetarget=1</t>
    <phoneticPr fontId="1" type="noConversion"/>
  </si>
  <si>
    <t>吟游诗人所有技能lv+1</t>
    <phoneticPr fontId="1" type="noConversion"/>
  </si>
  <si>
    <t>提高[0.8+0.3*lv]%吸血（可叠加）</t>
    <phoneticPr fontId="1" type="noConversion"/>
  </si>
  <si>
    <t>自身【血祭】额外附加1层【灼烧】</t>
    <phoneticPr fontId="1" type="noConversion"/>
  </si>
  <si>
    <t>提高[6+lv]%持续伤害（可叠加）</t>
    <phoneticPr fontId="1" type="noConversion"/>
  </si>
  <si>
    <t>提高[0.2*lv+1.2]%吸血和[20*lv+120]点护甲（可叠加）</t>
    <phoneticPr fontId="1" type="noConversion"/>
  </si>
  <si>
    <t>【弱化连锁】提高[600+100*lv]点速度和[20+10*lv]点队伍攻击力（可叠加）</t>
    <phoneticPr fontId="1" type="noConversion"/>
  </si>
  <si>
    <t>【普通攻击】附加敌方[2+0.5*lv]%护甲的伤害（可叠加）</t>
    <phoneticPr fontId="1" type="noConversion"/>
  </si>
  <si>
    <t>提高[10+2*lv]点队伍法术强度和[50+10*lv]点速度（可叠加）</t>
    <phoneticPr fontId="1" type="noConversion"/>
  </si>
  <si>
    <t>降低[(3+0.2*lv)]%受到伤害（可叠加）</t>
    <phoneticPr fontId="1" type="noConversion"/>
  </si>
  <si>
    <t>提高[140+20*lv]点速度（可叠加）</t>
    <phoneticPr fontId="1" type="noConversion"/>
  </si>
  <si>
    <t>提高[0.3*lv+1.3]%暴击（可叠加）</t>
    <phoneticPr fontId="1" type="noConversion"/>
  </si>
  <si>
    <t>提高[0.2*lv+1.8]%吸血（可叠加）</t>
    <phoneticPr fontId="1" type="noConversion"/>
  </si>
  <si>
    <t>提高[0.2*lv+1]%暴击（可叠加）</t>
    <phoneticPr fontId="1" type="noConversion"/>
  </si>
  <si>
    <t>被攻击时提高[2+2*lv]点队伍攻击力（可叠加）</t>
    <phoneticPr fontId="1" type="noConversion"/>
  </si>
  <si>
    <t>提高[20*lv+170]点护甲穿透（可叠加）</t>
    <phoneticPr fontId="1" type="noConversion"/>
  </si>
  <si>
    <t>提高[100+12*lv]点法术穿透（可叠加）</t>
    <phoneticPr fontId="1" type="noConversion"/>
  </si>
  <si>
    <t>提高[3+lv]点冰属性强化（可叠加）</t>
    <phoneticPr fontId="1" type="noConversion"/>
  </si>
  <si>
    <t>自身【温柔相】提升[(8+3*lv)]%治疗效果</t>
    <phoneticPr fontId="1" type="noConversion"/>
  </si>
  <si>
    <t>自身【多重射击】提高(暴击/5+[5*lv]%)伤害</t>
    <phoneticPr fontId="1" type="noConversion"/>
  </si>
  <si>
    <t>自身【殉道者】提高[10+10*lv]%暴击伤害</t>
    <phoneticPr fontId="1" type="noConversion"/>
  </si>
  <si>
    <t>自身【秘术射击】和【精准弹幕】获得[1+1*lv]%多重施法，提高5点光属性强化</t>
    <phoneticPr fontId="1" type="noConversion"/>
  </si>
  <si>
    <t>自身【雷切】提高[30+5*lv]%暴击伤害，10级后暴击额外恢复30能量</t>
    <phoneticPr fontId="1" type="noConversion"/>
  </si>
  <si>
    <t>提高自身[9+4*lv]%暴击</t>
    <phoneticPr fontId="1" type="noConversion"/>
  </si>
  <si>
    <t>$y15%$w几率造成$r[1200+700]$w的物理伤害并回复15点怒气，提高[6+2*lv]点精神</t>
    <phoneticPr fontId="1" type="noConversion"/>
  </si>
  <si>
    <t>【吟唱】本回合提高[400+250*lv]队伍攻击力和队伍法术强度</t>
    <phoneticPr fontId="1" type="noConversion"/>
  </si>
  <si>
    <t>佩戴特制的力量腰带后力量涌出，提高[0.7+0.2*lv]%暴击和[1+0.5*lv]%暴击伤害</t>
    <phoneticPr fontId="1" type="noConversion"/>
  </si>
  <si>
    <t>自身【怒击】提高20%暴击</t>
  </si>
  <si>
    <t>【审判之锤】提高20%暴击</t>
  </si>
  <si>
    <t>【风怒打击】提高20%暴击</t>
  </si>
  <si>
    <t>提高25%暴击</t>
  </si>
  <si>
    <t>自身【横扫千军】降低敌人[20+8*lv]点护甲和[25+15*lv]点速度</t>
    <phoneticPr fontId="1" type="noConversion"/>
  </si>
  <si>
    <t>自身【超究武神霸斩】会忽略敌方[6+lv]%护甲</t>
    <phoneticPr fontId="1" type="noConversion"/>
  </si>
  <si>
    <t>自身【阎魔刀】有$y[8+3*lv]%$w几率再放一次</t>
    <phoneticPr fontId="1" type="noConversion"/>
  </si>
  <si>
    <t>【冲刺铁拳】释放获得1层【迅捷】</t>
    <phoneticPr fontId="1" type="noConversion"/>
  </si>
  <si>
    <t>连击装置中提高[2+lv]%技能伤害和治疗效果</t>
    <phoneticPr fontId="1" type="noConversion"/>
  </si>
  <si>
    <t>自身【豪火球】有30%几率额外释放一个20级【豪火球】</t>
    <phoneticPr fontId="1" type="noConversion"/>
  </si>
  <si>
    <t>【普通攻击】提高10%暴击和10%命中率</t>
    <phoneticPr fontId="1" type="noConversion"/>
  </si>
  <si>
    <t>【暗影炸弹】提高20%暴击</t>
    <phoneticPr fontId="1" type="noConversion"/>
  </si>
  <si>
    <t>【吟唱】本回合提高[20+4*lv]%治疗效果和[10+lv]%吸血，并附加2层【流血】</t>
    <phoneticPr fontId="1" type="noConversion"/>
  </si>
  <si>
    <t>【审判之锤】提高50%吸血</t>
  </si>
  <si>
    <t>造成$b[100*lv]+[90+30*lv]%*法术强度$w的魔法伤害，该技能拥有50%吸血</t>
    <rPh sb="25" eb="26">
      <t>fa shu qiang du</t>
    </rPh>
    <phoneticPr fontId="1" type="noConversion"/>
  </si>
  <si>
    <t>提高[lv]%吸血</t>
  </si>
  <si>
    <t>行动时偷取敌方[0.2*lv]%吸血</t>
  </si>
  <si>
    <t>免疫一次死亡，获得一层【护卫】，并获得50%额外吸血和[50*lv]点力量和智力，持续3回合</t>
  </si>
  <si>
    <t>提高[1+0.45*lv]%暴击伤害和[1.5+0.65*lv]%暴击</t>
    <phoneticPr fontId="1" type="noConversion"/>
  </si>
  <si>
    <t>前3回合提高[(1.5+0.5*lv)]%暴击（可叠加，持续3回合）</t>
    <phoneticPr fontId="1" type="noConversion"/>
  </si>
  <si>
    <t>前5回合速度提高2000点</t>
    <phoneticPr fontId="1" type="noConversion"/>
  </si>
  <si>
    <t>前6回合提高1000点护甲穿透</t>
    <phoneticPr fontId="1" type="noConversion"/>
  </si>
  <si>
    <t>前6回合提高1000点法术穿透</t>
    <phoneticPr fontId="1" type="noConversion"/>
  </si>
  <si>
    <t>前3回合提高40%暴击，提高40%暴击伤害</t>
    <phoneticPr fontId="1" type="noConversion"/>
  </si>
  <si>
    <t>前6回合精神提高[60+22*lv]点</t>
    <phoneticPr fontId="1" type="noConversion"/>
  </si>
  <si>
    <t>6回合后消耗60点能量，$r[100*lv]+[90+45*lv]%*攻击力$w的物理伤害</t>
    <phoneticPr fontId="1" type="noConversion"/>
  </si>
  <si>
    <t>6回合后消耗60点能量，$b[100*lv]+[90+45*lv]%*攻击力$w的魔法伤害</t>
    <phoneticPr fontId="1" type="noConversion"/>
  </si>
  <si>
    <t>消耗40点能量造成$r[100*lv]+[90+40*lv]%*攻击力$w的物理伤害</t>
    <phoneticPr fontId="1" type="noConversion"/>
  </si>
  <si>
    <t>【审判之锤】提高100点速度和3点光属性强化</t>
    <phoneticPr fontId="1" type="noConversion"/>
  </si>
  <si>
    <t>行动时5%几率释放20级【风怒打击】</t>
    <phoneticPr fontId="1" type="noConversion"/>
  </si>
  <si>
    <t>【怒火聚焦】使下一次攻击提高50%暴击</t>
    <phoneticPr fontId="1" type="noConversion"/>
  </si>
  <si>
    <t>行动时1%几率造成50%当前生命值的伤害</t>
    <phoneticPr fontId="1" type="noConversion"/>
  </si>
  <si>
    <t>【痛苦无常】额外获得5层【神圣之光】</t>
    <phoneticPr fontId="1" type="noConversion"/>
  </si>
  <si>
    <t>发动回合提高10点全属性强化</t>
    <phoneticPr fontId="1" type="noConversion"/>
  </si>
  <si>
    <t>敌方生命值高于80%，提高[15+3*lv]%暴击伤害</t>
    <phoneticPr fontId="1" type="noConversion"/>
  </si>
  <si>
    <t>提高[4+lv]点怒气上限（可叠加）</t>
    <phoneticPr fontId="1" type="noConversion"/>
  </si>
  <si>
    <t>每消耗1点能量，回复[5*lv+50]点血量（可叠加）</t>
    <phoneticPr fontId="1" type="noConversion"/>
  </si>
  <si>
    <t>行动时有[12+2*lv]%几率减少敌方3点法力值（可叠加）</t>
    <phoneticPr fontId="1" type="noConversion"/>
  </si>
  <si>
    <t>行动时有[12+2*lv]%几率回复3点能量（可叠加）</t>
    <phoneticPr fontId="1" type="noConversion"/>
  </si>
  <si>
    <t>提高[(40+24*lv)]点法术穿透（可叠加）</t>
    <phoneticPr fontId="1" type="noConversion"/>
  </si>
  <si>
    <t>提高[20*lv+80]点速度和[0.3*lv+1.2]%治疗效果（可叠加）</t>
    <phoneticPr fontId="1" type="noConversion"/>
  </si>
  <si>
    <t>提高[1+0.1*lv]%多重施法（可叠加）</t>
    <phoneticPr fontId="1" type="noConversion"/>
  </si>
  <si>
    <t>提高[100+20*lv]点护甲（可叠加）</t>
    <phoneticPr fontId="1" type="noConversion"/>
  </si>
  <si>
    <t>提高[50+40*lv]点护甲和[40+35*lv]点魔抗（可叠加）</t>
    <phoneticPr fontId="1" type="noConversion"/>
  </si>
  <si>
    <t>敌方生命值低于$y40%$w时，提高[(80+80*lv)]点速度（可叠加）</t>
    <phoneticPr fontId="1" type="noConversion"/>
  </si>
  <si>
    <t>敌方生命值低于$y35%$w时，提高[(80+80*lv)]点护甲穿透（可叠加）</t>
    <phoneticPr fontId="1" type="noConversion"/>
  </si>
  <si>
    <t>敌方生命值高于$y75%$w时，提高[(200+300*lv)/100]%治疗效果（可叠加）</t>
    <phoneticPr fontId="1" type="noConversion"/>
  </si>
  <si>
    <t>【普通攻击】附加$r[(5+2*lv)]%*法术强度+[(3+1*lv)]%*攻击力$w的伤害（可叠加）</t>
    <phoneticPr fontId="1" type="noConversion"/>
  </si>
  <si>
    <t>提高[20+10*lv]点护甲，受到攻击时对敌方造成$o[(5+0.5*lv)]%*攻击力+[(7+0.5*lv)]%*法术强度$w的伤害（可叠加）</t>
    <phoneticPr fontId="1" type="noConversion"/>
  </si>
  <si>
    <t>提高[10+10*lv]点护甲和魔抗，提高[20+25*lv]点攻击力和法术强度（可叠加）</t>
    <phoneticPr fontId="1" type="noConversion"/>
  </si>
  <si>
    <t>【吟唱】本回合所有技能释放2次，伤害降低[60-3*lv]%</t>
    <phoneticPr fontId="1" type="noConversion"/>
  </si>
  <si>
    <t>$y12%$w几率造成$b[120+20*lv]+[(100+5*lv)]%*法术强度$w的魔法伤害，提高[(150+25*lv)]点精神（持续1回合）</t>
    <phoneticPr fontId="1" type="noConversion"/>
  </si>
  <si>
    <t>提高[10+18*lv]点护甲和[(50+5*lv)/100]%治疗效果（可叠加）</t>
    <phoneticPr fontId="1" type="noConversion"/>
  </si>
  <si>
    <t>提高[20+18*lv]点魔抗和[10+10*lv]点法术穿透（可叠加）</t>
    <phoneticPr fontId="1" type="noConversion"/>
  </si>
  <si>
    <t>提高[(100+50*lv)/100]%治疗效果和[1+0.2*lv]%血量（可叠加）</t>
    <phoneticPr fontId="1" type="noConversion"/>
  </si>
  <si>
    <t>提高[210+20*lv]点速度（可叠加）</t>
    <phoneticPr fontId="1" type="noConversion"/>
  </si>
  <si>
    <t>提高[120+20*lv]点护甲穿透和法术穿透（可叠加）</t>
    <phoneticPr fontId="1" type="noConversion"/>
  </si>
  <si>
    <t>提高[4+1*lv]%连锁技能伤害（可叠加）</t>
    <phoneticPr fontId="1" type="noConversion"/>
  </si>
  <si>
    <t>提高[1.2+0.2*lv]%暴击（可叠加）</t>
    <phoneticPr fontId="1" type="noConversion"/>
  </si>
  <si>
    <t>暴击时附加[1.5+1.5*lv]%*攻击力+[2+2*lv]%*法术强度的伤害（可叠加）</t>
    <phoneticPr fontId="1" type="noConversion"/>
  </si>
  <si>
    <t>提高[90+30*lv]点护甲和魔抗（可叠加）</t>
    <phoneticPr fontId="1" type="noConversion"/>
  </si>
  <si>
    <t>暴击时提高[23+3*lv]速度和护甲穿透（可叠加）</t>
    <phoneticPr fontId="1" type="noConversion"/>
  </si>
  <si>
    <t>提高[0.8+0.3*lv]%暴击伤害（可叠加）</t>
    <phoneticPr fontId="1" type="noConversion"/>
  </si>
  <si>
    <t>提高[1.7+0.7*lv]点火属性强化（可叠加）</t>
    <phoneticPr fontId="1" type="noConversion"/>
  </si>
  <si>
    <t>提高[40+60*lv]点护甲穿透和[10+15*lv]点魔抗（可叠加）</t>
    <phoneticPr fontId="1" type="noConversion"/>
  </si>
  <si>
    <t>提高[0.3+0.1*lv]%多重施法和[0.3+0.1*lv]%吸血（可叠加）</t>
    <phoneticPr fontId="1" type="noConversion"/>
  </si>
  <si>
    <t>提高[5*lv]点队伍攻击力（可叠加）</t>
    <phoneticPr fontId="1" type="noConversion"/>
  </si>
  <si>
    <t>提高[1.1+0.2*lv]%吸血（可叠加）</t>
    <phoneticPr fontId="1" type="noConversion"/>
  </si>
  <si>
    <t>提高[70+30*lv]点护甲，魔抗和[20+10*lv]点速度（可叠加）</t>
    <phoneticPr fontId="1" type="noConversion"/>
  </si>
  <si>
    <t>自身【豪火球】提高[100+150*lv]点法术穿透，自身【火遁·凤仙火】提高[20+5*lv]%暴击伤害</t>
    <phoneticPr fontId="1" type="noConversion"/>
  </si>
  <si>
    <t>提高[3.5+0.5*lv]点光属性强化（可叠加）</t>
    <phoneticPr fontId="1" type="noConversion"/>
  </si>
  <si>
    <t>提高[33+7*lv]点精神（可叠加）</t>
    <phoneticPr fontId="1" type="noConversion"/>
  </si>
  <si>
    <t>【吟唱】获得[1*lv]层【迅捷】</t>
    <phoneticPr fontId="1" type="noConversion"/>
  </si>
  <si>
    <t>获得[1+1*lv]层【元素强化】</t>
    <phoneticPr fontId="1" type="noConversion"/>
  </si>
  <si>
    <t>提高[3.2+0.4*lv]点暗属性强化（可叠加）</t>
    <phoneticPr fontId="1" type="noConversion"/>
  </si>
  <si>
    <t>提高[4+1*lv]点能量上限（可叠加）</t>
    <phoneticPr fontId="1" type="noConversion"/>
  </si>
  <si>
    <t>提高[30+10*lv]点队伍攻击力（可叠加）</t>
    <phoneticPr fontId="1" type="noConversion"/>
  </si>
  <si>
    <t>提高[1+0.2*lv]%治疗效果（可叠加）</t>
    <phoneticPr fontId="1" type="noConversion"/>
  </si>
  <si>
    <t>提高[60+40*lv]点护甲穿透和[0.6+0.4*lv]%暴击伤害（可叠加）</t>
    <phoneticPr fontId="1" type="noConversion"/>
  </si>
  <si>
    <t>提高[100+35*lv]点护甲（可叠加）</t>
    <phoneticPr fontId="1" type="noConversion"/>
  </si>
  <si>
    <t>提高[105+15*lv]点穿透（可叠加）</t>
    <phoneticPr fontId="1" type="noConversion"/>
  </si>
  <si>
    <t>【怒火聚焦】释放后伤害和治疗效果提高[1+0.1*lv]%</t>
  </si>
  <si>
    <t>提高[30+30*lv]点护甲和魔抗，提高[0.3+0.3*lv]%吸血（可叠加）</t>
    <phoneticPr fontId="1" type="noConversion"/>
  </si>
  <si>
    <t>自身【月牙冲天】释放后提高[240+40*lv]点速度（可叠加，持续1回合）</t>
    <phoneticPr fontId="1" type="noConversion"/>
  </si>
  <si>
    <t>受到伤害后有几率本回合不死，并提高[10+5*lv]%吸血（持续1回合）</t>
    <phoneticPr fontId="1" type="noConversion"/>
  </si>
  <si>
    <t>提高[65+15*lv]点速度和[0.4+0.4*lv]点光强（可叠加）</t>
    <phoneticPr fontId="1" type="noConversion"/>
  </si>
  <si>
    <t>提高[140+40*lv]点魔抗和[0.4+0.4*lv]%治疗效果（可叠加）</t>
    <phoneticPr fontId="1" type="noConversion"/>
  </si>
  <si>
    <t>提高[60+30*lv]点速度（可叠加）</t>
    <phoneticPr fontId="1" type="noConversion"/>
  </si>
  <si>
    <t>提高[160+40*lv]点护甲（可叠加）</t>
    <phoneticPr fontId="1" type="noConversion"/>
  </si>
  <si>
    <t>行动时有[(6+1*lv)]%几率使敌人受到[(2+1*lv)]%*护甲的持续伤害（可叠加）</t>
    <phoneticPr fontId="1" type="noConversion"/>
  </si>
  <si>
    <t>提高[1+0.5*lv]点火属性强化和光属性强化（可叠加）</t>
    <phoneticPr fontId="1" type="noConversion"/>
  </si>
  <si>
    <t>提高[10+5*lv]点精神和[30+12*lv]点魔抗（可叠加）</t>
    <phoneticPr fontId="1" type="noConversion"/>
  </si>
  <si>
    <t>提高[1+2*lv]点火属性强化（可叠加）</t>
    <phoneticPr fontId="1" type="noConversion"/>
  </si>
  <si>
    <t>法术攻击增加[3+lv]点队伍攻击力，物理攻击增加[3+lv]点队伍法术强度（可叠加）</t>
    <phoneticPr fontId="1" type="noConversion"/>
  </si>
  <si>
    <t>提高[0.5+0.3*lv]%吸血和[0.8+0.4*lv]%治疗效果（可叠加）</t>
    <phoneticPr fontId="1" type="noConversion"/>
  </si>
  <si>
    <t>攻击造成[1+0.3*lv]%敌方最大生命值的额外伤害（可叠加）</t>
    <phoneticPr fontId="1" type="noConversion"/>
  </si>
  <si>
    <t>提高[100+60*lv]点法术穿透（可叠加）</t>
    <phoneticPr fontId="1" type="noConversion"/>
  </si>
  <si>
    <t>提高[70+20*lv]点护甲和魔抗（可叠加）</t>
    <phoneticPr fontId="1" type="noConversion"/>
  </si>
  <si>
    <t>提高[40+8*lv]点护甲和魔抗（可叠加）</t>
    <phoneticPr fontId="1" type="noConversion"/>
  </si>
  <si>
    <t>被攻击时提高[1.5+0.5*lv]点队伍攻击力和队伍法术强度（可叠加）</t>
    <phoneticPr fontId="1" type="noConversion"/>
  </si>
  <si>
    <t>提高[20+6*lv]点精神（可叠加）</t>
    <phoneticPr fontId="1" type="noConversion"/>
  </si>
  <si>
    <t>提高[2+lv]点光属性强化（可叠加）</t>
    <phoneticPr fontId="1" type="noConversion"/>
  </si>
  <si>
    <t>提高[60+20*lv]点速度（可叠加）</t>
    <phoneticPr fontId="1" type="noConversion"/>
  </si>
  <si>
    <t>被攻击时提高[20+3*lv]点护甲和魔抗（可叠加）</t>
    <phoneticPr fontId="1" type="noConversion"/>
  </si>
  <si>
    <t>提高[80+12*lv]点法术穿透（可叠加）</t>
    <phoneticPr fontId="1" type="noConversion"/>
  </si>
  <si>
    <t>提高[20*lv]点法术穿透和[0.6+0.1*lv]%多重施法（可叠加）</t>
    <phoneticPr fontId="1" type="noConversion"/>
  </si>
  <si>
    <t>自身【令牌闪电】伤害提高[10+8*lv]%，并且每次释放后提高自身[0.8+0.5*lv]%多重施法（可叠加，最多3层）</t>
    <phoneticPr fontId="1" type="noConversion"/>
  </si>
  <si>
    <t>双方所有无属性技能变为光属性（持续3回合），并且提高己方[lv]点光属性强化（可叠加）</t>
    <phoneticPr fontId="1" type="noConversion"/>
  </si>
  <si>
    <t>行动时提高[4+2*lv]点队伍法术强度和[30+15*lv]点速度（可叠加）</t>
    <phoneticPr fontId="1" type="noConversion"/>
  </si>
  <si>
    <t>提高[3+0.5*lv]点火属性强化（可叠加）</t>
    <phoneticPr fontId="1" type="noConversion"/>
  </si>
  <si>
    <t>提高[15*lv+15]点体力（可叠加）</t>
    <phoneticPr fontId="1" type="noConversion"/>
  </si>
  <si>
    <t>提高[100+20*lv]点速度（可叠加）</t>
    <phoneticPr fontId="1" type="noConversion"/>
  </si>
  <si>
    <t>提高[30+10*lv]点力量（可叠加）</t>
    <phoneticPr fontId="1" type="noConversion"/>
  </si>
  <si>
    <t>提高[30+30*lv]点护甲穿透（可叠加）</t>
    <phoneticPr fontId="1" type="noConversion"/>
  </si>
  <si>
    <t>敌方血量低于20%时，攻击附加[6*lv+14]%*攻击力的伤害（可叠加）</t>
    <phoneticPr fontId="1" type="noConversion"/>
  </si>
  <si>
    <t>提高[10+7*lv]点队伍攻击力和队伍法术强度（可叠加）</t>
    <phoneticPr fontId="1" type="noConversion"/>
  </si>
  <si>
    <t>提高[0.8+0.2*lv]%暴击（可叠加）</t>
    <phoneticPr fontId="1" type="noConversion"/>
  </si>
  <si>
    <t>提高[90+40*lv]点护甲穿透（可叠加）</t>
    <phoneticPr fontId="1" type="noConversion"/>
  </si>
  <si>
    <t>提升[lv]点怒气上限（可叠加）</t>
    <phoneticPr fontId="1" type="noConversion"/>
  </si>
  <si>
    <t>提高[10*lv]点护甲和[20*lv]点魔抗（可叠加）</t>
    <phoneticPr fontId="1" type="noConversion"/>
  </si>
  <si>
    <t>每拥有10点怒气提高[0.2+0.1*lv]%暴击伤害（可叠加）</t>
    <phoneticPr fontId="1" type="noConversion"/>
  </si>
  <si>
    <t>提高[90+60*lv]点速度（可叠加）</t>
    <phoneticPr fontId="1" type="noConversion"/>
  </si>
  <si>
    <t>提高[50+12*lv]点护甲穿透和[90+25*lv]点速度（可叠加）</t>
    <phoneticPr fontId="1" type="noConversion"/>
  </si>
  <si>
    <t>提高[100+22*lv]点速度（可叠加）</t>
    <phoneticPr fontId="1" type="noConversion"/>
  </si>
  <si>
    <t>血量低于30%时，本回合提高[180+90*lv]点精神（可叠加，持续1回合）</t>
    <phoneticPr fontId="1" type="noConversion"/>
  </si>
  <si>
    <t>行动时提高[20+5*lv]点速度（可叠加）</t>
    <phoneticPr fontId="1" type="noConversion"/>
  </si>
  <si>
    <t>提高[20+5*lv]点队伍攻击力（可叠加）</t>
    <phoneticPr fontId="1" type="noConversion"/>
  </si>
  <si>
    <t>提高[100+17*lv]点护甲（可叠加）</t>
    <phoneticPr fontId="1" type="noConversion"/>
  </si>
  <si>
    <t>提高[0.8+0.2*lv]%吸血和[0.4+0.1*lv]%治疗效果（可叠加）</t>
    <phoneticPr fontId="1" type="noConversion"/>
  </si>
  <si>
    <t>提高[80+15*lv]点护甲和魔抗（可叠加）</t>
    <phoneticPr fontId="1" type="noConversion"/>
  </si>
  <si>
    <t>提高[0.6+0.2*lv]%暴击和[1.2+0.8*lv]%暴击伤害（可叠加）</t>
    <phoneticPr fontId="1" type="noConversion"/>
  </si>
  <si>
    <t>提高[20+5*lv]点队伍法术强度和[55+15*lv]法术穿透（可叠加）</t>
    <phoneticPr fontId="1" type="noConversion"/>
  </si>
  <si>
    <t>提高[15+6*lv]点精神（可叠加）</t>
    <phoneticPr fontId="1" type="noConversion"/>
  </si>
  <si>
    <t>提高[1+lv]点光属性强化（可叠加）</t>
    <phoneticPr fontId="1" type="noConversion"/>
  </si>
  <si>
    <t>提高100点护甲和魔抗（可叠加）</t>
    <phoneticPr fontId="1" type="noConversion"/>
  </si>
  <si>
    <t>提高[100*lv]点血量和[100*lv]点体力（可叠加）</t>
    <phoneticPr fontId="1" type="noConversion"/>
  </si>
  <si>
    <t>提高[(10+5*lv)/100]%暴击（可叠加）</t>
    <phoneticPr fontId="1" type="noConversion"/>
  </si>
  <si>
    <t>提高[20+6*lv]点护甲和魔抗（可叠加）</t>
    <phoneticPr fontId="1" type="noConversion"/>
  </si>
  <si>
    <t>提高[40+40*lv]点血量（可叠加）</t>
    <phoneticPr fontId="1" type="noConversion"/>
  </si>
  <si>
    <t>提高[(20+10*lv)/100]%暴击（可叠加）</t>
    <phoneticPr fontId="1" type="noConversion"/>
  </si>
  <si>
    <t>提高[(30+15*lv)/100]%暴击（可叠加）</t>
    <phoneticPr fontId="1" type="noConversion"/>
  </si>
  <si>
    <t>提高[40+12*lv]点护甲和魔抗（可叠加）</t>
    <phoneticPr fontId="1" type="noConversion"/>
  </si>
  <si>
    <t>提高[60+18*lv]点护甲和魔抗（可叠加）</t>
    <phoneticPr fontId="1" type="noConversion"/>
  </si>
  <si>
    <t>提高[50+50*lv]点血量（可叠加）</t>
    <phoneticPr fontId="1" type="noConversion"/>
  </si>
  <si>
    <t>提高[60+60*lv]点血量（可叠加）</t>
    <phoneticPr fontId="1" type="noConversion"/>
  </si>
  <si>
    <t>提高[10+5*lv]点速度（可叠加）</t>
    <phoneticPr fontId="1" type="noConversion"/>
  </si>
  <si>
    <t>提高[20+10*lv]点速度（可叠加）</t>
    <phoneticPr fontId="1" type="noConversion"/>
  </si>
  <si>
    <t>提高[30+15*lv]点速度（可叠加）</t>
    <phoneticPr fontId="1" type="noConversion"/>
  </si>
  <si>
    <t>提高[11+1*lv]点精神（可叠加）</t>
    <phoneticPr fontId="1" type="noConversion"/>
  </si>
  <si>
    <t>提高[11.5+1.5*lv]点精神（可叠加）</t>
    <phoneticPr fontId="1" type="noConversion"/>
  </si>
  <si>
    <t>提高[12+2*lv]点精神（可叠加）</t>
    <phoneticPr fontId="1" type="noConversion"/>
  </si>
  <si>
    <t>提高[10+5*lv]点护甲穿透（可叠加）</t>
    <phoneticPr fontId="1" type="noConversion"/>
  </si>
  <si>
    <t>提高[20+10*lv]点护甲穿透（可叠加）</t>
    <phoneticPr fontId="1" type="noConversion"/>
  </si>
  <si>
    <t>提高[30+15*lv]点护甲穿透（可叠加）</t>
    <phoneticPr fontId="1" type="noConversion"/>
  </si>
  <si>
    <t>提高[10+5*lv]点法术穿透（可叠加）</t>
    <phoneticPr fontId="1" type="noConversion"/>
  </si>
  <si>
    <t>提高[20+10*lv]点法术穿透（可叠加）</t>
    <phoneticPr fontId="1" type="noConversion"/>
  </si>
  <si>
    <t>提高[30+15*lv]点法术穿透（可叠加）</t>
    <phoneticPr fontId="1" type="noConversion"/>
  </si>
  <si>
    <t>被攻击时$y5%$w几率提高[(100+100*lv)]点速度（可叠加，持续1回合）</t>
    <phoneticPr fontId="1" type="noConversion"/>
  </si>
  <si>
    <t>提高[15+5*lv]点队伍攻击力（可叠加）</t>
    <phoneticPr fontId="1" type="noConversion"/>
  </si>
  <si>
    <t>提高[25+9*lv]点护甲和魔法抗性（可叠加）</t>
    <phoneticPr fontId="1" type="noConversion"/>
  </si>
  <si>
    <t>行动时提高[2+lv]点精神（可叠加）</t>
    <phoneticPr fontId="1" type="noConversion"/>
  </si>
  <si>
    <t>提高[50+15*lv]点速度（可叠加）</t>
    <phoneticPr fontId="1" type="noConversion"/>
  </si>
  <si>
    <t>提高[45+16*lv]点法术穿透（可叠加）</t>
    <phoneticPr fontId="1" type="noConversion"/>
  </si>
  <si>
    <t>提高[0.5+0.1*lv]%治疗效果（可叠加）</t>
    <phoneticPr fontId="1" type="noConversion"/>
  </si>
  <si>
    <t>每回合回复[120+40*lv]点血量（可叠加）</t>
    <phoneticPr fontId="1" type="noConversion"/>
  </si>
  <si>
    <t>行动时有$y20%$w几率附加[50+16*lv]点伤害（可叠加）</t>
    <phoneticPr fontId="1" type="noConversion"/>
  </si>
  <si>
    <t>行动时有$y[3+2*lv]%$w几率获得1层【暴怒】</t>
    <phoneticPr fontId="1" type="noConversion"/>
  </si>
  <si>
    <t>提高[20+2*lv]点队伍攻击力和队伍法术强度（可叠加）</t>
    <phoneticPr fontId="1" type="noConversion"/>
  </si>
  <si>
    <t>提高[0.6+0.1*lv]%暴击（可叠加）</t>
    <phoneticPr fontId="1" type="noConversion"/>
  </si>
  <si>
    <t>提高[60+18*lv]点速度，降低[30+8*lv]点精神（可叠加）</t>
    <phoneticPr fontId="1" type="noConversion"/>
  </si>
  <si>
    <t>提高[0.8+0.1*lv]%暴击（可叠加）</t>
    <phoneticPr fontId="1" type="noConversion"/>
  </si>
  <si>
    <t>提高[25+10*lv]点队伍攻击力和[25+10*lv]点护甲穿透（可叠加）</t>
    <phoneticPr fontId="1" type="noConversion"/>
  </si>
  <si>
    <t>提高[10+2*lv]点精神（可叠加）</t>
    <phoneticPr fontId="1" type="noConversion"/>
  </si>
  <si>
    <t>提高[10+10*lv]点队伍攻击力和队伍法术强度，降低[25+10*lv]点护甲和魔法抗性（可叠加）</t>
    <phoneticPr fontId="1" type="noConversion"/>
  </si>
  <si>
    <t>提高[45+30*lv]点速度（可叠加）</t>
    <phoneticPr fontId="1" type="noConversion"/>
  </si>
  <si>
    <t>提高[35+11*lv]点护甲穿透（可叠加）</t>
    <phoneticPr fontId="1" type="noConversion"/>
  </si>
  <si>
    <t>提高[0.6+0.1*lv]%暴击伤害（可叠加）</t>
    <phoneticPr fontId="1" type="noConversion"/>
  </si>
  <si>
    <t>提高[0.5+0.1*lv]%暴击（可叠加）</t>
    <phoneticPr fontId="1" type="noConversion"/>
  </si>
  <si>
    <t>行动时有$y10%$w几率降低敌方[0.1+0.1*lv]%的护甲（可叠加）</t>
    <phoneticPr fontId="1" type="noConversion"/>
  </si>
  <si>
    <t>行动时$y10%$w几率提高[20+8*lv]点法术穿透（可叠加）</t>
    <phoneticPr fontId="1" type="noConversion"/>
  </si>
  <si>
    <t>被攻击时提高[5+lv]点队伍攻击力（可叠加）</t>
    <phoneticPr fontId="1" type="noConversion"/>
  </si>
  <si>
    <t>提高[35+14*lv]点护甲穿透，降低[20+3*lv]点速度（可叠加）</t>
    <phoneticPr fontId="1" type="noConversion"/>
  </si>
  <si>
    <t>提高[45+12*lv]点速度（可叠加）</t>
    <phoneticPr fontId="1" type="noConversion"/>
  </si>
  <si>
    <t>提高[10+6*lv]点精神（可叠加）</t>
    <phoneticPr fontId="1" type="noConversion"/>
  </si>
  <si>
    <t>提高[0.4+0.1*lv]%暴击伤害（可叠加）</t>
    <phoneticPr fontId="1" type="noConversion"/>
  </si>
  <si>
    <t>提高[28+12*lv]点速度（可叠加）</t>
    <phoneticPr fontId="1" type="noConversion"/>
  </si>
  <si>
    <t>行动时降低敌方[12+2*lv]点护甲（可叠加）</t>
    <phoneticPr fontId="1" type="noConversion"/>
  </si>
  <si>
    <t>行动时降低敌方[12+3*lv]点速度（可叠加）</t>
    <phoneticPr fontId="1" type="noConversion"/>
  </si>
  <si>
    <t>提高[17+5*lv]点护甲和魔法抗性（可叠加）</t>
    <phoneticPr fontId="1" type="noConversion"/>
  </si>
  <si>
    <t>提高[16+3*lv]点法术穿透（可叠加）</t>
    <phoneticPr fontId="1" type="noConversion"/>
  </si>
  <si>
    <t>提高[15+4*lv]点速度（可叠加）</t>
    <phoneticPr fontId="1" type="noConversion"/>
  </si>
  <si>
    <t>提高[0.2+0.1*lv]%暴击和[0.1+0.1*lv]%暴击伤害（可叠加）</t>
    <phoneticPr fontId="1" type="noConversion"/>
  </si>
  <si>
    <t>提高1%pvp减伤（可叠加）</t>
    <phoneticPr fontId="1" type="noConversion"/>
  </si>
  <si>
    <t>提高3%所有伤害（可叠加）</t>
    <phoneticPr fontId="1" type="noConversion"/>
  </si>
  <si>
    <t>提高2%pvp减伤（可叠加）</t>
    <phoneticPr fontId="1" type="noConversion"/>
  </si>
  <si>
    <t>装备强化等级每提高1级提高1%所有伤害（可叠加，每件最高提高15%）</t>
    <phoneticPr fontId="1" type="noConversion"/>
  </si>
  <si>
    <t>回合数小于3时提高11%所有伤害</t>
    <phoneticPr fontId="1" type="noConversion"/>
  </si>
  <si>
    <t>回合数大于6时提高11%所有伤害</t>
    <phoneticPr fontId="1" type="noConversion"/>
  </si>
  <si>
    <t>提高2%pvp减伤</t>
    <phoneticPr fontId="1" type="noConversion"/>
  </si>
  <si>
    <t>提高自身15%所有伤害</t>
    <phoneticPr fontId="1" type="noConversion"/>
  </si>
  <si>
    <t>提高自身30%所有伤害</t>
    <phoneticPr fontId="1" type="noConversion"/>
  </si>
  <si>
    <t>提高5%附加伤害（可叠加）</t>
    <phoneticPr fontId="1" type="noConversion"/>
  </si>
  <si>
    <t>提高10%附加伤害（可叠加）</t>
    <phoneticPr fontId="1" type="noConversion"/>
  </si>
  <si>
    <t>提高5%pvp减伤（可叠加）</t>
    <phoneticPr fontId="1" type="noConversion"/>
  </si>
  <si>
    <t>提高10%pvp减伤（可叠加）</t>
    <phoneticPr fontId="1" type="noConversion"/>
  </si>
  <si>
    <t>15</t>
    <phoneticPr fontId="1" type="noConversion"/>
  </si>
  <si>
    <t>30</t>
    <phoneticPr fontId="1" type="noConversion"/>
  </si>
  <si>
    <t>5</t>
    <phoneticPr fontId="1" type="noConversion"/>
  </si>
  <si>
    <t>10</t>
    <phoneticPr fontId="1" type="noConversion"/>
  </si>
  <si>
    <t>每次行动降低自己2点体力，降低敌方5点精神（可叠加）</t>
    <phoneticPr fontId="1" type="noConversion"/>
  </si>
  <si>
    <t>行动时提高10点队伍攻击力和队伍法术强度（可叠加）</t>
    <phoneticPr fontId="1" type="noConversion"/>
  </si>
  <si>
    <t>被攻击时提高0.5%治疗效果（可叠加）</t>
    <phoneticPr fontId="1" type="noConversion"/>
  </si>
  <si>
    <t>暴击时额外造成敌方1%最大生命值的伤害</t>
    <phoneticPr fontId="1" type="noConversion"/>
  </si>
  <si>
    <t>行动时提高10点法术穿透（可叠加）</t>
    <phoneticPr fontId="1" type="noConversion"/>
  </si>
  <si>
    <t>行动时偷取10点力量和智力，并使敌方提高1%暴击（可叠加）</t>
    <phoneticPr fontId="1" type="noConversion"/>
  </si>
  <si>
    <t>行动时有8%几率提高10点暗属性强化（可叠加）</t>
    <phoneticPr fontId="1" type="noConversion"/>
  </si>
  <si>
    <t>行动时提高0.2%多重施法（可叠加）</t>
    <phoneticPr fontId="1" type="noConversion"/>
  </si>
  <si>
    <t>行动时偷取20点力量和智力（可叠加）</t>
    <phoneticPr fontId="1" type="noConversion"/>
  </si>
  <si>
    <t>行动时偷取10点精神（可叠加）</t>
    <phoneticPr fontId="1" type="noConversion"/>
  </si>
  <si>
    <t>被攻击时提高0.8%治疗效果（可叠加）</t>
    <phoneticPr fontId="1" type="noConversion"/>
  </si>
  <si>
    <t>提高5%所有伤害，降低500点护甲</t>
    <phoneticPr fontId="1" type="noConversion"/>
  </si>
  <si>
    <t>行动时25%几率提高500点攻击附加伤害（可叠加）</t>
    <phoneticPr fontId="1" type="noConversion"/>
  </si>
  <si>
    <t>行动时30%几率提高800点攻击附加伤害（可叠加）</t>
    <phoneticPr fontId="1" type="noConversion"/>
  </si>
  <si>
    <t>行动时提高1点全属性强化（可叠加）</t>
    <phoneticPr fontId="1" type="noConversion"/>
  </si>
  <si>
    <t>行动时提高2点全属性强化（可叠加）</t>
    <phoneticPr fontId="1" type="noConversion"/>
  </si>
  <si>
    <t>第1回合提高2000速度</t>
    <phoneticPr fontId="1" type="noConversion"/>
  </si>
  <si>
    <t>第1回合提高3000速度</t>
    <phoneticPr fontId="1" type="noConversion"/>
  </si>
  <si>
    <t>行动时10%几率提高5点暗属性强化（可叠加）</t>
    <phoneticPr fontId="1" type="noConversion"/>
  </si>
  <si>
    <t>行动时10%几率提高8点暗属性强化（可叠加）</t>
    <phoneticPr fontId="1" type="noConversion"/>
  </si>
  <si>
    <t>行动时10%几率提高5点火属性强化（可叠加）</t>
    <phoneticPr fontId="1" type="noConversion"/>
  </si>
  <si>
    <t>行动时10%几率提高8点火属性强化（可叠加）</t>
    <phoneticPr fontId="1" type="noConversion"/>
  </si>
  <si>
    <t>行动时10%几率提高5点冰属性强化（可叠加）</t>
    <phoneticPr fontId="1" type="noConversion"/>
  </si>
  <si>
    <t>行动时10%几率提高8点冰属性强化（可叠加）</t>
    <phoneticPr fontId="1" type="noConversion"/>
  </si>
  <si>
    <t>行动时10%几率提高5点光属性强化（可叠加）</t>
    <phoneticPr fontId="1" type="noConversion"/>
  </si>
  <si>
    <t>行动时10%几率提高8点光属性强化（可叠加）</t>
    <phoneticPr fontId="1" type="noConversion"/>
  </si>
  <si>
    <t>暴击时提高3%附加伤害（可叠加，持续1回合）</t>
    <phoneticPr fontId="1" type="noConversion"/>
  </si>
  <si>
    <t>暴击时提高5%附加伤害（可叠加，持续1回合）</t>
    <phoneticPr fontId="1" type="noConversion"/>
  </si>
  <si>
    <t>暴击时提高3%所有伤害（可叠加，持续1回合）</t>
    <phoneticPr fontId="1" type="noConversion"/>
  </si>
  <si>
    <t>暴击时提高5%所有伤害（可叠加，持续1回合）</t>
    <phoneticPr fontId="1" type="noConversion"/>
  </si>
  <si>
    <t>行动时提高0.5%暴击（可叠加）</t>
    <phoneticPr fontId="1" type="noConversion"/>
  </si>
  <si>
    <t>行动时提高0.8%暴击（可叠加）</t>
    <phoneticPr fontId="1" type="noConversion"/>
  </si>
  <si>
    <t>被攻击时提高1%暴击伤害（可叠加）</t>
    <phoneticPr fontId="1" type="noConversion"/>
  </si>
  <si>
    <t>被攻击时提高1.5%暴击伤害（可叠加）</t>
    <phoneticPr fontId="1" type="noConversion"/>
  </si>
  <si>
    <t>行动时5%几率提高1%回避率（可叠加，最多10层）</t>
    <phoneticPr fontId="1" type="noConversion"/>
  </si>
  <si>
    <t>行动时5%几率提高1.5%回避率（可叠加，最多10层）</t>
    <phoneticPr fontId="1" type="noConversion"/>
  </si>
  <si>
    <t>行动时1%几率提高5%回避率（可叠加，最多5层）</t>
    <phoneticPr fontId="1" type="noConversion"/>
  </si>
  <si>
    <t>行动时1%几率提高8%回避率（可叠加，最多5层）</t>
    <phoneticPr fontId="1" type="noConversion"/>
  </si>
  <si>
    <t>被攻击时提高1%治疗效果（可叠加）</t>
    <phoneticPr fontId="1" type="noConversion"/>
  </si>
  <si>
    <t>被攻击时提高1.5%治疗效果（可叠加）</t>
    <phoneticPr fontId="1" type="noConversion"/>
  </si>
  <si>
    <t>提高5%技能伤害和治疗效果</t>
    <phoneticPr fontId="1" type="noConversion"/>
  </si>
  <si>
    <t>行动时50%几率提高10点护甲穿透和法术穿透（可叠加）</t>
    <phoneticPr fontId="1" type="noConversion"/>
  </si>
  <si>
    <t>行动时50%几率提高15点护甲穿透和法术穿透（可叠加）</t>
    <phoneticPr fontId="1" type="noConversion"/>
  </si>
  <si>
    <t>行动时50%几率降低敌方10点护甲和魔抗（可叠加）</t>
    <phoneticPr fontId="1" type="noConversion"/>
  </si>
  <si>
    <t>行动时50%几率降低敌方15点护甲和魔抗（可叠加）</t>
    <phoneticPr fontId="1" type="noConversion"/>
  </si>
  <si>
    <t>行动时10%几率提高10000点速度（可叠加，持续1回合）</t>
    <phoneticPr fontId="1" type="noConversion"/>
  </si>
  <si>
    <t>行动时，10%几率使伤害变为暗属性（持续3回合）</t>
    <phoneticPr fontId="1" type="noConversion"/>
  </si>
  <si>
    <t>行动时25%几率提高2点火属性强化（可叠加）</t>
    <phoneticPr fontId="1" type="noConversion"/>
  </si>
  <si>
    <t>行动时10%几率提高10%持续伤害（可叠加）</t>
    <phoneticPr fontId="1" type="noConversion"/>
  </si>
  <si>
    <t>【转甲】额外提高10%护甲（持续1回合）</t>
    <phoneticPr fontId="1" type="noConversion"/>
  </si>
  <si>
    <t>行动时提高50点智力（可叠加）</t>
    <phoneticPr fontId="1" type="noConversion"/>
  </si>
  <si>
    <t>行动时5%几率召唤出神兽-【聪聪酱】</t>
    <phoneticPr fontId="1" type="noConversion"/>
  </si>
  <si>
    <t>行动时5%几率提高10点全属性强化（可叠加）</t>
    <phoneticPr fontId="1" type="noConversion"/>
  </si>
  <si>
    <t>被攻击时提高1%回避率（可叠加，持续5回合）</t>
    <phoneticPr fontId="1" type="noConversion"/>
  </si>
  <si>
    <t>行动时降低敌方30点护甲和魔抗（可叠加）</t>
    <phoneticPr fontId="1" type="noConversion"/>
  </si>
  <si>
    <t>上阵英雄1技能lv+2</t>
  </si>
  <si>
    <t>上阵英雄1技能lv+2</t>
    <phoneticPr fontId="1" type="noConversion"/>
  </si>
  <si>
    <t>上阵英雄1技能lv+3</t>
  </si>
  <si>
    <t>上阵英雄1技能lv+3</t>
    <phoneticPr fontId="1" type="noConversion"/>
  </si>
  <si>
    <t>上阵英雄2技能lv+2</t>
  </si>
  <si>
    <t>上阵英雄2技能lv+2</t>
    <phoneticPr fontId="1" type="noConversion"/>
  </si>
  <si>
    <t>上阵英雄2技能lv+3</t>
  </si>
  <si>
    <t>上阵英雄2技能lv+3</t>
    <phoneticPr fontId="1" type="noConversion"/>
  </si>
  <si>
    <t>上阵英雄3技能lv+2</t>
  </si>
  <si>
    <t>上阵英雄3技能lv+2</t>
    <phoneticPr fontId="1" type="noConversion"/>
  </si>
  <si>
    <t>上阵英雄3技能lv+3</t>
  </si>
  <si>
    <t>上阵英雄3技能lv+3</t>
    <phoneticPr fontId="1" type="noConversion"/>
  </si>
  <si>
    <t>上阵英雄4技能lv+1</t>
  </si>
  <si>
    <t>上阵英雄4技能lv+1</t>
    <phoneticPr fontId="1" type="noConversion"/>
  </si>
  <si>
    <t>上阵英雄4技能lv+2</t>
  </si>
  <si>
    <t>上阵英雄4技能lv+2</t>
    <phoneticPr fontId="1" type="noConversion"/>
  </si>
  <si>
    <t>上阵英雄5技能lv+1</t>
  </si>
  <si>
    <t>上阵英雄5技能lv+1</t>
    <phoneticPr fontId="1" type="noConversion"/>
  </si>
  <si>
    <t>上阵英雄5技能lv+2</t>
  </si>
  <si>
    <t>上阵英雄5技能lv+2</t>
    <phoneticPr fontId="1" type="noConversion"/>
  </si>
  <si>
    <t>当前主角第1层技能lv+1</t>
    <phoneticPr fontId="1" type="noConversion"/>
  </si>
  <si>
    <t>当前主角第1层技能lv+2</t>
    <phoneticPr fontId="1" type="noConversion"/>
  </si>
  <si>
    <t>当前主角第2层技能lv+1</t>
    <phoneticPr fontId="1" type="noConversion"/>
  </si>
  <si>
    <t>当前主角第2层技能lv+2</t>
    <phoneticPr fontId="1" type="noConversion"/>
  </si>
  <si>
    <t>当前主角第3层技能lv+1</t>
    <phoneticPr fontId="1" type="noConversion"/>
  </si>
  <si>
    <t>当前主角第3层技能lv+2</t>
    <phoneticPr fontId="1" type="noConversion"/>
  </si>
  <si>
    <t>当前主角第4层技能lv+1</t>
    <phoneticPr fontId="1" type="noConversion"/>
  </si>
  <si>
    <t>当前主角第4层技能lv+2</t>
    <phoneticPr fontId="1" type="noConversion"/>
  </si>
  <si>
    <t>当前主角第5层技能lv+1</t>
    <phoneticPr fontId="1" type="noConversion"/>
  </si>
  <si>
    <t>当前主角第5层技能lv+2</t>
    <phoneticPr fontId="1" type="noConversion"/>
  </si>
  <si>
    <t>当前主角第6层技能lv+1</t>
    <phoneticPr fontId="1" type="noConversion"/>
  </si>
  <si>
    <t>当前主角第6层技能lv+2</t>
    <phoneticPr fontId="1" type="noConversion"/>
  </si>
  <si>
    <t>暗杀者的信念</t>
  </si>
  <si>
    <t>暗杀者的意志</t>
  </si>
  <si>
    <t>守护者的信念</t>
  </si>
  <si>
    <t>守护者的意志</t>
  </si>
  <si>
    <t>苦修者的信念</t>
  </si>
  <si>
    <t>苦修者的意志</t>
  </si>
  <si>
    <t>狩猎者的信念</t>
  </si>
  <si>
    <t>狩猎者的意志</t>
  </si>
  <si>
    <t>祈求者的信念</t>
  </si>
  <si>
    <t>祈求者的意志</t>
  </si>
  <si>
    <t>传承者的信念</t>
  </si>
  <si>
    <t>传承者的意志</t>
  </si>
  <si>
    <t>暗杀者之心</t>
  </si>
  <si>
    <t>暗杀者之魂</t>
  </si>
  <si>
    <t>守护者之心</t>
  </si>
  <si>
    <t>守护者之魂</t>
  </si>
  <si>
    <t>苦修者之心</t>
  </si>
  <si>
    <t>苦修者之魂</t>
  </si>
  <si>
    <t>狩猎者之心</t>
  </si>
  <si>
    <t>狩猎者之魂</t>
  </si>
  <si>
    <t>祈求者之心</t>
  </si>
  <si>
    <t>祈求者之魂</t>
  </si>
  <si>
    <t>传承者之心</t>
  </si>
  <si>
    <t>传承者之魂</t>
  </si>
  <si>
    <t>1,1</t>
    <phoneticPr fontId="1" type="noConversion"/>
  </si>
  <si>
    <t>2,1</t>
    <phoneticPr fontId="1" type="noConversion"/>
  </si>
  <si>
    <t>2,2</t>
    <phoneticPr fontId="1" type="noConversion"/>
  </si>
  <si>
    <t>3,1</t>
    <phoneticPr fontId="1" type="noConversion"/>
  </si>
  <si>
    <t>3,2</t>
    <phoneticPr fontId="1" type="noConversion"/>
  </si>
  <si>
    <t>4,1</t>
    <phoneticPr fontId="1" type="noConversion"/>
  </si>
  <si>
    <t>4,2</t>
    <phoneticPr fontId="1" type="noConversion"/>
  </si>
  <si>
    <t>5,1</t>
    <phoneticPr fontId="1" type="noConversion"/>
  </si>
  <si>
    <t>5,2</t>
    <phoneticPr fontId="1" type="noConversion"/>
  </si>
  <si>
    <t>6,1</t>
    <phoneticPr fontId="1" type="noConversion"/>
  </si>
  <si>
    <t>6,2</t>
    <phoneticPr fontId="1" type="noConversion"/>
  </si>
  <si>
    <t>7,1,2</t>
    <phoneticPr fontId="1" type="noConversion"/>
  </si>
  <si>
    <t>7,1,3</t>
  </si>
  <si>
    <t>7,2,2</t>
    <phoneticPr fontId="1" type="noConversion"/>
  </si>
  <si>
    <t>7,2,3</t>
    <phoneticPr fontId="1" type="noConversion"/>
  </si>
  <si>
    <t>7,3,2</t>
    <phoneticPr fontId="1" type="noConversion"/>
  </si>
  <si>
    <t>7,3,3</t>
    <phoneticPr fontId="1" type="noConversion"/>
  </si>
  <si>
    <t>7,4,1</t>
    <phoneticPr fontId="1" type="noConversion"/>
  </si>
  <si>
    <t>7,4,2</t>
    <phoneticPr fontId="1" type="noConversion"/>
  </si>
  <si>
    <t>7,5,1</t>
    <phoneticPr fontId="1" type="noConversion"/>
  </si>
  <si>
    <t>7,5,2</t>
    <phoneticPr fontId="1" type="noConversion"/>
  </si>
  <si>
    <t>誓约胜利之剑：当怒气&gt;80，$y15%$w造成$r[3600+2000*lv]+[(200+10*lv)]%*攻击力%*攻击力$w的物理伤害</t>
    <phoneticPr fontId="1" type="noConversion"/>
  </si>
  <si>
    <t>3600+2000*lv+(200+10*lv)/100*a.ad</t>
    <phoneticPr fontId="1" type="noConversion"/>
  </si>
  <si>
    <t>$y8%$w几率造成$b[50+5*lv]%*攻击力$w火焰属性的真实伤害</t>
    <phoneticPr fontId="1" type="noConversion"/>
  </si>
  <si>
    <t>$y10%$w几率挥舞强大的雷电战锤，造成$r[(70+4*lv)]%*攻击力+[(50+3*lv)]%*法术强度$w的真实伤害</t>
    <phoneticPr fontId="1" type="noConversion"/>
  </si>
  <si>
    <t>6回合后消耗60点能量，$r[50*lv]+[50+20*lv]%*攻击力$w的物理伤害</t>
    <phoneticPr fontId="1" type="noConversion"/>
  </si>
  <si>
    <t>造成205%攻击力的物理伤害，并对自身造成15%最大生命值的伤害</t>
    <phoneticPr fontId="1" type="noConversion"/>
  </si>
  <si>
    <t>3+2X回合释放，造成130%攻击力+10%自身已损失生命值的物理伤害</t>
  </si>
  <si>
    <t>造成180%攻击力的物理伤害</t>
  </si>
  <si>
    <t>造成285%攻击力的物理伤害</t>
  </si>
  <si>
    <t>3+2X回合释放，造成目标11%最大生命值的物理伤害</t>
  </si>
  <si>
    <t>造成125%攻击力的物理伤害，并对自身造成5%最大生命值的伤害</t>
  </si>
  <si>
    <t>3+2X回合释放，造成90%攻击力+5%自身已损失生命值的魔法伤害</t>
    <phoneticPr fontId="1" type="noConversion"/>
  </si>
  <si>
    <t>5+6X回合释放，造成100%攻击力+100%法术强度的魔法伤害</t>
    <phoneticPr fontId="1" type="noConversion"/>
  </si>
  <si>
    <t>日月之辉</t>
    <phoneticPr fontId="1" type="noConversion"/>
  </si>
  <si>
    <t>星座之耀</t>
    <phoneticPr fontId="1" type="noConversion"/>
  </si>
  <si>
    <t>骑士之帜</t>
    <phoneticPr fontId="1" type="noConversion"/>
  </si>
  <si>
    <t>日月之辉</t>
  </si>
  <si>
    <t>星座之耀</t>
  </si>
  <si>
    <t>骑士之帜</t>
  </si>
  <si>
    <t>提高20%pvp减伤</t>
    <phoneticPr fontId="1" type="noConversion"/>
  </si>
  <si>
    <t>20</t>
    <phoneticPr fontId="1" type="noConversion"/>
  </si>
  <si>
    <t>提高10%pvp减伤</t>
    <phoneticPr fontId="1" type="noConversion"/>
  </si>
  <si>
    <t>提高5%pvp减伤</t>
  </si>
  <si>
    <t>提高5%pvp减伤</t>
    <phoneticPr fontId="1" type="noConversion"/>
  </si>
  <si>
    <t>无限守护</t>
  </si>
  <si>
    <t>无限守护</t>
    <phoneticPr fontId="1" type="noConversion"/>
  </si>
  <si>
    <t>波动刻印</t>
  </si>
  <si>
    <t>波动刻印</t>
    <phoneticPr fontId="1" type="noConversion"/>
  </si>
  <si>
    <t>10</t>
    <phoneticPr fontId="1" type="noConversion"/>
  </si>
  <si>
    <t>5</t>
    <phoneticPr fontId="1" type="noConversion"/>
  </si>
  <si>
    <t>提高25%pvp减伤</t>
    <phoneticPr fontId="1" type="noConversion"/>
  </si>
  <si>
    <t>25</t>
    <phoneticPr fontId="1" type="noConversion"/>
  </si>
  <si>
    <t>攻击时$y[11+1*lv]%$w几率获得1层【元素强化】，$y[11+1*lv]%$w几率附加[100+20*lv]点伤害</t>
    <phoneticPr fontId="1" type="noConversion"/>
  </si>
  <si>
    <t>icon10_102</t>
    <phoneticPr fontId="1" type="noConversion"/>
  </si>
  <si>
    <t>icon3_114</t>
    <phoneticPr fontId="1" type="noConversion"/>
  </si>
  <si>
    <t>icon68_114</t>
    <phoneticPr fontId="1" type="noConversion"/>
  </si>
  <si>
    <t>icon68_70</t>
    <phoneticPr fontId="1" type="noConversion"/>
  </si>
  <si>
    <t>icon68_116</t>
    <phoneticPr fontId="1" type="noConversion"/>
  </si>
  <si>
    <t>icon44_126</t>
    <phoneticPr fontId="1" type="noConversion"/>
  </si>
  <si>
    <t>icon68_115</t>
    <phoneticPr fontId="1" type="noConversion"/>
  </si>
  <si>
    <t>icon68_72</t>
    <phoneticPr fontId="1" type="noConversion"/>
  </si>
  <si>
    <t>icon3_120</t>
    <phoneticPr fontId="1" type="noConversion"/>
  </si>
  <si>
    <t>icon68_65</t>
    <phoneticPr fontId="1" type="noConversion"/>
  </si>
  <si>
    <t>icon68_67</t>
    <phoneticPr fontId="1" type="noConversion"/>
  </si>
  <si>
    <t>icon42_18</t>
    <phoneticPr fontId="1" type="noConversion"/>
  </si>
  <si>
    <t>icon16_46</t>
    <phoneticPr fontId="1" type="noConversion"/>
  </si>
  <si>
    <t>icon15_126</t>
    <phoneticPr fontId="1" type="noConversion"/>
  </si>
  <si>
    <t>icon44_124</t>
    <phoneticPr fontId="1" type="noConversion"/>
  </si>
  <si>
    <t>icon44_57</t>
    <phoneticPr fontId="1" type="noConversion"/>
  </si>
  <si>
    <t>icon68_66</t>
    <phoneticPr fontId="1" type="noConversion"/>
  </si>
  <si>
    <t>icon68_68</t>
    <phoneticPr fontId="1" type="noConversion"/>
  </si>
  <si>
    <t>icon68_113</t>
    <phoneticPr fontId="1" type="noConversion"/>
  </si>
  <si>
    <t>icon4_96</t>
    <phoneticPr fontId="1" type="noConversion"/>
  </si>
  <si>
    <t>icon1_53</t>
    <phoneticPr fontId="1" type="noConversion"/>
  </si>
  <si>
    <t>icon44_40</t>
  </si>
  <si>
    <t>icon44_41</t>
    <phoneticPr fontId="1" type="noConversion"/>
  </si>
  <si>
    <t>icon44_39</t>
  </si>
  <si>
    <t>icon37_92</t>
  </si>
  <si>
    <t>icon4_87</t>
  </si>
  <si>
    <t>icon4_6</t>
  </si>
  <si>
    <t>icon4_20</t>
  </si>
  <si>
    <t>icon4_13</t>
  </si>
  <si>
    <t>暗影炸弹</t>
    <phoneticPr fontId="1" type="noConversion"/>
  </si>
  <si>
    <t>string:statelayer</t>
    <phoneticPr fontId="1" type="noConversion"/>
  </si>
  <si>
    <t>行动时20%几率获得5层【保护】</t>
    <phoneticPr fontId="1" type="noConversion"/>
  </si>
  <si>
    <t>石中剑：$y15%$w几率造成$r[1200+700*lv]$w的物理伤害并回复15点怒气，增加[6+2*lv]的精神。/誓约胜利之剑：当怒气&gt;80，$y15%$w消耗60点怒气造成$r[3600+2000*lv]+[(200+10*lv)]%*攻击力$w的物理伤害</t>
    <phoneticPr fontId="1" type="noConversion"/>
  </si>
  <si>
    <t>10回合后，80%几率造成25%敌方最大生命值的魔法伤害</t>
    <phoneticPr fontId="1" type="noConversion"/>
  </si>
  <si>
    <t>20%几率造成$b[100*lv]+[90+40*lv]%*法术强度$w的魔法伤害，并附加1层【忘却】</t>
    <phoneticPr fontId="1" type="noConversion"/>
  </si>
  <si>
    <t>20+lv</t>
    <phoneticPr fontId="1" type="noConversion"/>
  </si>
  <si>
    <t>-4*lv</t>
    <phoneticPr fontId="1" type="noConversion"/>
  </si>
  <si>
    <t>速度提高[1500+100*lv]</t>
    <phoneticPr fontId="1" type="noConversion"/>
  </si>
  <si>
    <t>速度提高[1500+1000*lv]</t>
    <phoneticPr fontId="1" type="noConversion"/>
  </si>
  <si>
    <t>1500+100*lv</t>
    <phoneticPr fontId="1" type="noConversion"/>
  </si>
  <si>
    <t>2+3x回合释放，造成$r[100*lv]+[90+20*lv]%*攻击力$w的物理伤害，10%附加一层【眩晕】</t>
    <phoneticPr fontId="1" type="noConversion"/>
  </si>
  <si>
    <t>提高护甲相当于[1+1.5*lv]%*队伍攻击力，提高魔抗相当于[1+1.5*lv]%*队伍法术强度</t>
    <phoneticPr fontId="1" type="noConversion"/>
  </si>
  <si>
    <t>string:ccbi</t>
    <phoneticPr fontId="1" type="noConversion"/>
  </si>
  <si>
    <t>string:animation</t>
    <phoneticPr fontId="1" type="noConversion"/>
  </si>
  <si>
    <t>每次攻击提高1%暴击，3%暴击伤害</t>
    <phoneticPr fontId="1" type="noConversion"/>
  </si>
  <si>
    <t>100</t>
    <phoneticPr fontId="1" type="noConversion"/>
  </si>
  <si>
    <t>300</t>
    <phoneticPr fontId="1" type="noConversion"/>
  </si>
  <si>
    <t>100*lv+40*a.cur_mana+(100+35*lv)/100*a.ap</t>
    <phoneticPr fontId="1" type="noConversion"/>
  </si>
  <si>
    <t>青焰连城</t>
    <phoneticPr fontId="1" type="noConversion"/>
  </si>
  <si>
    <t>火凤燎原</t>
    <phoneticPr fontId="1" type="noConversion"/>
  </si>
  <si>
    <t>幽魂一击</t>
    <phoneticPr fontId="1" type="noConversion"/>
  </si>
  <si>
    <t>幽魂爆破</t>
    <phoneticPr fontId="1" type="noConversion"/>
  </si>
  <si>
    <t>造成$r2000*lv+500%*攻击力$w的暗属性物理伤害，并获得两层【威能】</t>
    <phoneticPr fontId="1" type="noConversion"/>
  </si>
  <si>
    <t>造成$r3000*lv+600%*法术强度$w的暗属性魔法伤害，并附加一层【虚弱】</t>
    <phoneticPr fontId="1" type="noConversion"/>
  </si>
  <si>
    <t>3000*lv+600/100*a.ap</t>
    <phoneticPr fontId="1" type="noConversion"/>
  </si>
  <si>
    <t>造成$r2000*lv+300%*攻击力$w的冰属性物理伤害</t>
    <phoneticPr fontId="1" type="noConversion"/>
  </si>
  <si>
    <t>造成$r2000*lv+300%*法术强度$w的火属性魔法伤害</t>
    <phoneticPr fontId="1" type="noConversion"/>
  </si>
  <si>
    <t>2000*lv+500/100*a.ad</t>
    <phoneticPr fontId="1" type="noConversion"/>
  </si>
  <si>
    <t>2000*lv+(150+100*lv)/100*a.ad</t>
    <phoneticPr fontId="1" type="noConversion"/>
  </si>
  <si>
    <t>3000*lv+300/100*a.ad</t>
    <phoneticPr fontId="1" type="noConversion"/>
  </si>
  <si>
    <t>3000*lv+300/100*a.ap</t>
    <phoneticPr fontId="1" type="noConversion"/>
  </si>
  <si>
    <t>300+135*lv</t>
    <phoneticPr fontId="1" type="noConversion"/>
  </si>
  <si>
    <t>深渊恐惧</t>
    <phoneticPr fontId="1" type="noConversion"/>
  </si>
  <si>
    <t>死镰收割</t>
    <phoneticPr fontId="1" type="noConversion"/>
  </si>
  <si>
    <t>掌管死亡的神，与孪生兄弟睡神修普诺斯一样，都是死神的亲信。</t>
    <phoneticPr fontId="1" type="noConversion"/>
  </si>
  <si>
    <t>灵魂腐蚀</t>
    <phoneticPr fontId="1" type="noConversion"/>
  </si>
  <si>
    <t>【普通攻击】释放时[2.8+0.8*lv]%几率获得1层【迅捷】</t>
    <phoneticPr fontId="1" type="noConversion"/>
  </si>
  <si>
    <t>4+lv</t>
    <phoneticPr fontId="1" type="noConversion"/>
  </si>
  <si>
    <t>6+lv</t>
    <phoneticPr fontId="1" type="noConversion"/>
  </si>
  <si>
    <t>【普通攻击】释放时[6+lv]%几率提高2点火属性强化，[4+lv]%几率获得1层【吸血鬼】</t>
    <phoneticPr fontId="1" type="noConversion"/>
  </si>
  <si>
    <t>2</t>
    <phoneticPr fontId="1" type="noConversion"/>
  </si>
  <si>
    <t>0.6*a.ad+0.6*a.ap</t>
    <phoneticPr fontId="1" type="noConversion"/>
  </si>
  <si>
    <t>10回合释放，造成60%攻击力+60%法术强度的魔法伤害，并使目标每回合受到2%最大生命值的伤害</t>
    <phoneticPr fontId="1" type="noConversion"/>
  </si>
  <si>
    <t>1+1X回合释放，造成40%攻击力+50%法术强度的物理伤害，并降低目标52点速度</t>
    <phoneticPr fontId="1" type="noConversion"/>
  </si>
  <si>
    <t>0.4*a.ad+0.5*a.ap</t>
    <phoneticPr fontId="1" type="noConversion"/>
  </si>
  <si>
    <t>1.2*a.ad+1*a.ap</t>
    <phoneticPr fontId="1" type="noConversion"/>
  </si>
  <si>
    <t>1*a.ad+1.15*a.ap</t>
    <phoneticPr fontId="1" type="noConversion"/>
  </si>
  <si>
    <t>1+2X回合释放，造成120%攻击力+100%法术强度的物理伤害</t>
    <phoneticPr fontId="1" type="noConversion"/>
  </si>
  <si>
    <t>2+2X回合释放，造成100%攻击力+115%法术强度的魔法伤害</t>
    <phoneticPr fontId="1" type="noConversion"/>
  </si>
  <si>
    <t>1+1X回合释放，造成175%法术强度的魔法伤害，【炽热连击】的暴击提高40%</t>
    <phoneticPr fontId="1" type="noConversion"/>
  </si>
  <si>
    <t>1.75*a.ap</t>
    <phoneticPr fontId="1" type="noConversion"/>
  </si>
  <si>
    <t>【暴击触发】造成175%法术强度的魔法伤害</t>
    <phoneticPr fontId="1" type="noConversion"/>
  </si>
  <si>
    <t>第15回合释放，造成260%法术强度的魔法伤害，并使目标每回合受到30%法术强度的伤害</t>
    <phoneticPr fontId="1" type="noConversion"/>
  </si>
  <si>
    <t>2.6*a.ap</t>
    <phoneticPr fontId="1" type="noConversion"/>
  </si>
  <si>
    <t>造成160%攻击力的物理伤害</t>
    <phoneticPr fontId="1" type="noConversion"/>
  </si>
  <si>
    <t>1.6*a.ad</t>
    <phoneticPr fontId="1" type="noConversion"/>
  </si>
  <si>
    <t>3+2X回合释放，造成240%攻击力的物理伤害</t>
    <phoneticPr fontId="1" type="noConversion"/>
  </si>
  <si>
    <t>2.4*a.ad</t>
    <phoneticPr fontId="1" type="noConversion"/>
  </si>
  <si>
    <t>【普通攻击】释放时[6+lv]%几率提高2点火属性强化，[4+lv]%几率获得1层【吸血鬼】</t>
    <phoneticPr fontId="1" type="noConversion"/>
  </si>
  <si>
    <t>四紫炎阵</t>
    <phoneticPr fontId="1" type="noConversion"/>
  </si>
  <si>
    <t>行动时5%几率获得1层【吸血鬼】</t>
    <phoneticPr fontId="1" type="noConversion"/>
  </si>
  <si>
    <t>icon92_16</t>
    <phoneticPr fontId="1" type="noConversion"/>
  </si>
  <si>
    <t>icon91_116</t>
    <phoneticPr fontId="1" type="noConversion"/>
  </si>
  <si>
    <t>icon92_22</t>
    <phoneticPr fontId="1" type="noConversion"/>
  </si>
  <si>
    <t>icon91_85</t>
    <phoneticPr fontId="1" type="noConversion"/>
  </si>
  <si>
    <t>血魂诅咒</t>
    <phoneticPr fontId="1" type="noConversion"/>
  </si>
  <si>
    <t>12+0.4*lv</t>
    <phoneticPr fontId="1" type="noConversion"/>
  </si>
  <si>
    <t>行动时[6+0.4*lv]%几率获得1层【吸血鬼】，[12+0.4*lv]%几率附加1层【减速】</t>
    <phoneticPr fontId="1" type="noConversion"/>
  </si>
  <si>
    <t>6+0.4*lv</t>
    <phoneticPr fontId="1" type="noConversion"/>
  </si>
  <si>
    <t>一将难求丶</t>
    <phoneticPr fontId="1" type="noConversion"/>
  </si>
  <si>
    <t>真选组松平大叔,叔叔好</t>
    <phoneticPr fontId="1" type="noConversion"/>
  </si>
  <si>
    <t>自身攻击时附加2000点伤害</t>
    <phoneticPr fontId="1" type="noConversion"/>
  </si>
  <si>
    <t>【吟唱】提高[0.5*lv+11.5]%速度和吸血（持续3回合）</t>
    <phoneticPr fontId="1" type="noConversion"/>
  </si>
  <si>
    <t>反伤2%arm+2%mr+1%最大生命值</t>
    <phoneticPr fontId="1" type="noConversion"/>
  </si>
  <si>
    <t>反伤2%ap+2%ad+1%最大生命值</t>
    <phoneticPr fontId="1" type="noConversion"/>
  </si>
  <si>
    <t>2/100*(a.arm+a.mr)+1/100*b.hp</t>
    <phoneticPr fontId="1" type="noConversion"/>
  </si>
  <si>
    <t>2/100*(a.team_ap+a.team_ad)+1/100*b.hp</t>
    <phoneticPr fontId="1" type="noConversion"/>
  </si>
  <si>
    <t>【巫毒仪式】释放后获得10层【迅捷】</t>
    <phoneticPr fontId="1" type="noConversion"/>
  </si>
  <si>
    <t>每点队伍攻击力提高0.3点速度</t>
    <phoneticPr fontId="1" type="noConversion"/>
  </si>
  <si>
    <t>每点队伍攻击力提高0.5点速度</t>
    <phoneticPr fontId="1" type="noConversion"/>
  </si>
  <si>
    <t>每点队伍法术强度提高0.3点速度</t>
    <phoneticPr fontId="1" type="noConversion"/>
  </si>
  <si>
    <t>每点队伍法术强度提高0.5点速度</t>
    <phoneticPr fontId="1" type="noConversion"/>
  </si>
  <si>
    <t>0.5*a.team_ad</t>
    <phoneticPr fontId="1" type="noConversion"/>
  </si>
  <si>
    <t>0.5*a.team_ap</t>
    <phoneticPr fontId="1" type="noConversion"/>
  </si>
  <si>
    <t>0.3*a.team_ap</t>
    <phoneticPr fontId="1" type="noConversion"/>
  </si>
  <si>
    <t>0.3*a.team_ad</t>
    <phoneticPr fontId="1" type="noConversion"/>
  </si>
  <si>
    <t>100*lv+40*a.cur_rage+(100+45*lv)/100*a.ad</t>
    <phoneticPr fontId="1" type="noConversion"/>
  </si>
  <si>
    <t>提高12%力量和智力</t>
    <phoneticPr fontId="1" type="noConversion"/>
  </si>
  <si>
    <t>提高9%力量和智力</t>
    <phoneticPr fontId="1" type="noConversion"/>
  </si>
  <si>
    <t>提高6%力量和智力</t>
    <phoneticPr fontId="1" type="noConversion"/>
  </si>
  <si>
    <t>12</t>
    <phoneticPr fontId="1" type="noConversion"/>
  </si>
  <si>
    <t>9</t>
    <phoneticPr fontId="1" type="noConversion"/>
  </si>
  <si>
    <t>6</t>
    <phoneticPr fontId="1" type="noConversion"/>
  </si>
  <si>
    <t>6</t>
    <phoneticPr fontId="1" type="noConversion"/>
  </si>
  <si>
    <t>提高12%力量和智力</t>
    <phoneticPr fontId="1" type="noConversion"/>
  </si>
  <si>
    <t>提高9%力量和智力</t>
    <phoneticPr fontId="1" type="noConversion"/>
  </si>
  <si>
    <t>提高6%力量和智力</t>
    <phoneticPr fontId="1" type="noConversion"/>
  </si>
  <si>
    <t>【吟唱】获得[20+2*lv]%的治疗效果，降低[70-2*lv]%造成伤害，持续3回合</t>
    <phoneticPr fontId="1" type="noConversion"/>
  </si>
  <si>
    <t>2000+200*lv</t>
    <phoneticPr fontId="1" type="noConversion"/>
  </si>
  <si>
    <t>2*lv-70</t>
    <phoneticPr fontId="1" type="noConversion"/>
  </si>
  <si>
    <t>$y30%$w几率造成$b[100+5*lv]+[(20+1*lv)]%*护甲+[(20+1*lv)]%*魔抗$w的光属性魔法伤害</t>
    <phoneticPr fontId="1" type="noConversion"/>
  </si>
  <si>
    <t>100+5*lv+(10+1*lv)/100*a.arm+(10+1*lv)/100*a.mr</t>
    <phoneticPr fontId="1" type="noConversion"/>
  </si>
  <si>
    <t>行动时提高[0.2+0.09*lv]%多重施法(最多叠加10层）</t>
    <phoneticPr fontId="1" type="noConversion"/>
  </si>
  <si>
    <t>七相·爆裂杀意</t>
    <phoneticPr fontId="1" type="noConversion"/>
  </si>
  <si>
    <t>降低[80+6*lv]点护甲，提高[150+15*lv]点队伍攻击力和[150+15*lv]点队伍法术强度（可叠加）</t>
    <phoneticPr fontId="1" type="noConversion"/>
  </si>
  <si>
    <t>提高[250+200*lv]点血量和[50+20*lv]点队伍攻击力（可叠加）</t>
    <phoneticPr fontId="1" type="noConversion"/>
  </si>
  <si>
    <t>降低[40+15*lv]护甲和魔抗，提高[200+25*lv]点队伍攻击力（可叠加）</t>
    <phoneticPr fontId="1" type="noConversion"/>
  </si>
  <si>
    <t>强力的手套使得战斗更加得心应手，提高[40+10*lv]点队伍攻击力和[60+20*lv]点速度</t>
    <phoneticPr fontId="1" type="noConversion"/>
  </si>
  <si>
    <t>提高[60*lv]点速度和[10+20*lv]点队伍攻击力（可叠加）</t>
    <phoneticPr fontId="1" type="noConversion"/>
  </si>
  <si>
    <t>提高[30+11*lv]点队伍法术强度（可叠加）</t>
    <phoneticPr fontId="1" type="noConversion"/>
  </si>
  <si>
    <t>提高[100+20*lv]点队伍攻击力和队伍法术强度</t>
    <phoneticPr fontId="1" type="noConversion"/>
  </si>
  <si>
    <t>提高[80+10*lv]点队伍法术强度和法术穿透（可叠加）</t>
    <phoneticPr fontId="1" type="noConversion"/>
  </si>
  <si>
    <t>提高[28+9*lv]点队伍法术强度（可叠加）</t>
    <phoneticPr fontId="1" type="noConversion"/>
  </si>
  <si>
    <t>【弱化连锁】$y33%$w几率造成$b[80+2*lv]%*法术强度$w的魔法伤害</t>
    <phoneticPr fontId="1" type="noConversion"/>
  </si>
  <si>
    <t>誓约胜利之剑</t>
    <phoneticPr fontId="1" type="noConversion"/>
  </si>
  <si>
    <t>变为随机属性</t>
    <phoneticPr fontId="1" type="noConversion"/>
  </si>
  <si>
    <t>自身【巧篆】变为随机属性伤害，并提高40点该属强（持续1回合）</t>
    <phoneticPr fontId="1" type="noConversion"/>
  </si>
  <si>
    <t>40</t>
    <phoneticPr fontId="1" type="noConversion"/>
  </si>
  <si>
    <t>5</t>
    <phoneticPr fontId="1" type="noConversion"/>
  </si>
  <si>
    <t>兔子的愤怒</t>
    <phoneticPr fontId="1" type="noConversion"/>
  </si>
  <si>
    <t>发动时50%几率获得2层【神圣之光】，50%几率获得2层【吸血鬼】</t>
    <phoneticPr fontId="1" type="noConversion"/>
  </si>
  <si>
    <t>lv</t>
    <phoneticPr fontId="1" type="noConversion"/>
  </si>
  <si>
    <t>忍法·鬼</t>
    <phoneticPr fontId="1" type="noConversion"/>
  </si>
  <si>
    <t>敌方血量高于80%，自身【雷切】伤害提高36%</t>
  </si>
  <si>
    <t>灵魂剥离</t>
    <phoneticPr fontId="1" type="noConversion"/>
  </si>
  <si>
    <t>自身【灵魂腐蚀】回复自己10%*最大生命值的血量</t>
  </si>
  <si>
    <t>10/100*a.hp</t>
    <phoneticPr fontId="1" type="noConversion"/>
  </si>
  <si>
    <t>3600</t>
    <phoneticPr fontId="1" type="noConversion"/>
  </si>
  <si>
    <t>先祖庇护</t>
    <phoneticPr fontId="1" type="noConversion"/>
  </si>
  <si>
    <t>-200</t>
    <phoneticPr fontId="1" type="noConversion"/>
  </si>
  <si>
    <t>200</t>
    <phoneticPr fontId="1" type="noConversion"/>
  </si>
  <si>
    <t>提高2%pvp减伤</t>
    <phoneticPr fontId="1" type="noConversion"/>
  </si>
  <si>
    <t>2</t>
    <phoneticPr fontId="1" type="noConversion"/>
  </si>
  <si>
    <t>回合结束时$y3%$w几率消耗30能量造成$r[5000+500*lv]$w的火属性攻击，并附加5层【流血】，视为【普通攻击】（回合结束发动，不会出现在连击装置中）</t>
    <phoneticPr fontId="1" type="noConversion"/>
  </si>
  <si>
    <t>被攻击时20%几率提高10000点护甲（最多1层），附加2层【裂伤】</t>
    <phoneticPr fontId="1" type="noConversion"/>
  </si>
  <si>
    <t>提高120点体力，被攻击时20%几率提高10000点护甲（最多1层），附加2层【裂伤】</t>
    <phoneticPr fontId="1" type="noConversion"/>
  </si>
  <si>
    <t>霉毒</t>
    <phoneticPr fontId="1" type="noConversion"/>
  </si>
  <si>
    <t>发烧</t>
    <phoneticPr fontId="1" type="noConversion"/>
  </si>
  <si>
    <t>感染</t>
    <phoneticPr fontId="1" type="noConversion"/>
  </si>
  <si>
    <t>食屎</t>
    <phoneticPr fontId="1" type="noConversion"/>
  </si>
  <si>
    <t>出汗</t>
    <phoneticPr fontId="1" type="noConversion"/>
  </si>
  <si>
    <t>行动3%几率减少对方2%治疗效果</t>
    <phoneticPr fontId="1" type="noConversion"/>
  </si>
  <si>
    <t>被攻击3%几率减少对方2%治疗效果</t>
    <phoneticPr fontId="1" type="noConversion"/>
  </si>
  <si>
    <t>行动3%几率附加1层【减速】</t>
    <phoneticPr fontId="1" type="noConversion"/>
  </si>
  <si>
    <t>行动1%几率附加1层【灼烧】，1%几率附加1层【中毒】，1%几率附加1层【流血】</t>
    <phoneticPr fontId="1" type="noConversion"/>
  </si>
  <si>
    <t>-1</t>
    <phoneticPr fontId="1" type="noConversion"/>
  </si>
  <si>
    <t>-100</t>
    <phoneticPr fontId="1" type="noConversion"/>
  </si>
  <si>
    <t>多重弹幕</t>
    <phoneticPr fontId="1" type="noConversion"/>
  </si>
  <si>
    <t>强化弹幕</t>
    <phoneticPr fontId="1" type="noConversion"/>
  </si>
  <si>
    <t>发酒疯</t>
    <phoneticPr fontId="1" type="noConversion"/>
  </si>
  <si>
    <t>酒神狂暴</t>
    <phoneticPr fontId="1" type="noConversion"/>
  </si>
  <si>
    <t>酒神之威</t>
    <phoneticPr fontId="1" type="noConversion"/>
  </si>
  <si>
    <t>行动时13%几率附加1层【重伤】</t>
    <phoneticPr fontId="1" type="noConversion"/>
  </si>
  <si>
    <t>智商压制</t>
    <phoneticPr fontId="1" type="noConversion"/>
  </si>
  <si>
    <t>上帝之胄</t>
    <phoneticPr fontId="1" type="noConversion"/>
  </si>
  <si>
    <t>提高[2+lv]点光属性抗性和火属性抗性（可叠加）</t>
    <phoneticPr fontId="1" type="noConversion"/>
  </si>
  <si>
    <t>提高[(4+0.3*lv)]点暗属性强化</t>
    <phoneticPr fontId="1" type="noConversion"/>
  </si>
  <si>
    <t>黑胡子之怒</t>
    <phoneticPr fontId="1" type="noConversion"/>
  </si>
  <si>
    <t>提高[300+200*lv]点血量（可叠加）</t>
    <phoneticPr fontId="1" type="noConversion"/>
  </si>
  <si>
    <t>提高[300+200*lv]点血量（可叠加）</t>
    <phoneticPr fontId="1" type="noConversion"/>
  </si>
  <si>
    <t>300+200*lv</t>
  </si>
  <si>
    <t>提高[1+0.5*lv]点暗属性强化和[1+1*lv]点光属性抗性</t>
    <phoneticPr fontId="1" type="noConversion"/>
  </si>
  <si>
    <t>自身【堕天使之击】提高[150+50*lv]点法术穿透和[3+1*lv]%暴击伤害</t>
    <phoneticPr fontId="1" type="noConversion"/>
  </si>
  <si>
    <t>150+50*lv</t>
  </si>
  <si>
    <t>300+100*lv</t>
    <phoneticPr fontId="1" type="noConversion"/>
  </si>
  <si>
    <t>行动时降低敌方[0.6+0.1*lv]%治疗效果（可叠加）</t>
    <phoneticPr fontId="1" type="noConversion"/>
  </si>
  <si>
    <t>300+10*lv+(55+10*lv)/100*a.ap+(55+10*lv)/100*a.ad</t>
    <phoneticPr fontId="1" type="noConversion"/>
  </si>
  <si>
    <t>100+20*lv</t>
    <phoneticPr fontId="1" type="noConversion"/>
  </si>
  <si>
    <t>-60-10*lv</t>
    <phoneticPr fontId="1" type="noConversion"/>
  </si>
  <si>
    <t>行动时附加5%当前生命值的伤害，消耗2%当前生命值并降低自身1点智力（可叠加）</t>
    <phoneticPr fontId="1" type="noConversion"/>
  </si>
  <si>
    <t>行动时附加8%当前生命值的伤害，消耗3%当前生命值并降低自身2点智力（可叠加）</t>
    <phoneticPr fontId="1" type="noConversion"/>
  </si>
  <si>
    <t>(120+40*lv)+(130+15*lv)/100*a.ad</t>
    <phoneticPr fontId="1" type="noConversion"/>
  </si>
  <si>
    <t>360+60*lv</t>
    <phoneticPr fontId="1" type="noConversion"/>
  </si>
  <si>
    <t>提高[15+3*lv]点体力和精神</t>
    <phoneticPr fontId="1" type="noConversion"/>
  </si>
  <si>
    <t>2+lv</t>
    <phoneticPr fontId="1" type="noConversion"/>
  </si>
  <si>
    <t>15+3*lv</t>
    <phoneticPr fontId="1" type="noConversion"/>
  </si>
  <si>
    <t>体力精神</t>
    <phoneticPr fontId="1" type="noConversion"/>
  </si>
  <si>
    <t>魔爪击【霉毒】</t>
    <phoneticPr fontId="1" type="noConversion"/>
  </si>
  <si>
    <t>魔爪击【发烧】</t>
    <phoneticPr fontId="1" type="noConversion"/>
  </si>
  <si>
    <t>暗属性物理，减疗</t>
    <phoneticPr fontId="1" type="noConversion"/>
  </si>
  <si>
    <t>暗属性魔法，减抗</t>
    <phoneticPr fontId="1" type="noConversion"/>
  </si>
  <si>
    <t>灼烧，中毒，流血</t>
    <phoneticPr fontId="1" type="noConversion"/>
  </si>
  <si>
    <t>减速</t>
    <phoneticPr fontId="1" type="noConversion"/>
  </si>
  <si>
    <t>魔物</t>
    <phoneticPr fontId="1" type="noConversion"/>
  </si>
  <si>
    <t>黑龙</t>
    <phoneticPr fontId="1" type="noConversion"/>
  </si>
  <si>
    <t>速度</t>
    <phoneticPr fontId="1" type="noConversion"/>
  </si>
  <si>
    <t>全抗</t>
    <phoneticPr fontId="1" type="noConversion"/>
  </si>
  <si>
    <t>500*lv+6000</t>
    <phoneticPr fontId="1" type="noConversion"/>
  </si>
  <si>
    <t>20*lv+20</t>
    <phoneticPr fontId="1" type="noConversion"/>
  </si>
  <si>
    <t>100*lv+(90+30*lv)/100*a.ap</t>
    <phoneticPr fontId="1" type="noConversion"/>
  </si>
  <si>
    <t>恐怖传说</t>
    <phoneticPr fontId="1" type="noConversion"/>
  </si>
  <si>
    <t>6305,5</t>
    <phoneticPr fontId="1" type="noConversion"/>
  </si>
  <si>
    <t>【吟唱】本回合必定暴击，并提高[0.5*lv]%暴击伤害</t>
    <phoneticPr fontId="1" type="noConversion"/>
  </si>
  <si>
    <t>加buff的技能</t>
    <phoneticPr fontId="1" type="noConversion"/>
  </si>
  <si>
    <t>40+2*lv</t>
    <phoneticPr fontId="1" type="noConversion"/>
  </si>
  <si>
    <t>【吟唱】提高[10+2*lv]点全属性强化和[40+2*lv]点全抗性强化（最多1层，持续1回合）</t>
    <rPh sb="38" eb="39">
      <t>zui duo</t>
    </rPh>
    <rPh sb="41" eb="42">
      <t>cen</t>
    </rPh>
    <phoneticPr fontId="1" type="noConversion"/>
  </si>
  <si>
    <t>自身【庇护】lv+5,自身【胡狼王之怒】lv+5</t>
    <rPh sb="11" eb="12">
      <t>zi shen</t>
    </rPh>
    <phoneticPr fontId="1" type="noConversion"/>
  </si>
  <si>
    <t>6304,5</t>
    <phoneticPr fontId="1" type="noConversion"/>
  </si>
  <si>
    <t>胡狼王的恐怖传说</t>
    <rPh sb="0" eb="1">
      <t>hu lang wang</t>
    </rPh>
    <rPh sb="3" eb="4">
      <t>d</t>
    </rPh>
    <rPh sb="4" eb="5">
      <t>kong bu chuan shuo</t>
    </rPh>
    <phoneticPr fontId="1" type="noConversion"/>
  </si>
  <si>
    <t>提高[22+12*lv]点队伍法术强度（可叠加）</t>
    <phoneticPr fontId="1" type="noConversion"/>
  </si>
  <si>
    <t>22+12*lv</t>
  </si>
  <si>
    <t>行动时20%几率附加1层【破防】</t>
    <phoneticPr fontId="1" type="noConversion"/>
  </si>
  <si>
    <t>行动时30%几率附加1层【破防】</t>
    <phoneticPr fontId="1" type="noConversion"/>
  </si>
  <si>
    <t>斗者</t>
  </si>
  <si>
    <t>波动之赐</t>
    <phoneticPr fontId="1" type="noConversion"/>
  </si>
  <si>
    <t>角斗士的信仰</t>
  </si>
  <si>
    <t>斗者</t>
    <phoneticPr fontId="1" type="noConversion"/>
  </si>
  <si>
    <t>王者之风1</t>
    <phoneticPr fontId="1" type="noConversion"/>
  </si>
  <si>
    <t>王者之风2</t>
  </si>
  <si>
    <t>开拓者1</t>
    <phoneticPr fontId="1" type="noConversion"/>
  </si>
  <si>
    <t>神之恩赐1</t>
    <phoneticPr fontId="1" type="noConversion"/>
  </si>
  <si>
    <t>神之恩赐2</t>
  </si>
  <si>
    <t>神之恩赐3</t>
  </si>
  <si>
    <t>开拓者2</t>
  </si>
  <si>
    <t>开拓者3</t>
  </si>
  <si>
    <t>鲜血渴望1</t>
  </si>
  <si>
    <t>无限强袭1</t>
  </si>
  <si>
    <t>杀意决1</t>
  </si>
  <si>
    <t>鲜血渴望2</t>
  </si>
  <si>
    <t>鲜血渴望3</t>
  </si>
  <si>
    <t>无限强袭2</t>
  </si>
  <si>
    <t>无限强袭3</t>
  </si>
  <si>
    <t>杀意决2</t>
  </si>
  <si>
    <t>杀意决3</t>
  </si>
  <si>
    <t>苍鹰之眸1</t>
  </si>
  <si>
    <t>风行者1</t>
  </si>
  <si>
    <t>上古神器1</t>
  </si>
  <si>
    <t>苍鹰之眸2</t>
  </si>
  <si>
    <t>苍鹰之眸3</t>
  </si>
  <si>
    <t>风行者2</t>
  </si>
  <si>
    <t>风行者3</t>
  </si>
  <si>
    <t>上古神器2</t>
  </si>
  <si>
    <t>上古神器3</t>
  </si>
  <si>
    <t>元素共鸣1</t>
  </si>
  <si>
    <t>奥术帝国1</t>
  </si>
  <si>
    <t>天劫之灾1</t>
  </si>
  <si>
    <t>元素共鸣2</t>
  </si>
  <si>
    <t>元素共鸣3</t>
  </si>
  <si>
    <t>奥术帝国2</t>
  </si>
  <si>
    <t>奥术帝国3</t>
  </si>
  <si>
    <t>天劫之灾2</t>
  </si>
  <si>
    <t>天劫之灾3</t>
  </si>
  <si>
    <t>混沌之源1</t>
  </si>
  <si>
    <t>末日天启1</t>
  </si>
  <si>
    <t>七宗罪1</t>
  </si>
  <si>
    <t>七宗罪2</t>
  </si>
  <si>
    <t>七宗罪3</t>
  </si>
  <si>
    <t>末日天启2</t>
  </si>
  <si>
    <t>末日天启3</t>
  </si>
  <si>
    <t>混沌之源2</t>
  </si>
  <si>
    <t>混沌之源3</t>
  </si>
  <si>
    <t>光明圣域1</t>
  </si>
  <si>
    <t>神圣祈祷者1</t>
  </si>
  <si>
    <t>天启1</t>
  </si>
  <si>
    <t>天启2</t>
  </si>
  <si>
    <t>天启3</t>
  </si>
  <si>
    <t>神圣祈祷者2</t>
  </si>
  <si>
    <t>神圣祈祷者3</t>
  </si>
  <si>
    <t>光明圣域2</t>
  </si>
  <si>
    <t>光明圣域3</t>
  </si>
  <si>
    <t>无尽杀机1</t>
  </si>
  <si>
    <t>地狱之炎1</t>
  </si>
  <si>
    <t>血祭1</t>
  </si>
  <si>
    <t>血祭2</t>
  </si>
  <si>
    <t>血祭3</t>
  </si>
  <si>
    <t>地狱之炎2</t>
    <phoneticPr fontId="1" type="noConversion"/>
  </si>
  <si>
    <t>地狱之炎3</t>
    <phoneticPr fontId="1" type="noConversion"/>
  </si>
  <si>
    <t>地狱之炎11</t>
    <phoneticPr fontId="1" type="noConversion"/>
  </si>
  <si>
    <t>无尽杀机2</t>
  </si>
  <si>
    <t>无尽杀机3</t>
  </si>
  <si>
    <t>哀嚎的亡魂1</t>
  </si>
  <si>
    <t>狂热教徒1</t>
  </si>
  <si>
    <t>死者之悟1</t>
  </si>
  <si>
    <t>哀嚎的亡魂2</t>
  </si>
  <si>
    <t>哀嚎的亡魂3</t>
  </si>
  <si>
    <t>狂热教徒2</t>
  </si>
  <si>
    <t>狂热教徒3</t>
  </si>
  <si>
    <t>死者之悟2</t>
    <phoneticPr fontId="1" type="noConversion"/>
  </si>
  <si>
    <t>死者之悟3</t>
    <phoneticPr fontId="1" type="noConversion"/>
  </si>
  <si>
    <t>战地壁垒1</t>
  </si>
  <si>
    <t>复仇之盾1</t>
  </si>
  <si>
    <t>鲜血之护1</t>
  </si>
  <si>
    <t>战地壁垒2</t>
  </si>
  <si>
    <t>战地壁垒3</t>
  </si>
  <si>
    <t>复仇之盾2</t>
  </si>
  <si>
    <t>复仇之盾3</t>
  </si>
  <si>
    <t>鲜血之护2</t>
  </si>
  <si>
    <t>鲜血之护3</t>
  </si>
  <si>
    <t>漫长的旅途1</t>
  </si>
  <si>
    <t>华丽的表演1</t>
  </si>
  <si>
    <t>贤者的宝藏1</t>
  </si>
  <si>
    <t>漫长的旅途2</t>
  </si>
  <si>
    <t>漫长的旅途3</t>
  </si>
  <si>
    <t>华丽的表演2</t>
  </si>
  <si>
    <t>华丽的表演3</t>
  </si>
  <si>
    <t>贤者的宝藏2</t>
  </si>
  <si>
    <t>贤者的宝藏3</t>
  </si>
  <si>
    <t>斗者1</t>
    <phoneticPr fontId="1" type="noConversion"/>
  </si>
  <si>
    <t>斗者2</t>
  </si>
  <si>
    <t>斗者3</t>
  </si>
  <si>
    <t>斗者4</t>
  </si>
  <si>
    <t>斗者5</t>
  </si>
  <si>
    <t>斗者6</t>
  </si>
  <si>
    <t>斗者7</t>
  </si>
  <si>
    <t>聪聪君1</t>
    <phoneticPr fontId="1" type="noConversion"/>
  </si>
  <si>
    <t>聪聪君2</t>
    <phoneticPr fontId="1" type="noConversion"/>
  </si>
  <si>
    <t>聪聪君3</t>
    <phoneticPr fontId="1" type="noConversion"/>
  </si>
  <si>
    <t>大天使的祝福1</t>
    <phoneticPr fontId="1" type="noConversion"/>
  </si>
  <si>
    <t>大天使的祝福2</t>
    <phoneticPr fontId="1" type="noConversion"/>
  </si>
  <si>
    <t>深渊领主1</t>
    <phoneticPr fontId="1" type="noConversion"/>
  </si>
  <si>
    <t>深渊领主2</t>
    <phoneticPr fontId="1" type="noConversion"/>
  </si>
  <si>
    <t>龙王1</t>
    <phoneticPr fontId="1" type="noConversion"/>
  </si>
  <si>
    <t>龙王2</t>
    <phoneticPr fontId="1" type="noConversion"/>
  </si>
  <si>
    <t>守望者1</t>
    <phoneticPr fontId="1" type="noConversion"/>
  </si>
  <si>
    <t>守望者2</t>
    <phoneticPr fontId="1" type="noConversion"/>
  </si>
  <si>
    <t>合奏之章1</t>
    <phoneticPr fontId="1" type="noConversion"/>
  </si>
  <si>
    <t>合奏之章2</t>
    <phoneticPr fontId="1" type="noConversion"/>
  </si>
  <si>
    <t>六天上帝1</t>
    <phoneticPr fontId="1" type="noConversion"/>
  </si>
  <si>
    <t>六天上帝2</t>
    <phoneticPr fontId="1" type="noConversion"/>
  </si>
  <si>
    <t>巨人王1</t>
    <phoneticPr fontId="1" type="noConversion"/>
  </si>
  <si>
    <t>巨人王2</t>
    <phoneticPr fontId="1" type="noConversion"/>
  </si>
  <si>
    <t>命运之轮1</t>
    <phoneticPr fontId="1" type="noConversion"/>
  </si>
  <si>
    <t>命运之轮2</t>
    <phoneticPr fontId="1" type="noConversion"/>
  </si>
  <si>
    <t>兽神的赐福1</t>
    <phoneticPr fontId="1" type="noConversion"/>
  </si>
  <si>
    <t>兽神的赐福2</t>
    <phoneticPr fontId="1" type="noConversion"/>
  </si>
  <si>
    <t>斯托拉斯1</t>
    <phoneticPr fontId="1" type="noConversion"/>
  </si>
  <si>
    <t>斯托拉斯2</t>
    <phoneticPr fontId="1" type="noConversion"/>
  </si>
  <si>
    <t>角斗士的护卫1</t>
    <phoneticPr fontId="1" type="noConversion"/>
  </si>
  <si>
    <t>角斗士的护卫2</t>
    <phoneticPr fontId="1" type="noConversion"/>
  </si>
  <si>
    <t>力量诅咒1</t>
    <phoneticPr fontId="1" type="noConversion"/>
  </si>
  <si>
    <t>上帝之胄</t>
  </si>
  <si>
    <t>秘术强化</t>
  </si>
  <si>
    <t>多重弹幕</t>
  </si>
  <si>
    <t>强化弹幕</t>
  </si>
  <si>
    <t>酒神狂暴</t>
  </si>
  <si>
    <t>发酒疯</t>
  </si>
  <si>
    <t>酒神之威</t>
  </si>
  <si>
    <t>黑胡子之怒</t>
  </si>
  <si>
    <t>出汗</t>
  </si>
  <si>
    <t>院长之力</t>
  </si>
  <si>
    <t>院长壁垒</t>
  </si>
  <si>
    <t>金钱壁</t>
  </si>
  <si>
    <t>紫电轰击</t>
  </si>
  <si>
    <t>雷云</t>
  </si>
  <si>
    <t>胜者之歌</t>
  </si>
  <si>
    <t>无畏</t>
  </si>
  <si>
    <t>堕落殉道</t>
  </si>
  <si>
    <t>迷雾穿透</t>
  </si>
  <si>
    <t>胡闹</t>
  </si>
  <si>
    <t>最后的最后</t>
  </si>
  <si>
    <t>随缘巧篆</t>
  </si>
  <si>
    <t>能量强化</t>
  </si>
  <si>
    <t>提炉再生</t>
  </si>
  <si>
    <t>冰霜智慧</t>
  </si>
  <si>
    <t>审判之焰</t>
  </si>
  <si>
    <t>英勇奖赏</t>
  </si>
  <si>
    <t>复苏</t>
  </si>
  <si>
    <t>天命</t>
  </si>
  <si>
    <t>忍法·鬼</t>
  </si>
  <si>
    <t>灵魂剥离</t>
  </si>
  <si>
    <t>无限光明</t>
  </si>
  <si>
    <t>坚强祷告</t>
  </si>
  <si>
    <t>杀意骤起</t>
  </si>
  <si>
    <t>无间炼狱</t>
  </si>
  <si>
    <t>亡魂侵扰</t>
  </si>
  <si>
    <t>终结</t>
  </si>
  <si>
    <t>战场老兵</t>
  </si>
  <si>
    <t>华丽的开场白</t>
  </si>
  <si>
    <t>智慧的贤者</t>
  </si>
  <si>
    <t>神之恩赐1</t>
  </si>
  <si>
    <t>王者之风1</t>
  </si>
  <si>
    <t>地狱之炎2</t>
  </si>
  <si>
    <t>地狱之炎3</t>
  </si>
  <si>
    <t>聪聪君1</t>
  </si>
  <si>
    <t>聪聪君2</t>
  </si>
  <si>
    <t>大天使的祝福1</t>
  </si>
  <si>
    <t>大天使的祝福2</t>
  </si>
  <si>
    <t>深渊领主1</t>
  </si>
  <si>
    <t>深渊领主2</t>
  </si>
  <si>
    <t>龙王1</t>
  </si>
  <si>
    <t>龙王2</t>
  </si>
  <si>
    <t>合奏之章1</t>
  </si>
  <si>
    <t>合奏之章2</t>
  </si>
  <si>
    <t>六天上帝1</t>
  </si>
  <si>
    <t>六天上帝2</t>
  </si>
  <si>
    <t>巨人王1</t>
  </si>
  <si>
    <t>巨人王2</t>
  </si>
  <si>
    <t>命运之轮1</t>
  </si>
  <si>
    <t>命运之轮2</t>
  </si>
  <si>
    <t>兽神的赐福1</t>
  </si>
  <si>
    <t>兽神的赐福2</t>
  </si>
  <si>
    <t>斯托拉斯1</t>
  </si>
  <si>
    <t>斯托拉斯2</t>
  </si>
  <si>
    <t>波动之赐</t>
  </si>
  <si>
    <t>角斗士的护卫1</t>
  </si>
  <si>
    <t>角斗士的护卫2</t>
  </si>
  <si>
    <t>天罚术式</t>
  </si>
  <si>
    <t>暗影审判</t>
  </si>
  <si>
    <t>极端堕落</t>
  </si>
  <si>
    <t>暗影祭祀</t>
  </si>
  <si>
    <t>理性之音</t>
  </si>
  <si>
    <t>虚无之影</t>
  </si>
  <si>
    <t>力量诅咒</t>
  </si>
  <si>
    <t>直死</t>
  </si>
  <si>
    <t>灵魂转移</t>
  </si>
  <si>
    <t>灵魂压迫</t>
  </si>
  <si>
    <t>愤怒回复</t>
  </si>
  <si>
    <t>继承者</t>
  </si>
  <si>
    <t>家族信仰</t>
  </si>
  <si>
    <t>家族之咒</t>
  </si>
  <si>
    <t>起手一套</t>
  </si>
  <si>
    <t>审判之路</t>
  </si>
  <si>
    <t>终焉之时</t>
  </si>
  <si>
    <t>时之沙</t>
  </si>
  <si>
    <t>审判誓言</t>
  </si>
  <si>
    <t>集束扼杀</t>
  </si>
  <si>
    <t>支持</t>
  </si>
  <si>
    <t>协作</t>
  </si>
  <si>
    <t>倾听</t>
  </si>
  <si>
    <t>享受</t>
  </si>
  <si>
    <t>自信</t>
  </si>
  <si>
    <t>永恒</t>
  </si>
  <si>
    <t>洞察</t>
  </si>
  <si>
    <t>黑龙一击【感染】</t>
  </si>
  <si>
    <t>黑龙吐息【出汗】</t>
  </si>
  <si>
    <t>魔物</t>
  </si>
  <si>
    <t>黑龙</t>
  </si>
  <si>
    <t>破魔</t>
  </si>
  <si>
    <t>破防</t>
  </si>
  <si>
    <t>衰弱光环</t>
  </si>
  <si>
    <t>竭心光环</t>
  </si>
  <si>
    <t>腐蚀光环</t>
  </si>
  <si>
    <t>火41</t>
  </si>
  <si>
    <t>冰41</t>
  </si>
  <si>
    <t>光41</t>
  </si>
  <si>
    <t>暗41</t>
  </si>
  <si>
    <t>11倍欢乐时光</t>
  </si>
  <si>
    <t>夺命连射3</t>
  </si>
  <si>
    <t>致伤诅咒2</t>
  </si>
  <si>
    <t>灵魂转换2</t>
  </si>
  <si>
    <t>反击风暴3</t>
  </si>
  <si>
    <t>搅碎·血崩2</t>
  </si>
  <si>
    <t>嫉妒3</t>
  </si>
  <si>
    <t>狙击</t>
  </si>
  <si>
    <t>驭火大师火强</t>
  </si>
  <si>
    <t>火焰强化</t>
  </si>
  <si>
    <t>秘传奥义·千年杀</t>
  </si>
  <si>
    <t>誓约加防</t>
  </si>
  <si>
    <t>攻击提升</t>
  </si>
  <si>
    <t>法术提升</t>
  </si>
  <si>
    <t>审判仪式</t>
  </si>
  <si>
    <t>破影增伤</t>
  </si>
  <si>
    <t>破影自身增伤</t>
  </si>
  <si>
    <t>隐身</t>
  </si>
  <si>
    <t>无尽怒火</t>
  </si>
  <si>
    <t>异世界启示</t>
  </si>
  <si>
    <t>提高5%所有伤害</t>
    <phoneticPr fontId="1" type="noConversion"/>
  </si>
  <si>
    <t>黑龙1</t>
    <phoneticPr fontId="1" type="noConversion"/>
  </si>
  <si>
    <t>黑龙2</t>
    <phoneticPr fontId="1" type="noConversion"/>
  </si>
  <si>
    <t>七彩1</t>
    <phoneticPr fontId="1" type="noConversion"/>
  </si>
  <si>
    <t>七彩2</t>
    <phoneticPr fontId="1" type="noConversion"/>
  </si>
  <si>
    <t>狂暴1</t>
    <phoneticPr fontId="1" type="noConversion"/>
  </si>
  <si>
    <t>狂暴2</t>
    <phoneticPr fontId="1" type="noConversion"/>
  </si>
  <si>
    <t>【炎杀黑龙波】降低敌方3%治疗效果，附加2层【灼烧】</t>
    <phoneticPr fontId="1" type="noConversion"/>
  </si>
  <si>
    <t>炎杀黑龙波</t>
    <phoneticPr fontId="1" type="noConversion"/>
  </si>
  <si>
    <t>提高5%pvp减伤</t>
    <phoneticPr fontId="1" type="noConversion"/>
  </si>
  <si>
    <t>魔物的皮毛刀枪不入，提高5%pvp减伤</t>
    <phoneticPr fontId="1" type="noConversion"/>
  </si>
  <si>
    <t>坚硬外皮</t>
    <phoneticPr fontId="1" type="noConversion"/>
  </si>
  <si>
    <t>【吟唱】消耗50点法力值，下3回合中双方无属性技能变为火属性并提高自己[2*lv+12]点火属性强化</t>
    <phoneticPr fontId="1" type="noConversion"/>
  </si>
  <si>
    <t>【吟唱】提高[100+10*lv]点精神（持续1回合），并获得1层【护卫】</t>
    <phoneticPr fontId="1" type="noConversion"/>
  </si>
  <si>
    <t>【吟唱】提高[1600+320*lv]点护甲，降低[2000+400*lv]点速度（持续1回合）</t>
    <phoneticPr fontId="1" type="noConversion"/>
  </si>
  <si>
    <t>【吟唱】提高[40+3*lv]%持续伤害，附加20层【暴怒】（持续3回合）</t>
    <phoneticPr fontId="1" type="noConversion"/>
  </si>
  <si>
    <t>【吟唱】获得[20+2*lv]%的治疗效果，降低[70-2*lv]%造成伤害（持续3回合）</t>
    <phoneticPr fontId="1" type="noConversion"/>
  </si>
  <si>
    <t>-20000000</t>
    <phoneticPr fontId="1" type="noConversion"/>
  </si>
  <si>
    <t>氪金壁</t>
    <phoneticPr fontId="1" type="noConversion"/>
  </si>
  <si>
    <t>大银哥</t>
    <phoneticPr fontId="1" type="noConversion"/>
  </si>
  <si>
    <t>((1+1.5*lv)/100)*a.team_ap</t>
    <phoneticPr fontId="1" type="noConversion"/>
  </si>
  <si>
    <t>行动时10%几率释放【炎杀黑龙波】造成10000点魔法伤害</t>
    <phoneticPr fontId="1" type="noConversion"/>
  </si>
  <si>
    <t>神隐</t>
    <phoneticPr fontId="1" type="noConversion"/>
  </si>
  <si>
    <t>庇护</t>
    <phoneticPr fontId="1" type="noConversion"/>
  </si>
  <si>
    <t>迷踪</t>
    <phoneticPr fontId="1" type="noConversion"/>
  </si>
  <si>
    <t>祝福</t>
    <phoneticPr fontId="1" type="noConversion"/>
  </si>
  <si>
    <t>静心</t>
    <phoneticPr fontId="1" type="noConversion"/>
  </si>
  <si>
    <t>冥想</t>
    <phoneticPr fontId="1" type="noConversion"/>
  </si>
  <si>
    <t>狂·碎日</t>
    <phoneticPr fontId="1" type="noConversion"/>
  </si>
  <si>
    <t>狂·裂风</t>
    <phoneticPr fontId="1" type="noConversion"/>
  </si>
  <si>
    <t>狂·断魂</t>
    <phoneticPr fontId="1" type="noConversion"/>
  </si>
  <si>
    <t>狂·血怒</t>
    <phoneticPr fontId="1" type="noConversion"/>
  </si>
  <si>
    <t>狂·破天</t>
    <phoneticPr fontId="1" type="noConversion"/>
  </si>
  <si>
    <t>狂·诛心</t>
    <phoneticPr fontId="1" type="noConversion"/>
  </si>
  <si>
    <t>所有连击装置冷却时，提高15%所有伤害</t>
    <phoneticPr fontId="1" type="noConversion"/>
  </si>
  <si>
    <t>所有连击装置冷却时，提高15%附加伤害</t>
    <phoneticPr fontId="1" type="noConversion"/>
  </si>
  <si>
    <t>10000点魔法伤害</t>
    <phoneticPr fontId="1" type="noConversion"/>
  </si>
  <si>
    <t>33848</t>
    <phoneticPr fontId="1" type="noConversion"/>
  </si>
  <si>
    <t>100</t>
    <phoneticPr fontId="1" type="noConversion"/>
  </si>
  <si>
    <t>300</t>
    <phoneticPr fontId="1" type="noConversion"/>
  </si>
  <si>
    <t>【炎杀黑龙波】伤害提高300%，附加2层【重伤】</t>
    <phoneticPr fontId="1" type="noConversion"/>
  </si>
  <si>
    <t>30000</t>
    <phoneticPr fontId="1" type="noConversion"/>
  </si>
  <si>
    <t>2000</t>
    <phoneticPr fontId="1" type="noConversion"/>
  </si>
  <si>
    <t>15</t>
    <phoneticPr fontId="1" type="noConversion"/>
  </si>
  <si>
    <t>5%pvp减伤</t>
    <phoneticPr fontId="1" type="noConversion"/>
  </si>
  <si>
    <t>光速打鸟</t>
    <phoneticPr fontId="1" type="noConversion"/>
  </si>
  <si>
    <t>行动时5%几率伤害变为光属性（持续1回合）</t>
    <phoneticPr fontId="1" type="noConversion"/>
  </si>
  <si>
    <t>光</t>
    <phoneticPr fontId="1" type="noConversion"/>
  </si>
  <si>
    <t>行动时5%几率伤害变为光属性，持续1回合</t>
    <phoneticPr fontId="1" type="noConversion"/>
  </si>
  <si>
    <t>行动时5%几率伤害变为光属性，持续1回合</t>
    <phoneticPr fontId="1" type="noConversion"/>
  </si>
  <si>
    <t>((1+1.5*lv)/100)*a.team_ad</t>
    <phoneticPr fontId="1" type="noConversion"/>
  </si>
  <si>
    <t>(2+1.5*lv)/100*a.ad</t>
    <phoneticPr fontId="1" type="noConversion"/>
  </si>
  <si>
    <t>(2+1.5*lv)/100*a.ap</t>
    <phoneticPr fontId="1" type="noConversion"/>
  </si>
  <si>
    <t>提高法术穿透相当于[2+1.5*lv]%*攻击力，提高护甲穿透相当于[2+1.5*lv]%*法术强度（可叠加）</t>
    <phoneticPr fontId="1" type="noConversion"/>
  </si>
  <si>
    <t>icon91_83</t>
    <phoneticPr fontId="1" type="noConversion"/>
  </si>
  <si>
    <t>icon91_92</t>
    <phoneticPr fontId="1" type="noConversion"/>
  </si>
  <si>
    <t>icon91_62</t>
    <phoneticPr fontId="1" type="noConversion"/>
  </si>
  <si>
    <t>icon92_60</t>
    <phoneticPr fontId="1" type="noConversion"/>
  </si>
  <si>
    <t>icon91_70</t>
    <phoneticPr fontId="1" type="noConversion"/>
  </si>
  <si>
    <t>icon92_12</t>
    <phoneticPr fontId="1" type="noConversion"/>
  </si>
  <si>
    <t>icon92_57</t>
    <phoneticPr fontId="1" type="noConversion"/>
  </si>
  <si>
    <t>icon92_24</t>
    <phoneticPr fontId="1" type="noConversion"/>
  </si>
  <si>
    <t>icon92_54</t>
    <phoneticPr fontId="1" type="noConversion"/>
  </si>
  <si>
    <t>icon93_19</t>
    <phoneticPr fontId="1" type="noConversion"/>
  </si>
  <si>
    <t>icon94_79</t>
    <phoneticPr fontId="1" type="noConversion"/>
  </si>
  <si>
    <t>icon92_15</t>
    <phoneticPr fontId="1" type="noConversion"/>
  </si>
  <si>
    <t>icon92_19</t>
    <phoneticPr fontId="1" type="noConversion"/>
  </si>
  <si>
    <t>icon92_38</t>
    <phoneticPr fontId="1" type="noConversion"/>
  </si>
  <si>
    <t>icon92_36</t>
    <phoneticPr fontId="1" type="noConversion"/>
  </si>
  <si>
    <t>【普通攻击】附加[8+2*lv]%*攻击力+[8+2*lv]%*法术强度的额外伤害</t>
    <phoneticPr fontId="1" type="noConversion"/>
  </si>
  <si>
    <t>上阵的刺客英雄全技能lv+2</t>
    <phoneticPr fontId="1" type="noConversion"/>
  </si>
  <si>
    <t>提高50%暴击，降低50%暴击伤害（可叠加）</t>
    <phoneticPr fontId="1" type="noConversion"/>
  </si>
  <si>
    <t>阿隆戴特</t>
    <phoneticPr fontId="1" type="noConversion"/>
  </si>
  <si>
    <t>5000</t>
    <phoneticPr fontId="1" type="noConversion"/>
  </si>
  <si>
    <t>号令军旗</t>
  </si>
  <si>
    <t>号令军旗</t>
    <phoneticPr fontId="1" type="noConversion"/>
  </si>
  <si>
    <t>镜·返</t>
  </si>
  <si>
    <t>镜·返</t>
    <phoneticPr fontId="1" type="noConversion"/>
  </si>
  <si>
    <t>圣光</t>
    <phoneticPr fontId="1" type="noConversion"/>
  </si>
  <si>
    <t>黑暗</t>
    <phoneticPr fontId="1" type="noConversion"/>
  </si>
  <si>
    <t>行动时5%几率伤害变为暗属性（持续1回合）</t>
  </si>
  <si>
    <t>行动时5%几率伤害变为暗属性（持续1回合）</t>
    <phoneticPr fontId="1" type="noConversion"/>
  </si>
  <si>
    <t>千军乱舞</t>
  </si>
  <si>
    <t>千军乱舞</t>
    <phoneticPr fontId="1" type="noConversion"/>
  </si>
  <si>
    <t>狩</t>
  </si>
  <si>
    <t>狩</t>
    <phoneticPr fontId="1" type="noConversion"/>
  </si>
  <si>
    <t>-5000</t>
    <phoneticPr fontId="1" type="noConversion"/>
  </si>
  <si>
    <t>行动时5%几率伤害变为暗属性，持续1回合</t>
    <phoneticPr fontId="1" type="noConversion"/>
  </si>
  <si>
    <t>1500</t>
    <phoneticPr fontId="1" type="noConversion"/>
  </si>
  <si>
    <t>1000000</t>
    <phoneticPr fontId="1" type="noConversion"/>
  </si>
  <si>
    <t>触手</t>
    <phoneticPr fontId="1" type="noConversion"/>
  </si>
  <si>
    <t>小黄花</t>
    <phoneticPr fontId="1" type="noConversion"/>
  </si>
  <si>
    <t>绝望之源</t>
    <phoneticPr fontId="1" type="noConversion"/>
  </si>
  <si>
    <t>【普通攻击】有$y[4.6+0.2]%$w几率提高1%【多重施法】</t>
    <phoneticPr fontId="1" type="noConversion"/>
  </si>
  <si>
    <t>$y8%$w几率造成$r[120+40*lv]+[(130+15*lv)]%*攻击力$w的物理伤害，视为【普通攻击】</t>
    <phoneticPr fontId="1" type="noConversion"/>
  </si>
  <si>
    <t>反击火炮-铁钩手</t>
    <phoneticPr fontId="1" type="noConversion"/>
  </si>
  <si>
    <t>被攻击时对敌方造成$b[2+2*lv]%*队伍攻击力+[1+0.5*lv]%*护甲$w的魔法伤害，提高自身【铁钩手】[3.6+0.6*lv]%伤害（回合内可叠加）</t>
    <phoneticPr fontId="1" type="noConversion"/>
  </si>
  <si>
    <t>提高自身【铁钩手】[3.6+0.6*lv]%伤害（回合内可叠加）</t>
    <phoneticPr fontId="1" type="noConversion"/>
  </si>
  <si>
    <t>4.6+0.2*lv</t>
    <phoneticPr fontId="1" type="noConversion"/>
  </si>
  <si>
    <t>100</t>
    <phoneticPr fontId="1" type="noConversion"/>
  </si>
  <si>
    <t>$y12%$w几率造成$r[300+10*lv]+[(55+10*lv)]%*法术强度+[(55+10*lv)]%*攻击力$w的暗属性物理伤害</t>
    <phoneticPr fontId="1" type="noConversion"/>
  </si>
  <si>
    <t>冷却时提高20点光属性抗性</t>
    <phoneticPr fontId="1" type="noConversion"/>
  </si>
  <si>
    <t>冷却时提高1000点护甲和800点魔抗</t>
    <phoneticPr fontId="1" type="noConversion"/>
  </si>
  <si>
    <t>发动回合提高12%暴击伤害</t>
    <phoneticPr fontId="1" type="noConversion"/>
  </si>
  <si>
    <t>发动回合提高12点所有属性强化</t>
    <phoneticPr fontId="1" type="noConversion"/>
  </si>
  <si>
    <t>发动回合提高55点队伍攻击力和队伍法术强度</t>
    <phoneticPr fontId="1" type="noConversion"/>
  </si>
  <si>
    <t>沉沦者的呐喊</t>
  </si>
  <si>
    <t>无悔誓言</t>
  </si>
  <si>
    <t>lag！</t>
  </si>
  <si>
    <t>深渊呼唤</t>
  </si>
  <si>
    <t>黑夜</t>
    <phoneticPr fontId="1" type="noConversion"/>
  </si>
  <si>
    <t>光明</t>
    <phoneticPr fontId="1" type="noConversion"/>
  </si>
  <si>
    <t>晓月</t>
    <phoneticPr fontId="1" type="noConversion"/>
  </si>
  <si>
    <t>匕垒</t>
    <phoneticPr fontId="1" type="noConversion"/>
  </si>
  <si>
    <t>大银哥</t>
    <phoneticPr fontId="1" type="noConversion"/>
  </si>
  <si>
    <t>1200</t>
    <phoneticPr fontId="1" type="noConversion"/>
  </si>
  <si>
    <t>55</t>
    <phoneticPr fontId="1" type="noConversion"/>
  </si>
  <si>
    <t>12</t>
    <phoneticPr fontId="1" type="noConversion"/>
  </si>
  <si>
    <t>1000</t>
    <phoneticPr fontId="1" type="noConversion"/>
  </si>
  <si>
    <t>800</t>
    <phoneticPr fontId="1" type="noConversion"/>
  </si>
  <si>
    <t>20</t>
    <phoneticPr fontId="1" type="noConversion"/>
  </si>
  <si>
    <t>神圣洗礼·返</t>
  </si>
  <si>
    <t>220/100*a.ap</t>
    <phoneticPr fontId="1" type="noConversion"/>
  </si>
  <si>
    <t>只能【普通攻击】</t>
    <phoneticPr fontId="1" type="noConversion"/>
  </si>
  <si>
    <t>被打加抗</t>
    <phoneticPr fontId="1" type="noConversion"/>
  </si>
  <si>
    <t>减疗</t>
    <phoneticPr fontId="1" type="noConversion"/>
  </si>
  <si>
    <t>被攻击时降低[0.5*lv]%治疗效果</t>
    <phoneticPr fontId="1" type="noConversion"/>
  </si>
  <si>
    <t>减大料</t>
    <phoneticPr fontId="1" type="noConversion"/>
  </si>
  <si>
    <t>不存在的光</t>
    <phoneticPr fontId="1" type="noConversion"/>
  </si>
  <si>
    <t>不存在的冰</t>
    <phoneticPr fontId="1" type="noConversion"/>
  </si>
  <si>
    <t>第一、四、七回合结束释放，提高50点火，冰，暗抗，持续一回合。</t>
    <phoneticPr fontId="1" type="noConversion"/>
  </si>
  <si>
    <t>第二、五、八回合结束释放，提高50点火，光，冰抗，持续一回合。</t>
    <phoneticPr fontId="1" type="noConversion"/>
  </si>
  <si>
    <t>十回合提高50冰光暗抗</t>
    <phoneticPr fontId="1" type="noConversion"/>
  </si>
  <si>
    <t>行动时降低[0.5*lv]%治疗效果</t>
    <phoneticPr fontId="1" type="noConversion"/>
  </si>
  <si>
    <t>火之高兴</t>
    <phoneticPr fontId="1" type="noConversion"/>
  </si>
  <si>
    <t>行动时提高[lv]点火属性强化</t>
    <phoneticPr fontId="1" type="noConversion"/>
  </si>
  <si>
    <t>行动增伤</t>
    <phoneticPr fontId="1" type="noConversion"/>
  </si>
  <si>
    <t>攻击附加[150*lv]点伤害</t>
    <phoneticPr fontId="1" type="noConversion"/>
  </si>
  <si>
    <t>第三、六回合结束释放，提高50点火，光，暗抗，持续一回合。</t>
    <phoneticPr fontId="1" type="noConversion"/>
  </si>
  <si>
    <t>被打加抗</t>
    <phoneticPr fontId="1" type="noConversion"/>
  </si>
  <si>
    <t>被攻击时增加[lv]全抗</t>
    <phoneticPr fontId="1" type="noConversion"/>
  </si>
  <si>
    <t>lv</t>
    <phoneticPr fontId="1" type="noConversion"/>
  </si>
  <si>
    <t>被攻击时降低[0.5*lv]%治疗效果</t>
    <phoneticPr fontId="1" type="noConversion"/>
  </si>
  <si>
    <t>-50*lv</t>
    <phoneticPr fontId="1" type="noConversion"/>
  </si>
  <si>
    <t>减大料</t>
    <phoneticPr fontId="1" type="noConversion"/>
  </si>
  <si>
    <t>-50*lv</t>
    <phoneticPr fontId="1" type="noConversion"/>
  </si>
  <si>
    <t>行动时提高[lv]点火属性强化</t>
    <phoneticPr fontId="1" type="noConversion"/>
  </si>
  <si>
    <t>lv</t>
    <phoneticPr fontId="1" type="noConversion"/>
  </si>
  <si>
    <t>行动增伤</t>
    <phoneticPr fontId="1" type="noConversion"/>
  </si>
  <si>
    <t>攻击附加[150*lv]点伤害</t>
    <phoneticPr fontId="1" type="noConversion"/>
  </si>
  <si>
    <t>150*lv</t>
    <phoneticPr fontId="1" type="noConversion"/>
  </si>
  <si>
    <t>不存在的光</t>
    <phoneticPr fontId="1" type="noConversion"/>
  </si>
  <si>
    <t>50</t>
    <phoneticPr fontId="1" type="noConversion"/>
  </si>
  <si>
    <t>50</t>
    <phoneticPr fontId="1" type="noConversion"/>
  </si>
  <si>
    <t>50</t>
    <phoneticPr fontId="1" type="noConversion"/>
  </si>
  <si>
    <t>50</t>
    <phoneticPr fontId="1" type="noConversion"/>
  </si>
  <si>
    <t>不存在的暗</t>
    <phoneticPr fontId="1" type="noConversion"/>
  </si>
  <si>
    <t>不存在</t>
    <phoneticPr fontId="1" type="noConversion"/>
  </si>
  <si>
    <t>回合结束</t>
    <phoneticPr fontId="1" type="noConversion"/>
  </si>
  <si>
    <t>回合结束100%触发</t>
    <phoneticPr fontId="1" type="noConversion"/>
  </si>
  <si>
    <t>【普通攻击】有$y[4.6+0.2*lv]%$w几率提高1%【多重施法】（可叠加）</t>
    <phoneticPr fontId="1" type="noConversion"/>
  </si>
  <si>
    <t>提高7%pvp减伤</t>
    <phoneticPr fontId="1" type="noConversion"/>
  </si>
  <si>
    <t>提高8%pvp减伤</t>
    <phoneticPr fontId="1" type="noConversion"/>
  </si>
  <si>
    <t>8</t>
    <phoneticPr fontId="1" type="noConversion"/>
  </si>
  <si>
    <t>7</t>
    <phoneticPr fontId="1" type="noConversion"/>
  </si>
  <si>
    <t>回合结束时减少自身20%最大生命值</t>
    <phoneticPr fontId="1" type="noConversion"/>
  </si>
  <si>
    <r>
      <t>行动时有20%几率减少自身20%最大生命值</t>
    </r>
    <r>
      <rPr>
        <sz val="11"/>
        <color rgb="FFFF0000"/>
        <rFont val="宋体"/>
        <family val="3"/>
        <charset val="134"/>
      </rPr>
      <t>的血量</t>
    </r>
    <phoneticPr fontId="1" type="noConversion"/>
  </si>
  <si>
    <r>
      <t>回合结束时减少自身20%最大生命值</t>
    </r>
    <r>
      <rPr>
        <sz val="11"/>
        <color rgb="FFFF0000"/>
        <rFont val="宋体"/>
        <family val="3"/>
        <charset val="134"/>
      </rPr>
      <t>的血量</t>
    </r>
    <phoneticPr fontId="1" type="noConversion"/>
  </si>
  <si>
    <t>射法·玉天贯</t>
    <phoneticPr fontId="1" type="noConversion"/>
  </si>
  <si>
    <t>全军突击</t>
    <phoneticPr fontId="1" type="noConversion"/>
  </si>
  <si>
    <t>雷切</t>
    <phoneticPr fontId="1" type="noConversion"/>
  </si>
  <si>
    <t>单刀赴会</t>
    <phoneticPr fontId="1" type="noConversion"/>
  </si>
  <si>
    <t>神圣洗礼</t>
    <phoneticPr fontId="1" type="noConversion"/>
  </si>
  <si>
    <t>重隶</t>
    <phoneticPr fontId="1" type="noConversion"/>
  </si>
  <si>
    <t>赤龙之痛</t>
    <phoneticPr fontId="1" type="noConversion"/>
  </si>
  <si>
    <t>魔法伤害，灼烧</t>
    <phoneticPr fontId="1" type="noConversion"/>
  </si>
  <si>
    <t>幽龙之厄</t>
    <phoneticPr fontId="1" type="noConversion"/>
  </si>
  <si>
    <t>魔法伤害，中毒</t>
    <phoneticPr fontId="1" type="noConversion"/>
  </si>
  <si>
    <t>寒龙之殇</t>
    <phoneticPr fontId="1" type="noConversion"/>
  </si>
  <si>
    <t>魔法伤害，减速</t>
    <phoneticPr fontId="1" type="noConversion"/>
  </si>
  <si>
    <t>踩地板</t>
    <phoneticPr fontId="1" type="noConversion"/>
  </si>
  <si>
    <t>物理伤害，削弱护甲，概率眩晕</t>
    <phoneticPr fontId="1" type="noConversion"/>
  </si>
  <si>
    <t>100*lv+(90+40*lv)/100*a.ad</t>
    <phoneticPr fontId="1" type="noConversion"/>
  </si>
  <si>
    <t>厚皮</t>
    <phoneticPr fontId="1" type="noConversion"/>
  </si>
  <si>
    <t>被攻击提高全抗</t>
    <phoneticPr fontId="1" type="noConversion"/>
  </si>
  <si>
    <t>蚀脑</t>
    <phoneticPr fontId="1" type="noConversion"/>
  </si>
  <si>
    <t>暗属性魔法伤害，削弱暗抗，虚弱</t>
    <phoneticPr fontId="1" type="noConversion"/>
  </si>
  <si>
    <t>硬壳</t>
    <phoneticPr fontId="1" type="noConversion"/>
  </si>
  <si>
    <t>被攻击提高护甲，魔抗</t>
    <phoneticPr fontId="1" type="noConversion"/>
  </si>
  <si>
    <t>踩地板</t>
    <phoneticPr fontId="1" type="noConversion"/>
  </si>
  <si>
    <t>削弱护甲</t>
    <phoneticPr fontId="1" type="noConversion"/>
  </si>
  <si>
    <t>厚皮</t>
    <phoneticPr fontId="1" type="noConversion"/>
  </si>
  <si>
    <t>被攻击提高全抗</t>
    <phoneticPr fontId="1" type="noConversion"/>
  </si>
  <si>
    <t>20</t>
    <phoneticPr fontId="1" type="noConversion"/>
  </si>
  <si>
    <t>蚀脑</t>
    <phoneticPr fontId="1" type="noConversion"/>
  </si>
  <si>
    <t>削弱暗抗</t>
    <phoneticPr fontId="1" type="noConversion"/>
  </si>
  <si>
    <t>硬壳</t>
    <phoneticPr fontId="1" type="noConversion"/>
  </si>
  <si>
    <t>被攻击提高护甲，魔抗</t>
    <phoneticPr fontId="1" type="noConversion"/>
  </si>
  <si>
    <t>300</t>
    <phoneticPr fontId="1" type="noConversion"/>
  </si>
  <si>
    <t>-300</t>
    <phoneticPr fontId="1" type="noConversion"/>
  </si>
  <si>
    <t>-5</t>
    <phoneticPr fontId="1" type="noConversion"/>
  </si>
  <si>
    <t>自身【狩物佛钉】释放后恢复60点能量</t>
    <phoneticPr fontId="1" type="noConversion"/>
  </si>
  <si>
    <t>自身【神圣洗礼】释放后对自身释放【神圣洗礼·返】，回复220%*法术强度的血量</t>
    <phoneticPr fontId="1" type="noConversion"/>
  </si>
  <si>
    <t>极速</t>
    <phoneticPr fontId="1" type="noConversion"/>
  </si>
  <si>
    <t>回避</t>
    <phoneticPr fontId="1" type="noConversion"/>
  </si>
  <si>
    <t>暴击</t>
    <phoneticPr fontId="1" type="noConversion"/>
  </si>
  <si>
    <t>光强</t>
    <phoneticPr fontId="1" type="noConversion"/>
  </si>
  <si>
    <t>吸血</t>
    <phoneticPr fontId="1" type="noConversion"/>
  </si>
  <si>
    <t>物穿</t>
    <phoneticPr fontId="1" type="noConversion"/>
  </si>
  <si>
    <t>火强</t>
    <phoneticPr fontId="1" type="noConversion"/>
  </si>
  <si>
    <t>冰强</t>
    <phoneticPr fontId="1" type="noConversion"/>
  </si>
  <si>
    <t>法穿</t>
    <phoneticPr fontId="1" type="noConversion"/>
  </si>
  <si>
    <t>伤害</t>
    <phoneticPr fontId="1" type="noConversion"/>
  </si>
  <si>
    <t>多重</t>
    <phoneticPr fontId="1" type="noConversion"/>
  </si>
  <si>
    <t>能量</t>
    <phoneticPr fontId="1" type="noConversion"/>
  </si>
  <si>
    <t>法力</t>
    <phoneticPr fontId="1" type="noConversion"/>
  </si>
  <si>
    <t>回能</t>
    <phoneticPr fontId="1" type="noConversion"/>
  </si>
  <si>
    <t>行动回复10点能量</t>
    <phoneticPr fontId="1" type="noConversion"/>
  </si>
  <si>
    <t>2000</t>
    <phoneticPr fontId="1" type="noConversion"/>
  </si>
  <si>
    <t>200</t>
    <phoneticPr fontId="1" type="noConversion"/>
  </si>
  <si>
    <t>10</t>
    <phoneticPr fontId="1" type="noConversion"/>
  </si>
  <si>
    <t>愉悦【熔火】</t>
    <phoneticPr fontId="1" type="noConversion"/>
  </si>
  <si>
    <t>行动时获得1层【暴怒】和【迅捷】</t>
    <phoneticPr fontId="1" type="noConversion"/>
  </si>
  <si>
    <t>阴险【熔火】</t>
    <phoneticPr fontId="1" type="noConversion"/>
  </si>
  <si>
    <t>行动时提高1%暴伤并附加1层【破防】</t>
    <phoneticPr fontId="1" type="noConversion"/>
  </si>
  <si>
    <t>坚毅【熔火】</t>
    <phoneticPr fontId="1" type="noConversion"/>
  </si>
  <si>
    <t>行动时获得1层【再生】和【保护】</t>
    <phoneticPr fontId="1" type="noConversion"/>
  </si>
  <si>
    <t>投掷巨斧</t>
    <phoneticPr fontId="1" type="noConversion"/>
  </si>
  <si>
    <t>100*lv+(90+30*lv)/100*a.ad</t>
    <phoneticPr fontId="1" type="noConversion"/>
  </si>
  <si>
    <t>开心地放火【发烧】</t>
    <phoneticPr fontId="1" type="noConversion"/>
  </si>
  <si>
    <t>100*lv+(90+30*lv)/100*a.ad</t>
    <phoneticPr fontId="1" type="noConversion"/>
  </si>
  <si>
    <t>不存在超级火焰</t>
    <phoneticPr fontId="1" type="noConversion"/>
  </si>
  <si>
    <t>十回合后释放，造成$r[100*lv]+[90+85*lv]%*攻击力$w的火属性物理伤害</t>
    <phoneticPr fontId="1" type="noConversion"/>
  </si>
  <si>
    <t>100*lv+(90+85*lv)/100*a.ad</t>
    <phoneticPr fontId="1" type="noConversion"/>
  </si>
  <si>
    <t>第二、五、八回合释放，造成$r[100*lv]+[90+60*lv]%*攻击力$w的光属性物理伤害。</t>
    <phoneticPr fontId="1" type="noConversion"/>
  </si>
  <si>
    <t>100*lv+(90+60*lv)/100*a.ad</t>
    <phoneticPr fontId="1" type="noConversion"/>
  </si>
  <si>
    <t>不存在的冰</t>
    <phoneticPr fontId="1" type="noConversion"/>
  </si>
  <si>
    <t>第一、四、七回合释放，造成$r[100*lv]+[90+60*lv]%*攻击力$w的冰属性物理伤害。</t>
    <phoneticPr fontId="1" type="noConversion"/>
  </si>
  <si>
    <t>不存在的暗</t>
    <phoneticPr fontId="1" type="noConversion"/>
  </si>
  <si>
    <t>第三、六、九回合释放，造成$r[100*lv]+[90+60*lv]%*攻击力$w的暗属性物理伤害。</t>
    <phoneticPr fontId="1" type="noConversion"/>
  </si>
  <si>
    <t>暗属性物理，减疗</t>
    <phoneticPr fontId="1" type="noConversion"/>
  </si>
  <si>
    <t>100*lv+(90+30*lv)/100*a.ad</t>
    <phoneticPr fontId="1" type="noConversion"/>
  </si>
  <si>
    <t>暗属性魔法，减抗</t>
    <phoneticPr fontId="1" type="noConversion"/>
  </si>
  <si>
    <t>100*lv+(90+30*lv)/100*a.ap</t>
    <phoneticPr fontId="1" type="noConversion"/>
  </si>
  <si>
    <t>超能再生</t>
    <phoneticPr fontId="1" type="noConversion"/>
  </si>
  <si>
    <t>每回合回复100%最大生命值的血量</t>
    <phoneticPr fontId="1" type="noConversion"/>
  </si>
  <si>
    <t>超能再生</t>
    <phoneticPr fontId="1" type="noConversion"/>
  </si>
  <si>
    <t>每回合回复100%最大生命值的血量</t>
  </si>
  <si>
    <t>a.hp</t>
    <phoneticPr fontId="1" type="noConversion"/>
  </si>
  <si>
    <t>投掷巨斧</t>
    <phoneticPr fontId="1" type="noConversion"/>
  </si>
  <si>
    <t>开心地放火【发烧】</t>
    <phoneticPr fontId="1" type="noConversion"/>
  </si>
  <si>
    <t>提高50点火，冰，暗抗。</t>
    <phoneticPr fontId="1" type="noConversion"/>
  </si>
  <si>
    <t>提高50点火，光，暗抗。</t>
    <phoneticPr fontId="1" type="noConversion"/>
  </si>
  <si>
    <t>提高50点火，光，冰抗。</t>
    <phoneticPr fontId="1" type="noConversion"/>
  </si>
  <si>
    <t>发动回合提高20%附加伤害</t>
    <phoneticPr fontId="1" type="noConversion"/>
  </si>
  <si>
    <t>加农巨炮弹</t>
    <phoneticPr fontId="1" type="noConversion"/>
  </si>
  <si>
    <t>发动时100%几率获得2层【荆棘】</t>
    <phoneticPr fontId="1" type="noConversion"/>
  </si>
  <si>
    <t>20</t>
    <phoneticPr fontId="1" type="noConversion"/>
  </si>
  <si>
    <t>所有连击装置冷却时只能进行【普通攻击】,提高10000点速度，2000点护甲和魔抗</t>
    <phoneticPr fontId="1" type="noConversion"/>
  </si>
  <si>
    <t>10000</t>
    <phoneticPr fontId="1" type="noConversion"/>
  </si>
  <si>
    <t>魔核之源</t>
    <phoneticPr fontId="1" type="noConversion"/>
  </si>
  <si>
    <t>黑龙之源</t>
    <phoneticPr fontId="1" type="noConversion"/>
  </si>
  <si>
    <t>提高15%pvp减伤</t>
    <phoneticPr fontId="1" type="noConversion"/>
  </si>
  <si>
    <t>5</t>
    <phoneticPr fontId="1" type="noConversion"/>
  </si>
  <si>
    <t>15</t>
    <phoneticPr fontId="1" type="noConversion"/>
  </si>
  <si>
    <t>行动时10%几率释放【炎杀黑龙波】造成10000点暗属性魔法伤害</t>
    <rPh sb="25" eb="26">
      <t>an</t>
    </rPh>
    <rPh sb="26" eb="27">
      <t>shu x</t>
    </rPh>
    <phoneticPr fontId="1" type="noConversion"/>
  </si>
  <si>
    <t>-300</t>
    <phoneticPr fontId="1" type="noConversion"/>
  </si>
  <si>
    <t>被攻击时对敌方造成22%*队伍攻击力+22%*队伍法术强度的伤害</t>
    <phoneticPr fontId="1" type="noConversion"/>
  </si>
  <si>
    <t>22/100*a.team_ad+22/100*a.team_ap</t>
    <phoneticPr fontId="1" type="noConversion"/>
  </si>
  <si>
    <t>自身【横扫千军】释放后，若敌方血量大于92%，80%几率再次释放【横扫千军】</t>
    <phoneticPr fontId="1" type="noConversion"/>
  </si>
  <si>
    <t>自身【全军突击】必定命中并提高15%伤害</t>
    <phoneticPr fontId="1" type="noConversion"/>
  </si>
  <si>
    <t>自身【刀狩令】提高13%伤害</t>
    <phoneticPr fontId="1" type="noConversion"/>
  </si>
  <si>
    <t>1300</t>
    <phoneticPr fontId="1" type="noConversion"/>
  </si>
  <si>
    <t>守护者</t>
    <phoneticPr fontId="1" type="noConversion"/>
  </si>
  <si>
    <t>雷霆之怒</t>
    <phoneticPr fontId="1" type="noConversion"/>
  </si>
  <si>
    <t>闪电箭</t>
    <phoneticPr fontId="1" type="noConversion"/>
  </si>
  <si>
    <t>回复220%*法术强度的血量</t>
    <phoneticPr fontId="1" type="noConversion"/>
  </si>
  <si>
    <t>行动时100%几率提高1%所有伤害，被攻击时100%几率提高1%所有伤害</t>
    <phoneticPr fontId="1" type="noConversion"/>
  </si>
  <si>
    <t>造成200%光属性魔法伤害，降低敌方10点光属性抗性和100点速度</t>
  </si>
  <si>
    <t>行动时30%几率释放【闪电箭】，造成200%光属性魔法伤害，降低敌方10点光属性抗性和100点速度</t>
    <phoneticPr fontId="1" type="noConversion"/>
  </si>
  <si>
    <t>200/100*a.ap</t>
    <phoneticPr fontId="1" type="noConversion"/>
  </si>
  <si>
    <t>守护者1</t>
    <phoneticPr fontId="1" type="noConversion"/>
  </si>
  <si>
    <t>被攻击时100%几率提高1%所有伤害</t>
    <phoneticPr fontId="1" type="noConversion"/>
  </si>
  <si>
    <t>(1+lv)/100*b.losehp</t>
    <phoneticPr fontId="1" type="noConversion"/>
  </si>
  <si>
    <t>(0.4+0.08*lv)*(100*a.losehp/a.hp-25)</t>
    <phoneticPr fontId="1" type="noConversion"/>
  </si>
  <si>
    <t>8/100*b.losehp</t>
    <phoneticPr fontId="1" type="noConversion"/>
  </si>
  <si>
    <t>1</t>
    <phoneticPr fontId="1" type="noConversion"/>
  </si>
  <si>
    <t>30063</t>
    <phoneticPr fontId="1" type="noConversion"/>
  </si>
  <si>
    <t>10</t>
    <phoneticPr fontId="1" type="noConversion"/>
  </si>
  <si>
    <t>100</t>
    <phoneticPr fontId="1" type="noConversion"/>
  </si>
  <si>
    <t>回复[4+0.5*lv]%最大生命值</t>
  </si>
  <si>
    <t>(4+0.5*lv)/100*a.hp</t>
    <phoneticPr fontId="1" type="noConversion"/>
  </si>
  <si>
    <t>【转甲】[80+40*lv]点魔抗</t>
    <phoneticPr fontId="1" type="noConversion"/>
  </si>
  <si>
    <t>80+40*lv</t>
    <phoneticPr fontId="1" type="noConversion"/>
  </si>
  <si>
    <t>【转甲】提高[80+40*lv]点魔抗并获得1层【攻击强化】和1层【法术强化】</t>
    <phoneticPr fontId="1" type="noConversion"/>
  </si>
  <si>
    <t>火冰暗抗性强化</t>
    <phoneticPr fontId="1" type="noConversion"/>
  </si>
  <si>
    <t>火光暗抗性强化</t>
    <phoneticPr fontId="1" type="noConversion"/>
  </si>
  <si>
    <t>火光冰抗性强化</t>
    <phoneticPr fontId="1" type="noConversion"/>
  </si>
  <si>
    <t>冰光暗抗性强化</t>
    <phoneticPr fontId="1" type="noConversion"/>
  </si>
  <si>
    <t>被攻击时增加[lv]全抗，增加[lv]%吸血</t>
    <phoneticPr fontId="1" type="noConversion"/>
  </si>
  <si>
    <t>100*lv</t>
    <phoneticPr fontId="1" type="noConversion"/>
  </si>
  <si>
    <t>爸爸冲击【减疗】</t>
    <phoneticPr fontId="1" type="noConversion"/>
  </si>
  <si>
    <t>贝塔格伦【减抗】</t>
    <phoneticPr fontId="1" type="noConversion"/>
  </si>
  <si>
    <t>-lv</t>
    <phoneticPr fontId="1" type="noConversion"/>
  </si>
  <si>
    <t>黑龙一击【减疗】</t>
    <phoneticPr fontId="1" type="noConversion"/>
  </si>
  <si>
    <t>黑龙吐息【减抗】</t>
    <phoneticPr fontId="1" type="noConversion"/>
  </si>
  <si>
    <t>提高1000点速度</t>
    <phoneticPr fontId="1" type="noConversion"/>
  </si>
  <si>
    <t>造成$r[100*lv]+[90+55*lv]%*攻击力$w的物理伤害，并提高1000点速度</t>
    <phoneticPr fontId="1" type="noConversion"/>
  </si>
  <si>
    <t>600</t>
    <phoneticPr fontId="1" type="noConversion"/>
  </si>
  <si>
    <t>6%开心放火伤害，200点速度</t>
    <phoneticPr fontId="1" type="noConversion"/>
  </si>
  <si>
    <t>Claw Fire</t>
  </si>
  <si>
    <t>Ice One 2</t>
  </si>
  <si>
    <t>Fire All 1</t>
  </si>
  <si>
    <t>被攻击时5%几率提高[1300+200*lv]点速度（可叠加，持续1回合）</t>
    <phoneticPr fontId="1" type="noConversion"/>
  </si>
  <si>
    <t>被攻击时5%几率提高[1300+200*lv]点速度</t>
    <phoneticPr fontId="1" type="noConversion"/>
  </si>
  <si>
    <t>1300+200*lv</t>
    <phoneticPr fontId="1" type="noConversion"/>
  </si>
  <si>
    <t>(1.2+1.2*lv)/100*a.team_ad+(0.5*lv)/100*a.arm</t>
    <phoneticPr fontId="1" type="noConversion"/>
  </si>
  <si>
    <t>被攻击时5%几率释放【风怒打击】</t>
    <phoneticPr fontId="1" type="noConversion"/>
  </si>
  <si>
    <t>被攻击时5%几率释放【苍龙逐日】，造成200%*法术强度的魔法伤害，并附加3层【破防】</t>
    <phoneticPr fontId="1" type="noConversion"/>
  </si>
  <si>
    <t>被攻击时5%几率释放【天狗食月】，造成200%*法术强度的魔法伤害，并附加5层【重伤】</t>
    <phoneticPr fontId="1" type="noConversion"/>
  </si>
  <si>
    <t>被攻击时5%几率释放【地动山摇】，造成200%*法术强度的魔法伤害，并附加3层【裂伤】</t>
    <phoneticPr fontId="1" type="noConversion"/>
  </si>
  <si>
    <t>自身【神圣洗礼】释放后对自身释放【神圣洗礼·返】，回复220%*法术强度的血量</t>
    <rPh sb="8" eb="9">
      <t>shi fang hou</t>
    </rPh>
    <rPh sb="11" eb="12">
      <t>xiao hao</t>
    </rPh>
    <rPh sb="15" eb="16">
      <t>fa li</t>
    </rPh>
    <phoneticPr fontId="1" type="noConversion"/>
  </si>
  <si>
    <t>para1</t>
  </si>
  <si>
    <t>para2</t>
  </si>
  <si>
    <t>触发的技能</t>
    <phoneticPr fontId="1" type="noConversion"/>
  </si>
  <si>
    <t>技能id，lv</t>
    <phoneticPr fontId="1" type="noConversion"/>
  </si>
  <si>
    <t>层数，lv</t>
    <phoneticPr fontId="1" type="noConversion"/>
  </si>
  <si>
    <t>职业，0-5，lv</t>
    <phoneticPr fontId="1" type="noConversion"/>
  </si>
  <si>
    <t>本回合中每次被攻击时对敌方造成22%*队伍攻击力+22%*队伍法术强度的伤害（可叠加）</t>
    <phoneticPr fontId="1" type="noConversion"/>
  </si>
  <si>
    <t>自身【殉道者】不消耗怒气，暴击时回复3%最大生命值的血量</t>
    <phoneticPr fontId="1" type="noConversion"/>
  </si>
  <si>
    <t>暴击时回复$g[80+15*lv]+[0.8+0.2*lv]%*己方最大生命值$w的血量</t>
    <phoneticPr fontId="1" type="noConversion"/>
  </si>
  <si>
    <t>自身【提炉枪】释放后回复10%最大生命值的血量</t>
    <phoneticPr fontId="1" type="noConversion"/>
  </si>
  <si>
    <t>每回合回复3%最大生命值的血量</t>
    <phoneticPr fontId="1" type="noConversion"/>
  </si>
  <si>
    <t>行动时回复1%最大生命值的血量，并有40%几率提高2%治疗效果（可叠加）</t>
    <phoneticPr fontId="1" type="noConversion"/>
  </si>
  <si>
    <t>每回合回复2%最大生命值的血量</t>
    <phoneticPr fontId="1" type="noConversion"/>
  </si>
  <si>
    <t>每回合回复5%最大生命值的血量</t>
    <phoneticPr fontId="1" type="noConversion"/>
  </si>
  <si>
    <t>行动时2%几率回复20%最大生命值的血量，并减少200速度（可叠加）</t>
    <phoneticPr fontId="1" type="noConversion"/>
  </si>
  <si>
    <t>【暗影炸弹】额外回复0.5%最大生命值的血量</t>
    <phoneticPr fontId="1" type="noConversion"/>
  </si>
  <si>
    <t>被攻击时1%几率回复50%最大生命值的血量</t>
    <phoneticPr fontId="1" type="noConversion"/>
  </si>
  <si>
    <t>暴击时回复3%最大生命值的血量</t>
    <phoneticPr fontId="1" type="noConversion"/>
  </si>
  <si>
    <t>每回合回复1%最大生命值的血量</t>
    <phoneticPr fontId="1" type="noConversion"/>
  </si>
  <si>
    <t>每回合回复1.5%最大生命值的血量</t>
    <phoneticPr fontId="1" type="noConversion"/>
  </si>
  <si>
    <t>生命值低于50%时，每次行动附加1层【减速】并回复[4+0.5*lv]%最大生命值的血量</t>
    <phoneticPr fontId="1" type="noConversion"/>
  </si>
  <si>
    <t>前6回合每回合回复[1.2+0.24*lv]%最大生命值的血量</t>
    <phoneticPr fontId="1" type="noConversion"/>
  </si>
  <si>
    <t>每回合回复[1+0.45*lv]%最大生命值的血量</t>
    <phoneticPr fontId="1" type="noConversion"/>
  </si>
  <si>
    <t>20/100*a.hp</t>
    <phoneticPr fontId="1" type="noConversion"/>
  </si>
  <si>
    <t>自身【殉道者】暴击回复30点怒气和3%最大生命值的血量</t>
    <phoneticPr fontId="1" type="noConversion"/>
  </si>
  <si>
    <t>自身【灵魂腐蚀】回复10%最大生命值的血量</t>
    <phoneticPr fontId="1" type="noConversion"/>
  </si>
  <si>
    <t>自身【单刀赴会】释放后回合结束回复15%最大生命值的血量</t>
    <phoneticPr fontId="1" type="noConversion"/>
  </si>
  <si>
    <t>提高1000点速度</t>
  </si>
  <si>
    <t>提高1000点速度</t>
    <phoneticPr fontId="1" type="noConversion"/>
  </si>
  <si>
    <t>提高2%回避</t>
  </si>
  <si>
    <t>提高2%回避</t>
    <phoneticPr fontId="1" type="noConversion"/>
  </si>
  <si>
    <t>提高20%暴击</t>
    <phoneticPr fontId="1" type="noConversion"/>
  </si>
  <si>
    <t>提高20点光强</t>
  </si>
  <si>
    <t>提高20点光强</t>
    <phoneticPr fontId="1" type="noConversion"/>
  </si>
  <si>
    <t>提高3%吸血</t>
  </si>
  <si>
    <t>提高3%吸血</t>
    <phoneticPr fontId="1" type="noConversion"/>
  </si>
  <si>
    <t>提高1000点物穿</t>
  </si>
  <si>
    <t>提高1000点物穿</t>
    <phoneticPr fontId="1" type="noConversion"/>
  </si>
  <si>
    <t>提高20点火强</t>
  </si>
  <si>
    <t>提高20点火强</t>
    <phoneticPr fontId="1" type="noConversion"/>
  </si>
  <si>
    <t>提高20点冰强</t>
  </si>
  <si>
    <t>提高20点冰强</t>
    <phoneticPr fontId="1" type="noConversion"/>
  </si>
  <si>
    <t>提高1000点法穿</t>
  </si>
  <si>
    <t>提高1000点法穿</t>
    <phoneticPr fontId="1" type="noConversion"/>
  </si>
  <si>
    <t>提高3%所有伤害</t>
    <phoneticPr fontId="1" type="noConversion"/>
  </si>
  <si>
    <t>提高5%多重</t>
  </si>
  <si>
    <t>提高5%多重</t>
    <phoneticPr fontId="1" type="noConversion"/>
  </si>
  <si>
    <t>提高10点能量</t>
  </si>
  <si>
    <t>提高10点能量</t>
    <phoneticPr fontId="1" type="noConversion"/>
  </si>
  <si>
    <t>提高10点法力</t>
  </si>
  <si>
    <t>提高10点法力</t>
    <phoneticPr fontId="1" type="noConversion"/>
  </si>
  <si>
    <t>100%几率造成90%*攻击力+40%*法术强度的物理伤害，视为【普通攻击】5鞋</t>
    <phoneticPr fontId="1" type="noConversion"/>
  </si>
  <si>
    <t>100%几率造成200%*攻击力的光属性物理伤害23鞋，40能</t>
    <phoneticPr fontId="1" type="noConversion"/>
  </si>
  <si>
    <t>100%几率造成300%*攻击力的火属性物理伤害35鞋</t>
    <phoneticPr fontId="1" type="noConversion"/>
  </si>
  <si>
    <t>100%几率造成400%*法术强度的冰属性魔法伤害50鞋，60法</t>
    <phoneticPr fontId="1" type="noConversion"/>
  </si>
  <si>
    <t>100%几率造成450%*法术强度的魔法伤害，并附加1层【破防】35鞋</t>
    <phoneticPr fontId="1" type="noConversion"/>
  </si>
  <si>
    <t>100%几率造成270%*法术强度的魔法伤害38鞋</t>
    <phoneticPr fontId="1" type="noConversion"/>
  </si>
  <si>
    <t>90/100*a.ad+40/100*a.ap</t>
    <phoneticPr fontId="1" type="noConversion"/>
  </si>
  <si>
    <t>200/100*a.ad</t>
    <phoneticPr fontId="1" type="noConversion"/>
  </si>
  <si>
    <t>300/100*a.ad</t>
    <phoneticPr fontId="1" type="noConversion"/>
  </si>
  <si>
    <t>400/100*a.ap</t>
    <phoneticPr fontId="1" type="noConversion"/>
  </si>
  <si>
    <t>450/100*a.ap</t>
    <phoneticPr fontId="1" type="noConversion"/>
  </si>
  <si>
    <t>270/100*a.ap</t>
    <phoneticPr fontId="1" type="noConversion"/>
  </si>
  <si>
    <t>行动回复10点能量</t>
  </si>
  <si>
    <t>3</t>
    <phoneticPr fontId="1" type="noConversion"/>
  </si>
  <si>
    <t>行动时50%几率提高5点全属性强化（可叠加，最多10层）</t>
    <phoneticPr fontId="1" type="noConversion"/>
  </si>
  <si>
    <t>(1.5+0.15*lv)/100*a.hp</t>
    <phoneticPr fontId="1" type="noConversion"/>
  </si>
  <si>
    <t>(16.5+1.65*lv)/100*a.hp</t>
    <phoneticPr fontId="1" type="noConversion"/>
  </si>
  <si>
    <t>$y12%$w几率造成$r[70+16*lv]+[84+4*lv]%*攻击力$w的物理伤害</t>
    <phoneticPr fontId="1" type="noConversion"/>
  </si>
  <si>
    <t>神圣冲击</t>
    <phoneticPr fontId="1" type="noConversion"/>
  </si>
  <si>
    <t>神圣打击</t>
    <phoneticPr fontId="1" type="noConversion"/>
  </si>
  <si>
    <t>闪电箭</t>
    <phoneticPr fontId="1" type="noConversion"/>
  </si>
  <si>
    <t>80%ad+80%ap的光属性魔法伤害</t>
    <phoneticPr fontId="1" type="noConversion"/>
  </si>
  <si>
    <t>【普通攻击】18%几率释放【闪电箭】，造成80%*攻击力+80%*法术强度的光属性魔法伤害</t>
    <phoneticPr fontId="1" type="noConversion"/>
  </si>
  <si>
    <t>【普通攻击】18%几率释放【闪电箭】，造成80%*攻击力+80%*法术强度的光属性物理伤害</t>
    <phoneticPr fontId="1" type="noConversion"/>
  </si>
  <si>
    <t>80/100*a.ad+80/100*a.ap</t>
    <phoneticPr fontId="1" type="noConversion"/>
  </si>
  <si>
    <t>80%ad+80%ap的光属性物理伤害</t>
    <phoneticPr fontId="1" type="noConversion"/>
  </si>
  <si>
    <t>33006</t>
    <phoneticPr fontId="1" type="noConversion"/>
  </si>
  <si>
    <t>33007</t>
    <phoneticPr fontId="1" type="noConversion"/>
  </si>
  <si>
    <t>我欲成仙</t>
    <phoneticPr fontId="1" type="noConversion"/>
  </si>
  <si>
    <t>梅格之歌</t>
    <phoneticPr fontId="1" type="noConversion"/>
  </si>
  <si>
    <t>当前英雄1技能lv+5</t>
    <phoneticPr fontId="1" type="noConversion"/>
  </si>
  <si>
    <t>5,1,5</t>
    <phoneticPr fontId="1" type="noConversion"/>
  </si>
  <si>
    <t>被攻击时50%几率获得1层【荆棘】</t>
    <phoneticPr fontId="1" type="noConversion"/>
  </si>
  <si>
    <t>被攻击时50%几率获得2层【荆棘】</t>
    <phoneticPr fontId="1" type="noConversion"/>
  </si>
  <si>
    <t>钻石之肤</t>
  </si>
  <si>
    <t>冰冻侵蚀</t>
    <phoneticPr fontId="1" type="noConversion"/>
  </si>
  <si>
    <t>冰冻侵蚀</t>
    <phoneticPr fontId="1" type="noConversion"/>
  </si>
  <si>
    <t>$y60%$w几率造成$r[100*lv]+[90+60*lv]*攻击力$w的冰属性物理伤害</t>
    <phoneticPr fontId="1" type="noConversion"/>
  </si>
  <si>
    <t>呜喵的怒火</t>
    <phoneticPr fontId="1" type="noConversion"/>
  </si>
  <si>
    <t>献祭光环</t>
    <phoneticPr fontId="1" type="noConversion"/>
  </si>
  <si>
    <t>暗影燃烧</t>
    <phoneticPr fontId="1" type="noConversion"/>
  </si>
  <si>
    <t>100*lv+(90+60*lv)/100*a.ap</t>
    <phoneticPr fontId="1" type="noConversion"/>
  </si>
  <si>
    <t>灵魂燃烧</t>
    <phoneticPr fontId="1" type="noConversion"/>
  </si>
  <si>
    <t>5</t>
    <phoneticPr fontId="1" type="noConversion"/>
  </si>
  <si>
    <t>减少目标200点护甲</t>
    <phoneticPr fontId="1" type="noConversion"/>
  </si>
  <si>
    <t>提高10点暗属性强化</t>
    <phoneticPr fontId="1" type="noConversion"/>
  </si>
  <si>
    <t>灵魂燃烧</t>
    <phoneticPr fontId="1" type="noConversion"/>
  </si>
  <si>
    <t>提高10点火属性强化</t>
    <phoneticPr fontId="1" type="noConversion"/>
  </si>
  <si>
    <t>10</t>
    <phoneticPr fontId="1" type="noConversion"/>
  </si>
  <si>
    <t>20/100*b.hp</t>
    <phoneticPr fontId="1" type="noConversion"/>
  </si>
  <si>
    <t>每回合造成20%最大生命值的魔法伤害</t>
    <phoneticPr fontId="1" type="noConversion"/>
  </si>
  <si>
    <t>每回合造成20%最大生命值的魔法伤害</t>
    <phoneticPr fontId="1" type="noConversion"/>
  </si>
  <si>
    <t>熔岩的愤怒</t>
    <phoneticPr fontId="1" type="noConversion"/>
  </si>
  <si>
    <t>10回合发动，每回合提高10%所有伤害</t>
    <phoneticPr fontId="1" type="noConversion"/>
  </si>
  <si>
    <t>流星雨</t>
    <phoneticPr fontId="1" type="noConversion"/>
  </si>
  <si>
    <t>每回合结束有20%几率释放一个火球，造成25000点火属性魔法伤害</t>
    <phoneticPr fontId="1" type="noConversion"/>
  </si>
  <si>
    <t>被攻击时提高2点全属性抗性和5点冰属性强化，并减少目标200点护甲</t>
    <phoneticPr fontId="1" type="noConversion"/>
  </si>
  <si>
    <t>被攻击时提高2点全属性抗性和5点冰属性强化</t>
    <phoneticPr fontId="1" type="noConversion"/>
  </si>
  <si>
    <t>160/100*b.hp</t>
    <phoneticPr fontId="1" type="noConversion"/>
  </si>
  <si>
    <t>12回合开始，每4回合爆发强大能量，造成160%最大生命值的冰属性魔法伤害。</t>
    <phoneticPr fontId="1" type="noConversion"/>
  </si>
  <si>
    <t>提高[50+20*lv]点护甲和魔抗，提高[0.5*lv]点光属性抗性</t>
  </si>
  <si>
    <t>提高[2+lv]点暗属性强化和[1+1*lv]点光属性抗性</t>
  </si>
  <si>
    <t>【吟唱】提高[10+2*lv]点全属性强化和[40+2*lv]点全属性抗性（最多1层，持续1回合）</t>
    <rPh sb="38" eb="39">
      <t>zui duo</t>
    </rPh>
    <rPh sb="41" eb="42">
      <t>cen</t>
    </rPh>
    <phoneticPr fontId="1" type="noConversion"/>
  </si>
  <si>
    <t>提高[0.5*lv]点火属性抗性和光属性抗性（可叠加）</t>
  </si>
  <si>
    <t>行动时有$y15%$w几率降低敌方[2+lv]点光属性抗性（可叠加）</t>
  </si>
  <si>
    <t>被攻击3%几率增加1点全属性抗性</t>
  </si>
  <si>
    <t>提高10点全属性强化和全属性抗性</t>
  </si>
  <si>
    <t>提高15点全属性抗性</t>
  </si>
  <si>
    <t>降低敌人10点全属性抗性</t>
  </si>
  <si>
    <t>提高60点体力和10点全属性抗性</t>
  </si>
  <si>
    <t>冷却时提高20点光属性抗性</t>
  </si>
  <si>
    <t>行动时无视敌方50%暗属性抗性</t>
  </si>
  <si>
    <t>行动时5%几率释放【极冰盛宴】，造成200%*法术强度的冰属性魔法伤害，并降低敌方10点冰属性抗性</t>
  </si>
  <si>
    <t>行动时5%几率释放【流星火雨】，造成200%*法术强度的火属性魔法伤害，并降低敌方10点火属性抗性</t>
  </si>
  <si>
    <t>行动时5%几率释放【湮灭黑洞】，造成200%*法术强度的暗属性魔法伤害，并降低敌方10点暗属性抗性</t>
  </si>
  <si>
    <t>造成200%*法术强度的光属性魔法伤害，并降低敌方10点光属性抗性（可叠加）</t>
  </si>
  <si>
    <t>造成200%*法术强度的冰属性魔法伤害，并降低敌方10点冰属性抗性（可叠加）</t>
  </si>
  <si>
    <t>造成200%*法术强度的火属性魔法伤害，并降低敌方10点火属性抗性（可叠加）</t>
  </si>
  <si>
    <t>造成200%*法术强度的暗属性魔法伤害，并降低敌方10点暗属性抗性（可叠加）</t>
  </si>
  <si>
    <t>提高[20+lv]点火属性抗性</t>
  </si>
  <si>
    <t>提高[20+lv]点冰属性抗性</t>
  </si>
  <si>
    <t>提高[20+lv]点光属性抗性</t>
  </si>
  <si>
    <t>提高[20+lv]点暗属性抗性</t>
  </si>
  <si>
    <t>造成$b[100*lv]+[90+35*lv]%*攻击力$w的暗属性魔法伤害，并削弱敌方5点暗属性抗性</t>
  </si>
  <si>
    <t>$y60%$w几率造成$r6000+450%*攻击力$w的冰属性物理伤害，并降低敌方10点冰属性抗性</t>
  </si>
  <si>
    <t>行动时50%几率提高1%所有伤害(最多30层)，被攻击时50%几率提高1%所有伤害(最多30层)</t>
    <phoneticPr fontId="1" type="noConversion"/>
  </si>
  <si>
    <t>造成200%光属性魔法伤害，降低敌方10点光属性抗性和100点速度(最多20层)</t>
    <phoneticPr fontId="1" type="noConversion"/>
  </si>
  <si>
    <t>被攻击时50%几率提高1%所有伤害</t>
    <phoneticPr fontId="1" type="noConversion"/>
  </si>
  <si>
    <t>每回合受到20%最大生命值的伤害</t>
    <phoneticPr fontId="1" type="noConversion"/>
  </si>
  <si>
    <t>憋出内伤</t>
    <phoneticPr fontId="1" type="noConversion"/>
  </si>
  <si>
    <t>沙拉特硬壳</t>
    <phoneticPr fontId="1" type="noConversion"/>
  </si>
  <si>
    <t>敌人所有伤害降低65%</t>
    <phoneticPr fontId="1" type="noConversion"/>
  </si>
  <si>
    <t>沙拉特触击</t>
    <phoneticPr fontId="1" type="noConversion"/>
  </si>
  <si>
    <t>库尔斯的恩惠</t>
    <phoneticPr fontId="1" type="noConversion"/>
  </si>
  <si>
    <t>回复80%最大生命值的血量</t>
    <phoneticPr fontId="1" type="noConversion"/>
  </si>
  <si>
    <t>库尔斯的坚韧</t>
    <phoneticPr fontId="1" type="noConversion"/>
  </si>
  <si>
    <t>被攻击时提高5%治疗效果</t>
    <phoneticPr fontId="1" type="noConversion"/>
  </si>
  <si>
    <t>燃烧的火树</t>
    <phoneticPr fontId="1" type="noConversion"/>
  </si>
  <si>
    <t>哈哈没想到吧</t>
    <phoneticPr fontId="1" type="noConversion"/>
  </si>
  <si>
    <t>$y40%$w几率造成$b[100*lv]+[90+60*lv]*法术强度$w的火属性魔法伤害，提高10点火属性强化，50%几率附加一层【减速】</t>
    <phoneticPr fontId="1" type="noConversion"/>
  </si>
  <si>
    <t>$y60%$w几率造成$b[100*lv]+[90+60*lv]*法术强度$w的暗属性魔法伤害，提高10点暗属性强化，50%几率附加一层【虚弱】</t>
    <phoneticPr fontId="1" type="noConversion"/>
  </si>
  <si>
    <t>$y60%$w几率造成$r[100*lv]+[90+75*lv]*攻击力$w的物理伤害，并对自身造成20%最大生命值的伤害</t>
    <phoneticPr fontId="1" type="noConversion"/>
  </si>
  <si>
    <t>阿强之光</t>
    <phoneticPr fontId="1" type="noConversion"/>
  </si>
  <si>
    <t>被攻击时降低敌方50点攻击力和法术强度以及100点护甲，有5%几率附加一层【眩晕】</t>
    <phoneticPr fontId="1" type="noConversion"/>
  </si>
  <si>
    <t>小强地动拳</t>
    <phoneticPr fontId="1" type="noConversion"/>
  </si>
  <si>
    <t>每四回合对双方造成$b[100*lv]+[90+100*lv]*法术强度$w的魔法伤害</t>
    <phoneticPr fontId="1" type="noConversion"/>
  </si>
  <si>
    <t>造成$b[100*lv]+[100+45*lv]*法术强度$w的魔法伤害</t>
    <phoneticPr fontId="1" type="noConversion"/>
  </si>
  <si>
    <t>造成$r[100*lv]+[100+55*lv]*攻击力$w的物理伤害</t>
    <phoneticPr fontId="1" type="noConversion"/>
  </si>
  <si>
    <t>极·雷光</t>
    <phoneticPr fontId="1" type="noConversion"/>
  </si>
  <si>
    <t>造成$r[100*lv]+[100+30*lv]*攻击力$w的物理伤害</t>
    <phoneticPr fontId="1" type="noConversion"/>
  </si>
  <si>
    <t>偷属性</t>
    <phoneticPr fontId="1" type="noConversion"/>
  </si>
  <si>
    <t>行动时偷取20点力量和智力</t>
    <phoneticPr fontId="1" type="noConversion"/>
  </si>
  <si>
    <t>雷光必杀</t>
    <phoneticPr fontId="1" type="noConversion"/>
  </si>
  <si>
    <t>行动时5%几率造成30%最大生命值的伤害</t>
    <phoneticPr fontId="1" type="noConversion"/>
  </si>
  <si>
    <t>肃正之盾</t>
    <phoneticPr fontId="1" type="noConversion"/>
  </si>
  <si>
    <t>每回合降低敌方5%所有伤害</t>
    <phoneticPr fontId="1" type="noConversion"/>
  </si>
  <si>
    <t>肃正之壁</t>
    <phoneticPr fontId="1" type="noConversion"/>
  </si>
  <si>
    <t>肃正决斗</t>
    <phoneticPr fontId="1" type="noConversion"/>
  </si>
  <si>
    <t>造成$r[100*lv]+[100+25*lv]*攻击力$w的物理伤害</t>
    <phoneticPr fontId="1" type="noConversion"/>
  </si>
  <si>
    <t>被攻击时造成20%*护甲的伤害</t>
    <phoneticPr fontId="1" type="noConversion"/>
  </si>
  <si>
    <t>100*lv+(100+45*lv)/100*a.ap</t>
    <phoneticPr fontId="1" type="noConversion"/>
  </si>
  <si>
    <t>80/100*a.hp</t>
    <phoneticPr fontId="1" type="noConversion"/>
  </si>
  <si>
    <t>100*lv+(90+100*lv)/100*a.ap</t>
    <phoneticPr fontId="1" type="noConversion"/>
  </si>
  <si>
    <t>100*lv+(90+75*lv)/100*a.ad</t>
    <phoneticPr fontId="1" type="noConversion"/>
  </si>
  <si>
    <t>100*lv+(100+55*lv)/100*a.ad</t>
    <phoneticPr fontId="1" type="noConversion"/>
  </si>
  <si>
    <t>100*lv+(100+25*lv)/100*a.ad</t>
    <phoneticPr fontId="1" type="noConversion"/>
  </si>
  <si>
    <t>100*lv+(100+30*lv)/100*a.ad</t>
    <phoneticPr fontId="1" type="noConversion"/>
  </si>
  <si>
    <t>20/100*a.hp</t>
    <phoneticPr fontId="1" type="noConversion"/>
  </si>
  <si>
    <t>30/100*b.hp</t>
    <phoneticPr fontId="1" type="noConversion"/>
  </si>
  <si>
    <t>20/100*a.arm</t>
    <phoneticPr fontId="1" type="noConversion"/>
  </si>
  <si>
    <t>20/100*a.hp</t>
    <phoneticPr fontId="1" type="noConversion"/>
  </si>
  <si>
    <t>冰脉风暴</t>
    <phoneticPr fontId="1" type="noConversion"/>
  </si>
  <si>
    <t>暗秘风暴</t>
    <phoneticPr fontId="1" type="noConversion"/>
  </si>
  <si>
    <t>缓速力场</t>
    <phoneticPr fontId="1" type="noConversion"/>
  </si>
  <si>
    <t>造成$r[100*lv]+[100+70*lv]*攻击力$w的冰属性物理伤害</t>
    <phoneticPr fontId="1" type="noConversion"/>
  </si>
  <si>
    <t>造成$r[100*lv]+[100+70*lv]*攻击力$w的暗属性物理伤害</t>
    <phoneticPr fontId="1" type="noConversion"/>
  </si>
  <si>
    <t>每回合降低敌方500点速度</t>
    <phoneticPr fontId="1" type="noConversion"/>
  </si>
  <si>
    <t>冰暗融合</t>
    <phoneticPr fontId="1" type="noConversion"/>
  </si>
  <si>
    <t>千里眼</t>
    <phoneticPr fontId="1" type="noConversion"/>
  </si>
  <si>
    <t>降低敌方30%暴击</t>
    <phoneticPr fontId="1" type="noConversion"/>
  </si>
  <si>
    <t>情报抹消</t>
    <phoneticPr fontId="1" type="noConversion"/>
  </si>
  <si>
    <t>痛苦忘却</t>
    <phoneticPr fontId="1" type="noConversion"/>
  </si>
  <si>
    <t>提高敌方60%持续伤害</t>
    <phoneticPr fontId="1" type="noConversion"/>
  </si>
  <si>
    <t>Mini射线</t>
    <phoneticPr fontId="1" type="noConversion"/>
  </si>
  <si>
    <t>MiniSS射线</t>
    <phoneticPr fontId="1" type="noConversion"/>
  </si>
  <si>
    <t>造成$b[100*lv]+[100+45*lv]*法术强度$w的魔法伤害</t>
    <phoneticPr fontId="1" type="noConversion"/>
  </si>
  <si>
    <t>十回合后发动，造成$b[100*lv]+[100+90*lv]*法术强度$w的魔法伤害</t>
    <phoneticPr fontId="1" type="noConversion"/>
  </si>
  <si>
    <t>魔网矩阵</t>
    <phoneticPr fontId="1" type="noConversion"/>
  </si>
  <si>
    <t>精灵加护</t>
    <phoneticPr fontId="1" type="noConversion"/>
  </si>
  <si>
    <t>回合内每次受到伤害会降低敌方10%所有伤害</t>
    <phoneticPr fontId="1" type="noConversion"/>
  </si>
  <si>
    <t>魔偶降临</t>
    <phoneticPr fontId="1" type="noConversion"/>
  </si>
  <si>
    <t>召唤三眼会仆从参与作战</t>
    <phoneticPr fontId="1" type="noConversion"/>
  </si>
  <si>
    <t>每5000点血量提高1点光属性抗性和暗属性抗性</t>
    <phoneticPr fontId="1" type="noConversion"/>
  </si>
  <si>
    <t>每4000点血量提高1点光属性抗性和暗属性抗性</t>
    <phoneticPr fontId="1" type="noConversion"/>
  </si>
  <si>
    <t>a.health/5000</t>
    <phoneticPr fontId="1" type="noConversion"/>
  </si>
  <si>
    <t>a.health/4000</t>
    <phoneticPr fontId="1" type="noConversion"/>
  </si>
  <si>
    <t>地狱之门始终敞开！</t>
    <phoneticPr fontId="1" type="noConversion"/>
  </si>
  <si>
    <t>被攻击时造成$b[3+2*lv]%*队伍法术强度+[lv]%*护甲$w的魔法伤害（可叠加）</t>
    <phoneticPr fontId="1" type="noConversion"/>
  </si>
  <si>
    <t>(3+2*lv)/100*a.team_ap+(lv)/100*a.arm</t>
    <phoneticPr fontId="1" type="noConversion"/>
  </si>
  <si>
    <t>110+30*lv+(100+35*lv)/100*a.ap</t>
    <phoneticPr fontId="1" type="noConversion"/>
  </si>
  <si>
    <t>$y12%$w几率造成$b[110+30*lv]+[(100+35*lv)]%*法术强度$w的火属性魔法伤害，并附加1层【灼烧】</t>
    <phoneticPr fontId="1" type="noConversion"/>
  </si>
  <si>
    <t>沝</t>
    <phoneticPr fontId="1" type="noConversion"/>
  </si>
  <si>
    <t>淼</t>
    <phoneticPr fontId="1" type="noConversion"/>
  </si>
  <si>
    <t>炎</t>
    <phoneticPr fontId="1" type="noConversion"/>
  </si>
  <si>
    <t>焱</t>
    <phoneticPr fontId="1" type="noConversion"/>
  </si>
  <si>
    <t>提高10%附加伤害</t>
    <phoneticPr fontId="1" type="noConversion"/>
  </si>
  <si>
    <t>提高16%附加伤害</t>
    <phoneticPr fontId="1" type="noConversion"/>
  </si>
  <si>
    <t>提高10%所有伤害</t>
    <phoneticPr fontId="1" type="noConversion"/>
  </si>
  <si>
    <t>提高16%所有伤害</t>
    <phoneticPr fontId="1" type="noConversion"/>
  </si>
  <si>
    <t>10</t>
    <phoneticPr fontId="1" type="noConversion"/>
  </si>
  <si>
    <t>16</t>
    <phoneticPr fontId="1" type="noConversion"/>
  </si>
  <si>
    <t>圣骑士的荣耀</t>
    <phoneticPr fontId="1" type="noConversion"/>
  </si>
  <si>
    <t>被攻击时0.5%几率获得1层【护卫】</t>
    <phoneticPr fontId="1" type="noConversion"/>
  </si>
  <si>
    <t>连锁技能强化</t>
    <phoneticPr fontId="1" type="noConversion"/>
  </si>
  <si>
    <t>2*lv-45</t>
    <phoneticPr fontId="1" type="noConversion"/>
  </si>
  <si>
    <t>OKE三连</t>
    <phoneticPr fontId="1" type="noConversion"/>
  </si>
  <si>
    <t>次元</t>
    <phoneticPr fontId="1" type="noConversion"/>
  </si>
  <si>
    <t>鱼叉</t>
    <phoneticPr fontId="1" type="noConversion"/>
  </si>
  <si>
    <t>提高10%持续伤害</t>
    <phoneticPr fontId="1" type="noConversion"/>
  </si>
  <si>
    <t>当前英雄5技能lv+3</t>
    <phoneticPr fontId="1" type="noConversion"/>
  </si>
  <si>
    <t>4,5,3</t>
    <phoneticPr fontId="1" type="noConversion"/>
  </si>
  <si>
    <t>10</t>
    <phoneticPr fontId="1" type="noConversion"/>
  </si>
  <si>
    <t>拨蚌的厚壁</t>
  </si>
  <si>
    <t>每20000点血量提高1点全属性抗性（可叠加）</t>
    <phoneticPr fontId="1" type="noConversion"/>
  </si>
  <si>
    <t>每13000点血量提高1点全属性抗性（可叠加）</t>
    <phoneticPr fontId="1" type="noConversion"/>
  </si>
  <si>
    <t>拨蚌的薄壁</t>
    <phoneticPr fontId="1" type="noConversion"/>
  </si>
  <si>
    <t>a.health/20000</t>
    <phoneticPr fontId="1" type="noConversion"/>
  </si>
  <si>
    <t>a.health/13000</t>
    <phoneticPr fontId="1" type="noConversion"/>
  </si>
  <si>
    <t>火属性抗性</t>
  </si>
  <si>
    <t>冰属性抗性</t>
  </si>
  <si>
    <t>光属性抗性</t>
  </si>
  <si>
    <t>暗属性抗性</t>
  </si>
  <si>
    <t>全属性抗性</t>
  </si>
  <si>
    <t>$y10%$w几率造成$r[200+10*lv]+[(140+5*lv)]%*攻击力$w的冰属性物理伤害，并使下一次攻击提高15%所有伤害</t>
    <phoneticPr fontId="1" type="noConversion"/>
  </si>
  <si>
    <t>4+0.5*lv</t>
    <phoneticPr fontId="1" type="noConversion"/>
  </si>
  <si>
    <t>前6回合提高[4+0.5*lv]%所有伤害（可叠加）</t>
    <phoneticPr fontId="1" type="noConversion"/>
  </si>
  <si>
    <t>行动时附加5%力量的伤害</t>
  </si>
  <si>
    <t>行动时降低敌方1%治疗效果</t>
  </si>
  <si>
    <t>行动时降低敌方1点暗抗（可叠加）</t>
  </si>
  <si>
    <t>行动时获得1层【元素强化】</t>
  </si>
  <si>
    <t>行动时无视敌方5%的魔抗</t>
  </si>
  <si>
    <t>行动时$y30%$w几率降低敌方[0.6+0.1*lv]%治疗效果（可叠加）</t>
    <phoneticPr fontId="1" type="noConversion"/>
  </si>
  <si>
    <t>行动时降低敌方[0.6+0.1*lv]%治疗效果</t>
    <phoneticPr fontId="1" type="noConversion"/>
  </si>
  <si>
    <t>$y12%$w几率造成$b[110+30*lv]+[(100+25*lv)]%*法术强度$w的暗属性魔法伤害</t>
    <phoneticPr fontId="1" type="noConversion"/>
  </si>
  <si>
    <t>110+30*lv+(100+25*lv)/100*a.ap</t>
    <phoneticPr fontId="1" type="noConversion"/>
  </si>
  <si>
    <t>7000+1000*lv</t>
    <phoneticPr fontId="1" type="noConversion"/>
  </si>
  <si>
    <t>15</t>
    <phoneticPr fontId="1" type="noConversion"/>
  </si>
  <si>
    <t>11</t>
    <phoneticPr fontId="1" type="noConversion"/>
  </si>
  <si>
    <t>提高[(4+0.3*lv)]点暗属性强化，亚伯【殉道者】提高[1+0.2*lv]%技能伤害（可叠加）</t>
  </si>
  <si>
    <t>自身【七相·爆裂杀意】提高[6*lv+14]%技能伤害</t>
  </si>
  <si>
    <t>自身【毁灭跳击】提高[(50+4*lv)]%技能伤害</t>
  </si>
  <si>
    <t>自身【穿透弹】提高[8+4*lv]%技能伤害</t>
  </si>
  <si>
    <t>自身【大闹天宫】提高[10*lv+20]%技能伤害，3级以后【大闹天宫】附加1层【流血】，6级以后【大闹天宫】获得10%多重施法</t>
  </si>
  <si>
    <t>自身【全军突击】提高[5+5*lv]%技能伤害</t>
  </si>
  <si>
    <t>自身【炎爆术】提高[(20+5*lv)]%技能伤害</t>
  </si>
  <si>
    <t>自身【巧篆】提高[2*lv+12]%技能伤害，10级以后自身【巧篆】释放获得1层【再生】</t>
  </si>
  <si>
    <t>自身【战神】提升[12+8*lv]%技能伤害，并附加1层【重伤】</t>
  </si>
  <si>
    <t>自身【炼狱鬼斩】提高[16+2*lv]%技能伤害和[16+2*lv]%暴击</t>
  </si>
  <si>
    <t>自身【飞龙·大佛斩】必定暴击，提高[6+4*lv]%技能伤害</t>
  </si>
  <si>
    <t>自身【鬼斧神工】提高[13+1*lv]%技能伤害，并提高[90+30*lv]点速度</t>
  </si>
  <si>
    <t>自身【甜甜甘风】提高[30+20*lv]%技能伤害</t>
  </si>
  <si>
    <t>【普通攻击】提高[1.8+0.3*lv]%技能伤害（可叠加）</t>
  </si>
  <si>
    <t>连击装置中提高[2+0.2*lv]%技能伤害和治疗（可叠加）</t>
  </si>
  <si>
    <t>自身【飞雷神之术】提高[3+0.5*lv]%技能伤害</t>
  </si>
  <si>
    <t>自身【蛰刀流断】提升[10+10*lv]%技能伤害并附加1层【流血】</t>
  </si>
  <si>
    <t>自身【十万伏特】提高[31+7*lv]%技能伤害</t>
  </si>
  <si>
    <t>自身【日炎之息】提高[10+20*lv]%技能伤害，自身【神圣洗礼】提高[26+6*lv]%技能伤害</t>
  </si>
  <si>
    <t>敌方血量高于80%时，自身【日炎之息】提高[10+15*lv]%暴击和[2+3*lv]%技能伤害</t>
  </si>
  <si>
    <t>自身【荣耀之役】提高[32+7*lv]%技能伤害，自身【夺命长枪】提高[32+7*lv]%技能伤害</t>
  </si>
  <si>
    <t>本回合中每次被攻击时对敌方造成$b[1.2+1.2*lv]%*队伍攻击力+[0.5*lv]%*护甲$w的魔法伤害并提高自身【铁钩手】[3.6+0.6*lv]%技能伤害（可叠加）</t>
  </si>
  <si>
    <t>自身【贯穿之矛】提高[2+2*lv]%技能伤害</t>
  </si>
  <si>
    <t>自身【万象支配】的提高([20+5*lv]+当前法力/5)%技能伤害</t>
  </si>
  <si>
    <t>【吟唱】本回合所有技能释放2次，降低[80-4*lv]%技能伤害</t>
  </si>
  <si>
    <t>【吟唱】释放后队伍中所有【佐罗】进入隐身状态，破隐时附加[150*lv+100]点伤害，【血腥狂舞·回旋】提高[40+60*lv]%技能伤害并获得50%吸血</t>
  </si>
  <si>
    <t>每次释放【阎魔刀】，会使本回合自身【阎魔刀】提高[6+3*lv]%技能伤害</t>
  </si>
  <si>
    <t>自身【搏击】提高[5+3*lv]%技能伤害和[8+5*lv]%多重施法</t>
  </si>
  <si>
    <t>自身【精准射击】提高[10+2*lv]%技能伤害</t>
  </si>
  <si>
    <t>自身【弹幕射击】提高[20+3*lv]%技能伤害</t>
  </si>
  <si>
    <t>自身【爆裂射击】提高[30+5*lv]%技能伤害</t>
  </si>
  <si>
    <t>【吟唱】本回合所有技能释放2次，降低[80-0.5*lv]%技能伤害</t>
  </si>
  <si>
    <t>【弱化连锁】$y15%$w几率获得【国王标记】，【国王标记】使下一次攻击提高[(3+3*lv)]%技能伤害</t>
  </si>
  <si>
    <t>自身【大福弹射】提高[70+10*lv]%技能伤害</t>
  </si>
  <si>
    <t>自身【日炎之息】提高15%技能伤害</t>
  </si>
  <si>
    <t>自身【日炎之息】提高30%技能伤害</t>
  </si>
  <si>
    <t>自身【射法·玉天贯】提高25%技能伤害</t>
  </si>
  <si>
    <t>自身【多重射击】提高25%技能伤害</t>
  </si>
  <si>
    <t>自身【烈火流星】提高25%技能伤害</t>
  </si>
  <si>
    <t>自身【誓约胜利之剑】提高35%技能伤害</t>
  </si>
  <si>
    <t>被攻击后自身【大闹天宫】提高3%技能伤害（可叠加）</t>
  </si>
  <si>
    <t>自身【最后一击】提高100%技能伤害</t>
  </si>
  <si>
    <t>自身【秘术射击】和【精准弹幕】提高35%技能伤害</t>
  </si>
  <si>
    <t>敌方血量高于80%，自身【雷切】提高36%技能伤害</t>
  </si>
  <si>
    <t>自身【狩物佛钉】释放后恢复60点能量，自身【刀狩令】提高13%技能伤害</t>
  </si>
  <si>
    <t>自身【全军突击】必定命中并提高15%技能伤害</t>
  </si>
  <si>
    <t>【地狱之炎】提高25%技能伤害</t>
  </si>
  <si>
    <t>【暗影炸弹】提高15%技能伤害</t>
  </si>
  <si>
    <t>连击装置中提高5%技能伤害和治疗效果</t>
  </si>
  <si>
    <t>连击装置中提高8%技能伤害和治疗效果</t>
  </si>
  <si>
    <t>每1层【流血】，提高[0.4+0.08*lv]%技能伤害和持续伤害</t>
  </si>
  <si>
    <t>【风怒打击】提高[20+4*lv]%技能伤害</t>
  </si>
  <si>
    <t>【吟唱】降低10000点速度，降低100%暴击，提高[50+5*lv]%技能伤害，所有技能不再消耗资源（持续3回合）</t>
  </si>
  <si>
    <t>【怒击】提高[70+4*lv]%技能伤害</t>
  </si>
  <si>
    <t>【怒击】提高[10+4.5*lv]%技能伤害和[10+4.5*lv]%暴击伤害</t>
  </si>
  <si>
    <t>【吟唱】下3个冰霜技能提高[3+1.35*lv]%技能伤害</t>
  </si>
  <si>
    <t>【审判之锤】提高[(80+6*lv)]%技能伤害</t>
  </si>
  <si>
    <t>造成$r[100*lv]+[90+55*lv]%*攻击力$w的火属性物理伤害，并提高开心的放火6%技能伤害和200点速度</t>
  </si>
  <si>
    <t>充电2小时</t>
    <phoneticPr fontId="1" type="noConversion"/>
  </si>
  <si>
    <t>通话5分钟</t>
    <phoneticPr fontId="1" type="noConversion"/>
  </si>
  <si>
    <t>通话3分钟</t>
    <phoneticPr fontId="1" type="noConversion"/>
  </si>
  <si>
    <t>初始能量增加至40，提高20点能量上限，每回合回复能量减少15点</t>
    <phoneticPr fontId="1" type="noConversion"/>
  </si>
  <si>
    <t>初始能量增加至100，提高20点能量上限，每回合回复能量减少10点</t>
    <phoneticPr fontId="1" type="noConversion"/>
  </si>
  <si>
    <t>行动时回复5点能量</t>
    <phoneticPr fontId="1" type="noConversion"/>
  </si>
  <si>
    <t>5</t>
    <phoneticPr fontId="1" type="noConversion"/>
  </si>
  <si>
    <t>20</t>
    <phoneticPr fontId="1" type="noConversion"/>
  </si>
  <si>
    <t>血量低于75%时，每减少1%的生命值，提高[0.4+0.08*lv]%所有伤害</t>
    <phoneticPr fontId="1" type="noConversion"/>
  </si>
  <si>
    <t>暴击时使下一次攻击提高20%所有伤害</t>
    <phoneticPr fontId="1" type="noConversion"/>
  </si>
  <si>
    <t>行动时10%几率使下一次攻击提高[20+3*lv]%所有伤害</t>
    <phoneticPr fontId="1" type="noConversion"/>
  </si>
  <si>
    <t>【吟唱】提高[400+40*lv]点精神力（持续1回合），并使你的下一次攻击提高[40+2*lv]%所有伤害</t>
    <phoneticPr fontId="1" type="noConversion"/>
  </si>
  <si>
    <t>连锁大师1</t>
    <phoneticPr fontId="1" type="noConversion"/>
  </si>
  <si>
    <t>被攻击时本回合降低敌方5%所有伤害（可叠加）</t>
    <phoneticPr fontId="1" type="noConversion"/>
  </si>
  <si>
    <t>被攻击时本回合降低敌方5%附加伤害（可叠加）</t>
    <phoneticPr fontId="1" type="noConversion"/>
  </si>
  <si>
    <t>被攻击时本回合降低敌方5%技能伤害和治疗效果（可叠加）</t>
    <phoneticPr fontId="1" type="noConversion"/>
  </si>
  <si>
    <t>被攻击时本回合降低敌方3%命中率（可叠加）</t>
    <phoneticPr fontId="1" type="noConversion"/>
  </si>
  <si>
    <t>七彩3</t>
    <phoneticPr fontId="1" type="noConversion"/>
  </si>
  <si>
    <t>【炎杀黑龙波】伤害提高300%，附加2层【重伤】</t>
    <phoneticPr fontId="1" type="noConversion"/>
  </si>
  <si>
    <t>所有连击装置冷却时，提高5%多重施法</t>
    <phoneticPr fontId="1" type="noConversion"/>
  </si>
  <si>
    <t>所有连击装置冷却时，提高200点力量和智力</t>
    <phoneticPr fontId="1" type="noConversion"/>
  </si>
  <si>
    <t>所有连击装置冷却时，提高600点护甲穿透和法术穿透</t>
    <phoneticPr fontId="1" type="noConversion"/>
  </si>
  <si>
    <t>所有连击装置冷却时，提高1000点速度</t>
    <phoneticPr fontId="1" type="noConversion"/>
  </si>
  <si>
    <t>所有连击装置冷却时，提高30点全属性强化</t>
    <phoneticPr fontId="1" type="noConversion"/>
  </si>
  <si>
    <t>所有连击装置冷却时，提高10%暴击伤害</t>
    <phoneticPr fontId="1" type="noConversion"/>
  </si>
  <si>
    <t>1000</t>
    <phoneticPr fontId="1" type="noConversion"/>
  </si>
  <si>
    <t>30</t>
    <phoneticPr fontId="1" type="noConversion"/>
  </si>
  <si>
    <t>600</t>
    <phoneticPr fontId="1" type="noConversion"/>
  </si>
  <si>
    <t>200</t>
    <phoneticPr fontId="1" type="noConversion"/>
  </si>
  <si>
    <t>200</t>
    <phoneticPr fontId="1" type="noConversion"/>
  </si>
  <si>
    <t>被攻击时附加1层【中毒】【流血】【裂伤】</t>
    <phoneticPr fontId="1" type="noConversion"/>
  </si>
  <si>
    <t>被攻击时对敌方造成10%*护甲+10%*魔抗的伤害</t>
    <phoneticPr fontId="1" type="noConversion"/>
  </si>
  <si>
    <t>被攻击时回复10%最大生命值的血量</t>
    <phoneticPr fontId="1" type="noConversion"/>
  </si>
  <si>
    <t>被攻击时治疗</t>
    <phoneticPr fontId="1" type="noConversion"/>
  </si>
  <si>
    <t>10/100*a.arm+10/100*a.mr</t>
  </si>
  <si>
    <t>0.1*a.hp</t>
    <phoneticPr fontId="1" type="noConversion"/>
  </si>
  <si>
    <t>被攻击时本回合降低敌方2%多重施法（可叠加）</t>
    <phoneticPr fontId="1" type="noConversion"/>
  </si>
  <si>
    <t>被攻击时本回合降低敌方6%暴击伤害（可叠加）</t>
    <phoneticPr fontId="1" type="noConversion"/>
  </si>
  <si>
    <t>-600</t>
    <phoneticPr fontId="1" type="noConversion"/>
  </si>
  <si>
    <t>-500</t>
    <phoneticPr fontId="1" type="noConversion"/>
  </si>
  <si>
    <t>高级贵族</t>
  </si>
  <si>
    <t>至尊贵族</t>
  </si>
  <si>
    <t>至尊王者</t>
  </si>
  <si>
    <t>天下我有</t>
  </si>
  <si>
    <t>富甲天下</t>
  </si>
  <si>
    <t>千年战帝</t>
  </si>
  <si>
    <t>人间凶器</t>
  </si>
  <si>
    <t>血腥爆神</t>
  </si>
  <si>
    <t>铁血杀神</t>
  </si>
  <si>
    <t>国王</t>
  </si>
  <si>
    <t>皇后</t>
  </si>
  <si>
    <t>勇者精华</t>
  </si>
  <si>
    <t>斗者精华</t>
  </si>
  <si>
    <t>游戏制作人的灵魂</t>
  </si>
  <si>
    <t>魔核</t>
  </si>
  <si>
    <t>黑色龙鳞</t>
  </si>
  <si>
    <t>本本石碎片</t>
  </si>
  <si>
    <t>阿顿神的智慧</t>
  </si>
  <si>
    <t>马那托托斯的护身符</t>
  </si>
  <si>
    <t>宝石</t>
  </si>
  <si>
    <t>怒雷</t>
  </si>
  <si>
    <t>逐风</t>
  </si>
  <si>
    <t>炎魔之核</t>
  </si>
  <si>
    <t>杖头</t>
  </si>
  <si>
    <t>杖尾</t>
  </si>
  <si>
    <t>七彩石</t>
  </si>
  <si>
    <t>七彩晶核</t>
  </si>
  <si>
    <t>传说技能石</t>
  </si>
  <si>
    <t>钉钉</t>
  </si>
  <si>
    <t>初级钻石晶石</t>
  </si>
  <si>
    <t>中级钻石晶石</t>
  </si>
  <si>
    <t>高级钻石晶石</t>
  </si>
  <si>
    <t>初级召唤石晶石</t>
  </si>
  <si>
    <t>中级召唤石晶石</t>
  </si>
  <si>
    <t>高级召唤石晶石</t>
  </si>
  <si>
    <t>初级升级晶石</t>
  </si>
  <si>
    <t>中级升级晶石</t>
  </si>
  <si>
    <t>高级升级晶石</t>
  </si>
  <si>
    <t>初级深渊晶石</t>
  </si>
  <si>
    <t>中级深渊晶石</t>
  </si>
  <si>
    <t>高级深渊晶石</t>
  </si>
  <si>
    <t>初级材料晶石</t>
  </si>
  <si>
    <t>中级材料晶石</t>
  </si>
  <si>
    <t>高级材料晶石</t>
  </si>
  <si>
    <t>粗糙的石块</t>
  </si>
  <si>
    <t>光滑的石块</t>
  </si>
  <si>
    <t>1星勇者狗粮</t>
  </si>
  <si>
    <t>2星勇者狗粮</t>
  </si>
  <si>
    <t>3星勇者狗粮</t>
  </si>
  <si>
    <t>4星勇者狗粮</t>
  </si>
  <si>
    <t>5星勇者狗粮</t>
  </si>
  <si>
    <t>6星勇者狗粮</t>
  </si>
  <si>
    <t>1星战士狗粮</t>
  </si>
  <si>
    <t>2星战士狗粮</t>
  </si>
  <si>
    <t>3星战士狗粮</t>
  </si>
  <si>
    <t>4星战士狗粮</t>
  </si>
  <si>
    <t>5星战士狗粮</t>
  </si>
  <si>
    <t>6星战士狗粮</t>
  </si>
  <si>
    <t>1星射手狗粮</t>
  </si>
  <si>
    <t>2星射手狗粮</t>
  </si>
  <si>
    <t>3星射手狗粮</t>
  </si>
  <si>
    <t>4星射手狗粮</t>
  </si>
  <si>
    <t>5星射手狗粮</t>
  </si>
  <si>
    <t>6星射手狗粮</t>
  </si>
  <si>
    <t>1星坦克狗粮</t>
  </si>
  <si>
    <t>2星坦克狗粮</t>
  </si>
  <si>
    <t>3星坦克狗粮</t>
  </si>
  <si>
    <t>4星坦克狗粮</t>
  </si>
  <si>
    <t>5星坦克狗粮</t>
  </si>
  <si>
    <t>6星坦克狗粮</t>
  </si>
  <si>
    <t>1星刺客狗粮</t>
  </si>
  <si>
    <t>2星刺客狗粮</t>
  </si>
  <si>
    <t>3星刺客狗粮</t>
  </si>
  <si>
    <t>4星刺客狗粮</t>
  </si>
  <si>
    <t>5星刺客狗粮</t>
  </si>
  <si>
    <t>6星刺客狗粮</t>
  </si>
  <si>
    <t>1星法师狗粮</t>
  </si>
  <si>
    <t>2星法师狗粮</t>
  </si>
  <si>
    <t>3星法师狗粮</t>
  </si>
  <si>
    <t>4星法师狗粮</t>
  </si>
  <si>
    <t>5星法师狗粮</t>
  </si>
  <si>
    <t>6星法师狗粮</t>
  </si>
  <si>
    <t>1星辅助狗粮</t>
  </si>
  <si>
    <t>2星辅助狗粮</t>
  </si>
  <si>
    <t>3星辅助狗粮</t>
  </si>
  <si>
    <t>4星辅助狗粮</t>
  </si>
  <si>
    <t>5星辅助狗粮</t>
  </si>
  <si>
    <t>6星辅助狗粮</t>
  </si>
  <si>
    <t>跳过券</t>
  </si>
  <si>
    <t>夏日水珠</t>
  </si>
  <si>
    <t>狂风能量核心</t>
  </si>
  <si>
    <t>凸凸君的智慧之源</t>
  </si>
  <si>
    <t>王之便当</t>
  </si>
  <si>
    <t>砖块</t>
  </si>
  <si>
    <t>沙漠火药</t>
  </si>
  <si>
    <t>云</t>
  </si>
  <si>
    <t>仙草</t>
  </si>
  <si>
    <t>方块</t>
  </si>
  <si>
    <t>执政官之证</t>
  </si>
  <si>
    <t>陨石</t>
  </si>
  <si>
    <t>冰晶</t>
  </si>
  <si>
    <t>小僵尸</t>
  </si>
  <si>
    <t>炮弹</t>
  </si>
  <si>
    <t>胖头鱼</t>
  </si>
  <si>
    <t>pad</t>
  </si>
  <si>
    <t>暴风眼</t>
  </si>
  <si>
    <t>次元碎片</t>
  </si>
  <si>
    <t>石像</t>
  </si>
  <si>
    <t>盾枪伊芙雷泽尔碎片</t>
  </si>
  <si>
    <t>赤焰提斯卡托斯碎片</t>
  </si>
  <si>
    <t>绚蓝阿布特罗斯碎片</t>
  </si>
  <si>
    <t>武装奥布罗斯碎片</t>
  </si>
  <si>
    <t>钝剑阿普克洛斯碎片</t>
  </si>
  <si>
    <t>巨神王托托斯碎片</t>
  </si>
  <si>
    <t>四色之焰亚卡托姆碎片</t>
  </si>
  <si>
    <t>龙之纹巴萨欧拉碎片</t>
  </si>
  <si>
    <t>月神之弓碎片</t>
  </si>
  <si>
    <t>浑天【太初篇】碎片</t>
  </si>
  <si>
    <t>虚空重锤碎片</t>
  </si>
  <si>
    <t>巫毒匕首碎片</t>
  </si>
  <si>
    <t>开膛手枪碎片</t>
  </si>
  <si>
    <t>定海神针碎片</t>
  </si>
  <si>
    <t>双铁戟碎片</t>
  </si>
  <si>
    <t>彩篆碎片</t>
  </si>
  <si>
    <t>能量强化装置碎片</t>
  </si>
  <si>
    <t>火焰卷轴碎片</t>
  </si>
  <si>
    <t>吸水提卢枪碎片</t>
  </si>
  <si>
    <t>万法之光碎片</t>
  </si>
  <si>
    <t>天堂守护碎片</t>
  </si>
  <si>
    <t>青龙偃月刀碎片</t>
  </si>
  <si>
    <t>渴血左轮碎片</t>
  </si>
  <si>
    <t>神之愤怒碎片</t>
  </si>
  <si>
    <t>天使圣盾碎片</t>
  </si>
  <si>
    <t>圣洁之书碎片</t>
  </si>
  <si>
    <t>聪聪君的光束剑碎片</t>
  </si>
  <si>
    <t>暗牙黄泉津碎片</t>
  </si>
  <si>
    <t>夺魄拘碎片</t>
  </si>
  <si>
    <t>二罗罗的小弹弓碎片</t>
  </si>
  <si>
    <t>方天画戟碎片</t>
  </si>
  <si>
    <t>狩碎片</t>
  </si>
  <si>
    <t>帝国军旗碎片</t>
  </si>
  <si>
    <t>八咫镜碎片</t>
  </si>
  <si>
    <t>光明权杖亚亚诺斯碎片</t>
  </si>
  <si>
    <t>死神之吻堪塔克洛斯碎片</t>
  </si>
  <si>
    <t>折戟匕垒碎片</t>
  </si>
  <si>
    <t>龙息手持火炮碎片</t>
  </si>
  <si>
    <t>美队之盾【破损】碎片</t>
  </si>
  <si>
    <t>拨蚌御用厨刀碎片</t>
  </si>
  <si>
    <t>[火生]彩虹刻面碎片</t>
  </si>
  <si>
    <t>[冰生]彩虹刻面碎片</t>
  </si>
  <si>
    <t>[光生]彩虹刻面碎片</t>
  </si>
  <si>
    <t>[暗生]彩虹刻面碎片</t>
  </si>
  <si>
    <t>[火死]彩虹刻面碎片</t>
  </si>
  <si>
    <t>[冰死]彩虹刻面碎片</t>
  </si>
  <si>
    <t>[光死]彩虹刻面碎片</t>
  </si>
  <si>
    <t>[暗死]彩虹刻面碎片</t>
  </si>
  <si>
    <t>马格纳斯之皮碎片</t>
  </si>
  <si>
    <t>惠斯坦武装之戒碎片</t>
  </si>
  <si>
    <t>聪聪君的方方盔碎片</t>
  </si>
  <si>
    <t>聪聪君的帅帅甲碎片</t>
  </si>
  <si>
    <t>聪聪君的滑滑鞋碎片</t>
  </si>
  <si>
    <t>聪聪君的回忆碎片</t>
  </si>
  <si>
    <t>聪聪君的花环碎片</t>
  </si>
  <si>
    <t>聪聪君的疯狂碎片</t>
  </si>
  <si>
    <t>聪聪君的战士之饰碎片</t>
  </si>
  <si>
    <t>聪聪君的玉佩碎片</t>
  </si>
  <si>
    <t>米迦勒的慈悲碎片</t>
  </si>
  <si>
    <t>拉斐尔的治愈碎片</t>
  </si>
  <si>
    <t>加百列的守护碎片</t>
  </si>
  <si>
    <t>雷米尔的指引碎片</t>
  </si>
  <si>
    <t>米达伦的教导碎片</t>
  </si>
  <si>
    <t>乌利尔的审判碎片</t>
  </si>
  <si>
    <t>骷髅之冠碎片</t>
  </si>
  <si>
    <t>骨龙之躯碎片</t>
  </si>
  <si>
    <t>憎恶之足碎片</t>
  </si>
  <si>
    <t>火焰之魂碎片</t>
  </si>
  <si>
    <t>永冬之匣碎片</t>
  </si>
  <si>
    <t>堕天使之翼碎片</t>
  </si>
  <si>
    <t>九头龙王头盔碎片</t>
  </si>
  <si>
    <t>大力龙王铠甲碎片</t>
  </si>
  <si>
    <t>青莲龙王护靴碎片</t>
  </si>
  <si>
    <t>欢喜龙王戒指碎片</t>
  </si>
  <si>
    <t>海龙王项链碎片</t>
  </si>
  <si>
    <t>毒龙王手镯碎片</t>
  </si>
  <si>
    <t>暗杀者碎片</t>
  </si>
  <si>
    <t>守护者碎片</t>
  </si>
  <si>
    <t>苦修者碎片</t>
  </si>
  <si>
    <t>狩猎者碎片</t>
  </si>
  <si>
    <t>祈求者碎片</t>
  </si>
  <si>
    <t>传承者碎片</t>
  </si>
  <si>
    <t>交响曲碎片</t>
  </si>
  <si>
    <t>协奏曲碎片</t>
  </si>
  <si>
    <t>圆舞曲碎片</t>
  </si>
  <si>
    <t>狂想曲碎片</t>
  </si>
  <si>
    <t>幻想曲碎片</t>
  </si>
  <si>
    <t>随想曲碎片</t>
  </si>
  <si>
    <t>天帝战盔碎片</t>
  </si>
  <si>
    <t>黄帝战甲碎片</t>
  </si>
  <si>
    <t>炎帝战靴碎片</t>
  </si>
  <si>
    <t>青帝戒指碎片</t>
  </si>
  <si>
    <t>黑帝项链碎片</t>
  </si>
  <si>
    <t>白帝手镯碎片</t>
  </si>
  <si>
    <t>奥术核心碎片</t>
  </si>
  <si>
    <t>黄金动力炉碎片</t>
  </si>
  <si>
    <t>岩石助推器碎片</t>
  </si>
  <si>
    <t>冰霜指环碎片</t>
  </si>
  <si>
    <t>熔岩火链碎片</t>
  </si>
  <si>
    <t>双子手镯碎片</t>
  </si>
  <si>
    <t>愚者的流浪碎片</t>
  </si>
  <si>
    <t>教皇的援助碎片</t>
  </si>
  <si>
    <t>恋人的结合碎片</t>
  </si>
  <si>
    <t>隐者的探索碎片</t>
  </si>
  <si>
    <t>魔术师的创造碎片</t>
  </si>
  <si>
    <t>女祭司的智慧碎片</t>
  </si>
  <si>
    <t>狼之力碎片</t>
  </si>
  <si>
    <t>虎之力碎片</t>
  </si>
  <si>
    <t>兔之力碎片</t>
  </si>
  <si>
    <t>猫之力碎片</t>
  </si>
  <si>
    <t>狐之力碎片</t>
  </si>
  <si>
    <t>熊之力碎片</t>
  </si>
  <si>
    <t>智障阿姨的触手碎片</t>
  </si>
  <si>
    <t>万事屋的小黄花碎片</t>
  </si>
  <si>
    <t>枫九道的痛苦绝望碎片</t>
  </si>
  <si>
    <t>苹果10袋碎片</t>
  </si>
  <si>
    <t>摔不烂的手机碎片</t>
  </si>
  <si>
    <t>聪聪君布鲁方哥碎片</t>
  </si>
  <si>
    <t>罗格的丝绸手帕碎片</t>
  </si>
  <si>
    <t>迟缓者拉格的不屈意志碎片</t>
  </si>
  <si>
    <t>超级加农炮碎片</t>
  </si>
  <si>
    <t>魔核之源碎片</t>
  </si>
  <si>
    <t>黑龙之源碎片</t>
  </si>
  <si>
    <t>杖身碎片</t>
  </si>
  <si>
    <t>神话灵魂合成书碎片</t>
  </si>
  <si>
    <t>极限的风珍藏的深渊票箱</t>
  </si>
  <si>
    <t>落叶给大家主角经验</t>
  </si>
  <si>
    <t>小小兔的大宝箱</t>
  </si>
  <si>
    <t>小小兔的中宝箱</t>
  </si>
  <si>
    <t>小小兔的小宝箱</t>
  </si>
  <si>
    <t>出师大礼包</t>
  </si>
  <si>
    <t>出师大礼包1</t>
  </si>
  <si>
    <t>出师大礼包2</t>
  </si>
  <si>
    <t>非酋要打猎祖传宝箱</t>
  </si>
  <si>
    <t>鲜肉月饼</t>
  </si>
  <si>
    <t>莲蓉月饼</t>
  </si>
  <si>
    <t>菊花</t>
  </si>
  <si>
    <t>糖果</t>
  </si>
  <si>
    <t>南瓜</t>
  </si>
  <si>
    <t>火鸡</t>
  </si>
  <si>
    <t>平安果</t>
  </si>
  <si>
    <t>圣诞帽</t>
  </si>
  <si>
    <t>元宵</t>
  </si>
  <si>
    <t>传说材料箱</t>
  </si>
  <si>
    <t>进阶材料箱</t>
  </si>
  <si>
    <t>佣兵材料箱</t>
  </si>
  <si>
    <t>进阶材料箱0</t>
  </si>
  <si>
    <t>佣兵材料箱0</t>
  </si>
  <si>
    <t>深渊A</t>
  </si>
  <si>
    <t>深渊B</t>
  </si>
  <si>
    <t>深渊C</t>
  </si>
  <si>
    <t>深渊1</t>
  </si>
  <si>
    <t>深渊2</t>
  </si>
  <si>
    <t>深渊3</t>
  </si>
  <si>
    <t>深渊4</t>
  </si>
  <si>
    <t>深渊5</t>
  </si>
  <si>
    <t>深渊6</t>
  </si>
  <si>
    <t>深渊7</t>
  </si>
  <si>
    <t>深渊8</t>
  </si>
  <si>
    <t>深渊9</t>
  </si>
  <si>
    <t>深渊10</t>
  </si>
  <si>
    <t>深渊-武器3</t>
  </si>
  <si>
    <t>深渊-武器4</t>
  </si>
  <si>
    <t>深渊-武器5</t>
  </si>
  <si>
    <t>深渊-武器6</t>
  </si>
  <si>
    <t>深渊-武器7</t>
  </si>
  <si>
    <t>深渊-武器8</t>
  </si>
  <si>
    <t>深渊-防具3</t>
  </si>
  <si>
    <t>深渊-防具4</t>
  </si>
  <si>
    <t>深渊-防具5</t>
  </si>
  <si>
    <t>深渊-防具6</t>
  </si>
  <si>
    <t>深渊-防具7</t>
  </si>
  <si>
    <t>深渊-防具8</t>
  </si>
  <si>
    <t>深渊-防具9</t>
  </si>
  <si>
    <t>深渊-防具10</t>
  </si>
  <si>
    <t>深渊-防具11</t>
  </si>
  <si>
    <t>深渊-防具12</t>
  </si>
  <si>
    <t>深渊-防具13</t>
  </si>
  <si>
    <t>深渊-防具14</t>
  </si>
  <si>
    <t>深渊-防具15</t>
  </si>
  <si>
    <t>深渊-防具16</t>
  </si>
  <si>
    <t>深渊-防具17</t>
  </si>
  <si>
    <t>深渊-防具18</t>
  </si>
  <si>
    <t>深渊-防具19</t>
  </si>
  <si>
    <t>深渊-防具20</t>
  </si>
  <si>
    <t>深渊-防具21</t>
  </si>
  <si>
    <t>深渊-防具22</t>
  </si>
  <si>
    <t>深渊-防具23</t>
  </si>
  <si>
    <t>深渊-防具24</t>
  </si>
  <si>
    <t>深渊-防具25</t>
  </si>
  <si>
    <t>深渊-防具26</t>
  </si>
  <si>
    <t>深渊-防具27</t>
  </si>
  <si>
    <t>深渊-武器9</t>
  </si>
  <si>
    <t>深渊-武器10</t>
  </si>
  <si>
    <t>深渊-武器11</t>
  </si>
  <si>
    <t>勇者宝箱</t>
  </si>
  <si>
    <t>勇者0</t>
  </si>
  <si>
    <t>勇者A</t>
  </si>
  <si>
    <t>勇者B</t>
  </si>
  <si>
    <t>勇者C</t>
  </si>
  <si>
    <t>勇者D</t>
  </si>
  <si>
    <t>勇者1</t>
  </si>
  <si>
    <t>勇者2</t>
  </si>
  <si>
    <t>勇者3</t>
  </si>
  <si>
    <t>勇者4</t>
  </si>
  <si>
    <t>勇者5</t>
  </si>
  <si>
    <t>勇者6</t>
  </si>
  <si>
    <t>勇者7</t>
  </si>
  <si>
    <t>勇者8</t>
  </si>
  <si>
    <t>勇者9</t>
  </si>
  <si>
    <t>勇者10</t>
  </si>
  <si>
    <t>勇者11</t>
  </si>
  <si>
    <t>勇者12</t>
  </si>
  <si>
    <t>勇者13</t>
  </si>
  <si>
    <t>勇者14</t>
  </si>
  <si>
    <t>勇者15</t>
  </si>
  <si>
    <t>勇者1-1-1</t>
  </si>
  <si>
    <t>勇者1-1-2</t>
  </si>
  <si>
    <t>勇者1-2-1</t>
  </si>
  <si>
    <t>勇者1-2-2</t>
  </si>
  <si>
    <t>勇者1-3-1</t>
  </si>
  <si>
    <t>勇者1-3-2</t>
  </si>
  <si>
    <t>勇者2-1-1</t>
  </si>
  <si>
    <t>勇者2-1-2</t>
  </si>
  <si>
    <t>勇者2-2-1</t>
  </si>
  <si>
    <t>勇者2-2-2</t>
  </si>
  <si>
    <t>勇者2-3-1</t>
  </si>
  <si>
    <t>勇者2-3-2</t>
  </si>
  <si>
    <t>勇者3-1-1</t>
  </si>
  <si>
    <t>勇者3-1-2</t>
  </si>
  <si>
    <t>勇者3-2-1</t>
  </si>
  <si>
    <t>勇者3-2-2</t>
  </si>
  <si>
    <t>勇者3-3-1</t>
  </si>
  <si>
    <t>勇者3-3-2</t>
  </si>
  <si>
    <t>勇者4-1-1</t>
  </si>
  <si>
    <t>勇者4-1-2</t>
  </si>
  <si>
    <t>勇者4-2-1</t>
  </si>
  <si>
    <t>勇者4-2-2</t>
  </si>
  <si>
    <t>勇者4-3-1</t>
  </si>
  <si>
    <t>勇者4-3-2</t>
  </si>
  <si>
    <t>勇者5-1-1</t>
  </si>
  <si>
    <t>勇者5-1-2</t>
  </si>
  <si>
    <t>勇者5-2-1</t>
  </si>
  <si>
    <t>勇者5-2-2</t>
  </si>
  <si>
    <t>勇者5-3-1</t>
  </si>
  <si>
    <t>勇者5-3-2</t>
  </si>
  <si>
    <t>勇者6-1-1</t>
  </si>
  <si>
    <t>勇者6-1-2</t>
  </si>
  <si>
    <t>勇者6-2-1</t>
  </si>
  <si>
    <t>勇者6-2-2</t>
  </si>
  <si>
    <t>勇者6-3-1</t>
  </si>
  <si>
    <t>勇者6-3-2</t>
  </si>
  <si>
    <t>勇者7-1-1</t>
  </si>
  <si>
    <t>勇者7-1-2</t>
  </si>
  <si>
    <t>勇者7-2-1</t>
  </si>
  <si>
    <t>勇者7-2-2</t>
  </si>
  <si>
    <t>勇者7-3-1</t>
  </si>
  <si>
    <t>勇者7-3-2</t>
  </si>
  <si>
    <t>勇者8-1-1</t>
  </si>
  <si>
    <t>勇者8-1-2</t>
  </si>
  <si>
    <t>勇者8-2-1</t>
  </si>
  <si>
    <t>勇者8-2-2</t>
  </si>
  <si>
    <t>勇者8-3-1</t>
  </si>
  <si>
    <t>勇者8-3-2</t>
  </si>
  <si>
    <t>勇者9-1-1</t>
  </si>
  <si>
    <t>勇者9-1-2</t>
  </si>
  <si>
    <t>勇者9-2-1</t>
  </si>
  <si>
    <t>勇者9-2-2</t>
  </si>
  <si>
    <t>勇者9-3-1</t>
  </si>
  <si>
    <t>勇者9-3-2</t>
  </si>
  <si>
    <t>勇者10-1-1</t>
  </si>
  <si>
    <t>勇者10-1-2</t>
  </si>
  <si>
    <t>勇者10-2-1</t>
  </si>
  <si>
    <t>勇者10-2-2</t>
  </si>
  <si>
    <t>勇者10-3-1</t>
  </si>
  <si>
    <t>勇者10-3-2</t>
  </si>
  <si>
    <t>征战礼包</t>
  </si>
  <si>
    <t>竞技礼包</t>
  </si>
  <si>
    <t>深渊宝箱</t>
  </si>
  <si>
    <t>深渊大宝箱</t>
  </si>
  <si>
    <t>深渊碎片和票</t>
  </si>
  <si>
    <t>小型深渊宝珠</t>
  </si>
  <si>
    <t>小型钥匙宝珠</t>
  </si>
  <si>
    <t>主角升级药剂罐</t>
  </si>
  <si>
    <t>斗者宝箱</t>
  </si>
  <si>
    <t>斗者大宝箱</t>
  </si>
  <si>
    <t>斗者0</t>
  </si>
  <si>
    <t>斗者1</t>
  </si>
  <si>
    <t>斗者11</t>
  </si>
  <si>
    <t>斗者12</t>
  </si>
  <si>
    <t>斗者13</t>
  </si>
  <si>
    <t>斗者14</t>
  </si>
  <si>
    <t>斗者15</t>
  </si>
  <si>
    <t>斗者16</t>
  </si>
  <si>
    <t>斗者17</t>
  </si>
  <si>
    <t>斗者21</t>
  </si>
  <si>
    <t>斗者22</t>
  </si>
  <si>
    <t>斗者23</t>
  </si>
  <si>
    <t>斗者24</t>
  </si>
  <si>
    <t>斗者25</t>
  </si>
  <si>
    <t>斗者26</t>
  </si>
  <si>
    <t>斗者27</t>
  </si>
  <si>
    <t>史诗4</t>
  </si>
  <si>
    <t>斗者武器自选箱</t>
  </si>
  <si>
    <t>勇者武器自选箱</t>
  </si>
  <si>
    <t>斗者防具自选箱</t>
  </si>
  <si>
    <t>勇者防具自选箱</t>
  </si>
  <si>
    <t>深渊碎片自选罐(小)</t>
  </si>
  <si>
    <t>深渊碎片自选罐(大)</t>
  </si>
  <si>
    <t>深渊碎片A</t>
  </si>
  <si>
    <t>深渊碎片B</t>
  </si>
  <si>
    <t>深渊碎片C</t>
  </si>
  <si>
    <t>深渊碎片1</t>
  </si>
  <si>
    <t>深渊碎片2</t>
  </si>
  <si>
    <t>深渊碎片3</t>
  </si>
  <si>
    <t>深渊碎片4</t>
  </si>
  <si>
    <t>深渊碎片5</t>
  </si>
  <si>
    <t>深渊碎片6</t>
  </si>
  <si>
    <t>深渊碎片7</t>
  </si>
  <si>
    <t>深渊碎片8</t>
  </si>
  <si>
    <t>深渊碎片9</t>
  </si>
  <si>
    <t>深渊碎片10</t>
  </si>
  <si>
    <t>深渊碎片-武器3</t>
  </si>
  <si>
    <t>深渊碎片-武器4</t>
  </si>
  <si>
    <t>深渊碎片-武器5</t>
  </si>
  <si>
    <t>深渊碎片-武器6</t>
  </si>
  <si>
    <t>深渊碎片-武器7</t>
  </si>
  <si>
    <t>深渊碎片-武器8</t>
  </si>
  <si>
    <t>深渊碎片-防具3</t>
  </si>
  <si>
    <t>深渊碎片-防具4</t>
  </si>
  <si>
    <t>深渊碎片-防具5</t>
  </si>
  <si>
    <t>深渊碎片-防具6</t>
  </si>
  <si>
    <t>深渊碎片-防具7</t>
  </si>
  <si>
    <t>深渊碎片-防具8</t>
  </si>
  <si>
    <t>深渊碎片-防具9</t>
  </si>
  <si>
    <t>深渊碎片-防具10</t>
  </si>
  <si>
    <t>深渊碎片-防具11</t>
  </si>
  <si>
    <t>深渊碎片-防具12</t>
  </si>
  <si>
    <t>深渊碎片-防具13</t>
  </si>
  <si>
    <t>深渊碎片-防具14</t>
  </si>
  <si>
    <t>深渊碎片-防具15</t>
  </si>
  <si>
    <t>深渊碎片-防具16</t>
  </si>
  <si>
    <t>深渊碎片-防具17</t>
  </si>
  <si>
    <t>深渊碎片-防具18</t>
  </si>
  <si>
    <t>深渊碎片-防具19</t>
  </si>
  <si>
    <t>深渊碎片-防具20</t>
  </si>
  <si>
    <t>深渊碎片-防具21</t>
  </si>
  <si>
    <t>深渊碎片-防具22</t>
  </si>
  <si>
    <t>深渊碎片-防具23</t>
  </si>
  <si>
    <t>深渊碎片-防具24</t>
  </si>
  <si>
    <t>深渊碎片-防具25</t>
  </si>
  <si>
    <t>深渊碎片-防具26</t>
  </si>
  <si>
    <t>深渊碎片-防具27</t>
  </si>
  <si>
    <t>深渊碎片-武器9</t>
  </si>
  <si>
    <t>深渊碎片-武器10</t>
  </si>
  <si>
    <t>深渊碎片-武器11</t>
  </si>
  <si>
    <t>传说碎片包</t>
  </si>
  <si>
    <t>白羊座宝箱</t>
  </si>
  <si>
    <t>金牛座宝箱</t>
  </si>
  <si>
    <t>双子座宝箱</t>
  </si>
  <si>
    <t>巨蟹座宝箱</t>
  </si>
  <si>
    <t>狮子座宝箱</t>
  </si>
  <si>
    <t>处女座宝箱</t>
  </si>
  <si>
    <t>天秤座宝箱</t>
  </si>
  <si>
    <t>天蝎座宝箱</t>
  </si>
  <si>
    <t>射手座宝箱</t>
  </si>
  <si>
    <t>摩羯座宝箱</t>
  </si>
  <si>
    <t>水瓶座宝箱</t>
  </si>
  <si>
    <t>双鱼座宝箱</t>
  </si>
  <si>
    <t>土象星座宝箱</t>
  </si>
  <si>
    <t>火象星座宝箱</t>
  </si>
  <si>
    <t>水象星座宝箱</t>
  </si>
  <si>
    <t>风象星座宝箱</t>
  </si>
  <si>
    <t>上古巨神的回忆箱</t>
  </si>
  <si>
    <t>材料箱</t>
  </si>
  <si>
    <t>强化箱</t>
  </si>
  <si>
    <t>英雄碎片箱</t>
  </si>
  <si>
    <t>材料-进阶</t>
  </si>
  <si>
    <t>材料-技能石</t>
  </si>
  <si>
    <t>材料-进阶1</t>
  </si>
  <si>
    <t>材料-进阶2</t>
  </si>
  <si>
    <t>材料-进阶3</t>
  </si>
  <si>
    <t>强化1</t>
  </si>
  <si>
    <t>强化2</t>
  </si>
  <si>
    <t>强化3</t>
  </si>
  <si>
    <t>超强制作人灵魂箱</t>
  </si>
  <si>
    <t>魔化之刃卷轴</t>
  </si>
  <si>
    <t>凋谢之戒卷轴</t>
  </si>
  <si>
    <t>墓穴之脊卷轴</t>
  </si>
  <si>
    <t>元素波纹剑卷轴</t>
  </si>
  <si>
    <t>风剑模具</t>
  </si>
  <si>
    <t>胡狼王的恐怖传说卷轴</t>
  </si>
  <si>
    <t>狗粮转换试用装置</t>
  </si>
  <si>
    <t>深渊碎片兑换书</t>
  </si>
  <si>
    <t>5星升星书</t>
  </si>
  <si>
    <t>6星升星书</t>
  </si>
  <si>
    <t>7星升星书</t>
  </si>
  <si>
    <t>+10进阶药水</t>
  </si>
  <si>
    <t>+11进阶药水</t>
  </si>
  <si>
    <t>+12进阶药水</t>
  </si>
  <si>
    <t>+13进阶药水</t>
  </si>
  <si>
    <t>+14进阶药水</t>
  </si>
  <si>
    <t>+15进阶药水</t>
  </si>
  <si>
    <t>+16进阶药水</t>
  </si>
  <si>
    <t>+17进阶药水</t>
  </si>
  <si>
    <t>+18进阶药水</t>
  </si>
  <si>
    <t>+19进阶药水</t>
  </si>
  <si>
    <t>+20进阶药水</t>
  </si>
  <si>
    <t>盖亚女神的怀抱</t>
  </si>
  <si>
    <t>普通主角升级药剂</t>
  </si>
  <si>
    <t>优秀主角升级药剂</t>
  </si>
  <si>
    <t>精良主角升级药剂</t>
  </si>
  <si>
    <t>史诗主角升级药剂</t>
  </si>
  <si>
    <t>传说主角升级药剂</t>
  </si>
  <si>
    <t>魔核之源</t>
  </si>
  <si>
    <t>黑龙之源</t>
  </si>
  <si>
    <t>活跃经验</t>
  </si>
  <si>
    <t>公会经验</t>
  </si>
  <si>
    <t>五彩石</t>
  </si>
  <si>
    <t>二罗罗的小弹弓</t>
  </si>
  <si>
    <t>帝国军旗</t>
  </si>
  <si>
    <t>八咫镜</t>
  </si>
  <si>
    <t>光明权杖亚亚诺斯</t>
  </si>
  <si>
    <t>死神之吻堪塔克洛斯</t>
  </si>
  <si>
    <t>折戟匕垒</t>
  </si>
  <si>
    <t>龙息手持火炮</t>
  </si>
  <si>
    <t>美队之盾【破损】</t>
  </si>
  <si>
    <t>拨蚌御用厨刀</t>
  </si>
  <si>
    <t>定海神针</t>
  </si>
  <si>
    <t>吸水提卢枪</t>
  </si>
  <si>
    <t>天堂守护</t>
  </si>
  <si>
    <t>暗牙黄泉津</t>
  </si>
  <si>
    <t>夺魄拘</t>
  </si>
  <si>
    <t>胡狼王的恐怖传说</t>
  </si>
  <si>
    <t>石像鬼之噬</t>
  </si>
  <si>
    <t>执政官之杖</t>
  </si>
  <si>
    <t>旋风盾</t>
  </si>
  <si>
    <t>死亡深度</t>
  </si>
  <si>
    <t>凸凸君的智慧之刃</t>
  </si>
  <si>
    <t>传说之杖杖身</t>
  </si>
  <si>
    <t>风剑雏形</t>
  </si>
  <si>
    <t>[火生]彩虹刻面</t>
  </si>
  <si>
    <t>[冰生]彩虹刻面</t>
  </si>
  <si>
    <t>[光生]彩虹刻面</t>
  </si>
  <si>
    <t>[暗生]彩虹刻面</t>
  </si>
  <si>
    <t>[火死]彩虹刻面</t>
  </si>
  <si>
    <t>[冰死]彩虹刻面</t>
  </si>
  <si>
    <t>[光死]彩虹刻面</t>
  </si>
  <si>
    <t>[暗死]彩虹刻面</t>
  </si>
  <si>
    <t>太阳</t>
  </si>
  <si>
    <t>月亮</t>
  </si>
  <si>
    <t>恶魔</t>
  </si>
  <si>
    <t>天使</t>
  </si>
  <si>
    <t>白羊座</t>
  </si>
  <si>
    <t>金牛座</t>
  </si>
  <si>
    <t>双子座</t>
  </si>
  <si>
    <t>巨蟹座</t>
  </si>
  <si>
    <t>狮子座</t>
  </si>
  <si>
    <t>处女座</t>
  </si>
  <si>
    <t>天秤座</t>
  </si>
  <si>
    <t>天蝎座</t>
  </si>
  <si>
    <t>射手座</t>
  </si>
  <si>
    <t>摩羯座</t>
  </si>
  <si>
    <t>水瓶座</t>
  </si>
  <si>
    <t>双鱼座</t>
  </si>
  <si>
    <t>烈火骑士</t>
  </si>
  <si>
    <t>厚土骑士</t>
  </si>
  <si>
    <t>疾风骑士</t>
  </si>
  <si>
    <t>壬水骑士</t>
  </si>
  <si>
    <t>泳池之星</t>
  </si>
  <si>
    <t>一根猴吃的葱花油条</t>
  </si>
  <si>
    <t>恩底弥翁的启示</t>
  </si>
  <si>
    <t>基基米的指引</t>
  </si>
  <si>
    <t>爱依希铁露的气息</t>
  </si>
  <si>
    <t>沙漠风爆</t>
  </si>
  <si>
    <t>至尊帝王</t>
  </si>
  <si>
    <t>炼金术师怀表</t>
  </si>
  <si>
    <t>智障阿姨的触手</t>
  </si>
  <si>
    <t>万事屋的小黄花</t>
  </si>
  <si>
    <t>枫九道的痛苦绝望</t>
  </si>
  <si>
    <t>天际霓虹</t>
  </si>
  <si>
    <t>极寒之冰</t>
  </si>
  <si>
    <t>苹果10袋</t>
  </si>
  <si>
    <t>摔不烂的手机</t>
  </si>
  <si>
    <t>火焰之魂</t>
  </si>
  <si>
    <t>永冬之匣</t>
  </si>
  <si>
    <t>奥术核心</t>
  </si>
  <si>
    <t>黄金动力炉</t>
  </si>
  <si>
    <t>岩石助推器</t>
  </si>
  <si>
    <t>冰霜指环</t>
  </si>
  <si>
    <t>熔岩火链</t>
  </si>
  <si>
    <t>双子手镯</t>
  </si>
  <si>
    <t>角斗士的面甲</t>
  </si>
  <si>
    <t>角斗士的长袍</t>
  </si>
  <si>
    <t>角斗士的足具</t>
  </si>
  <si>
    <t>角斗士的指环</t>
  </si>
  <si>
    <t>角斗士的挂坠</t>
  </si>
  <si>
    <t>角斗士的手镯</t>
  </si>
  <si>
    <t>魔物角盔</t>
  </si>
  <si>
    <t>魔物披甲</t>
  </si>
  <si>
    <t>魔物长靴</t>
  </si>
  <si>
    <t>魔物指虎</t>
  </si>
  <si>
    <t>魔物项圈</t>
  </si>
  <si>
    <t>魔物护腕</t>
  </si>
  <si>
    <t>大银哥的战盔</t>
  </si>
  <si>
    <t>大银哥的战袍</t>
  </si>
  <si>
    <t>大银哥的战靴</t>
  </si>
  <si>
    <t>黑龙戒指</t>
  </si>
  <si>
    <t>黑龙项链</t>
  </si>
  <si>
    <t>黑龙手镯</t>
  </si>
  <si>
    <t>七彩之雾-神隐</t>
  </si>
  <si>
    <t>七彩之雾-庇护</t>
  </si>
  <si>
    <t>七彩之雾-迷踪</t>
  </si>
  <si>
    <t>七彩之雾-祝福</t>
  </si>
  <si>
    <t>七彩之雾-静心</t>
  </si>
  <si>
    <t>七彩之雾-冥想</t>
  </si>
  <si>
    <t>狂暴之盔</t>
  </si>
  <si>
    <t>狂暴之甲</t>
  </si>
  <si>
    <t>狂暴之靴</t>
  </si>
  <si>
    <t>狂暴之心</t>
  </si>
  <si>
    <t>狂暴之怒</t>
  </si>
  <si>
    <t>狂暴之魂</t>
  </si>
  <si>
    <t>魔物之源-霉毒</t>
  </si>
  <si>
    <t>魔物之源-发烧</t>
  </si>
  <si>
    <t>魔物之源-感染</t>
  </si>
  <si>
    <t>魔物之源-食屎</t>
  </si>
  <si>
    <t>魔物之源-出汗</t>
  </si>
  <si>
    <t>破烂的连击装置</t>
  </si>
  <si>
    <t>铜制的连击装置</t>
  </si>
  <si>
    <t>银制的连击装置</t>
  </si>
  <si>
    <t>铂金的连击装置</t>
  </si>
  <si>
    <t>超古代装置</t>
  </si>
  <si>
    <t>魔导神器</t>
  </si>
  <si>
    <t>吸血鬼的渴望</t>
  </si>
  <si>
    <t>力之重槌</t>
  </si>
  <si>
    <t>忍者之赐</t>
  </si>
  <si>
    <t>聪聪君布鲁方哥</t>
  </si>
  <si>
    <t>极限的风</t>
  </si>
  <si>
    <t>远古战神</t>
  </si>
  <si>
    <t>兔子的愤怒</t>
  </si>
  <si>
    <t>拉卡尼休之心</t>
  </si>
  <si>
    <t>乌尔班二世的铁处女</t>
  </si>
  <si>
    <t>阿波罗之赐</t>
  </si>
  <si>
    <t>阿尔忒弥斯之赐</t>
  </si>
  <si>
    <t>勒托之赐</t>
  </si>
  <si>
    <t>罗格的丝绸手帕</t>
  </si>
  <si>
    <t>迟缓者拉格的不屈意志</t>
  </si>
  <si>
    <t>超级加农炮</t>
  </si>
  <si>
    <t>老头子1星</t>
  </si>
  <si>
    <t>老头子2星</t>
  </si>
  <si>
    <t>老头子3星</t>
  </si>
  <si>
    <t>老头子4星</t>
  </si>
  <si>
    <t>老头子5星</t>
  </si>
  <si>
    <t>老头子6星</t>
  </si>
  <si>
    <t>老头子7星</t>
  </si>
  <si>
    <t>英雄无敌</t>
  </si>
  <si>
    <t>战皇无双</t>
  </si>
  <si>
    <t>血王</t>
    <phoneticPr fontId="1" type="noConversion"/>
  </si>
  <si>
    <t>提高[0.5*lv+3]点法力值上限（可叠加）</t>
    <phoneticPr fontId="1" type="noConversion"/>
  </si>
  <si>
    <t>提高10点法力值上限和5%持续伤害（可叠加）</t>
    <phoneticPr fontId="1" type="noConversion"/>
  </si>
  <si>
    <t>5</t>
    <phoneticPr fontId="1" type="noConversion"/>
  </si>
  <si>
    <t>10</t>
    <phoneticPr fontId="1" type="noConversion"/>
  </si>
  <si>
    <t>大地守护</t>
    <phoneticPr fontId="1" type="noConversion"/>
  </si>
  <si>
    <t>七彩光芒</t>
    <phoneticPr fontId="1" type="noConversion"/>
  </si>
  <si>
    <t>黑暗料理</t>
    <phoneticPr fontId="1" type="noConversion"/>
  </si>
  <si>
    <t>被攻击时50%几率附加2层【重伤】</t>
    <phoneticPr fontId="1" type="noConversion"/>
  </si>
  <si>
    <t>被攻击时50%几率附加2层【虚弱】</t>
    <phoneticPr fontId="1" type="noConversion"/>
  </si>
  <si>
    <t>被攻击时50%几率附加2层【破防】</t>
    <phoneticPr fontId="1" type="noConversion"/>
  </si>
  <si>
    <t>迷踪1</t>
  </si>
  <si>
    <t>迷踪1</t>
    <phoneticPr fontId="1" type="noConversion"/>
  </si>
  <si>
    <t>迷踪2</t>
  </si>
  <si>
    <t>迷踪2</t>
    <phoneticPr fontId="1" type="noConversion"/>
  </si>
  <si>
    <t>被攻击时对敌方造成10%*护甲+10%*魔抗的伤害</t>
    <phoneticPr fontId="1" type="noConversion"/>
  </si>
  <si>
    <t>提高60点体力和精神，被攻击时对敌方造成10%*护甲+10%*魔抗的伤害</t>
    <phoneticPr fontId="1" type="noConversion"/>
  </si>
  <si>
    <t>提高35%pvp减伤</t>
  </si>
  <si>
    <t>提高35%pvp减伤</t>
    <phoneticPr fontId="1" type="noConversion"/>
  </si>
  <si>
    <t>卫青青的祝福</t>
    <phoneticPr fontId="1" type="noConversion"/>
  </si>
  <si>
    <t>被攻击时有几率获得强力随机效果（带上他冒险可能会增加装备获取的概率）</t>
    <phoneticPr fontId="1" type="noConversion"/>
  </si>
  <si>
    <t>提高60点体力和精神</t>
    <phoneticPr fontId="1" type="noConversion"/>
  </si>
  <si>
    <t>被攻击时对敌方造成10%*护甲+10%*魔抗的伤害</t>
    <phoneticPr fontId="1" type="noConversion"/>
  </si>
  <si>
    <t>60</t>
    <phoneticPr fontId="1" type="noConversion"/>
  </si>
  <si>
    <t>35</t>
    <phoneticPr fontId="1" type="noConversion"/>
  </si>
  <si>
    <t>水</t>
    <phoneticPr fontId="1" type="noConversion"/>
  </si>
  <si>
    <t>行动时提高[4+2*lv]点队伍法术强度和[30+15*lv]点速度（可叠加）</t>
    <phoneticPr fontId="1" type="noConversion"/>
  </si>
  <si>
    <t>行动时$y50%$w几率降低敌方[0.6+0.1*lv]%治疗效果（可叠加）</t>
    <phoneticPr fontId="1" type="noConversion"/>
  </si>
  <si>
    <t>海贼的荣耀</t>
    <phoneticPr fontId="1" type="noConversion"/>
  </si>
  <si>
    <t>海贼的荣耀1</t>
    <phoneticPr fontId="1" type="noConversion"/>
  </si>
  <si>
    <t>被攻击时50%几率降低敌方1.5%治疗效果【可叠加】</t>
    <phoneticPr fontId="1" type="noConversion"/>
  </si>
  <si>
    <t>-150</t>
    <phoneticPr fontId="1" type="noConversion"/>
  </si>
  <si>
    <t>-10</t>
    <phoneticPr fontId="1" type="noConversion"/>
  </si>
  <si>
    <t>【铁钩手】无视敌方10%护甲</t>
    <phoneticPr fontId="1" type="noConversion"/>
  </si>
  <si>
    <t>【铁钩手】无视敌方10%护甲（最多1层），被攻击时50%几率降低敌方1.5%治疗效果（可叠加）</t>
    <phoneticPr fontId="1" type="noConversion"/>
  </si>
  <si>
    <t>【铁钩手】无视敌方10%护甲</t>
    <phoneticPr fontId="1" type="noConversion"/>
  </si>
  <si>
    <t>小鸡快跑</t>
  </si>
  <si>
    <t>小鸡快跑</t>
    <phoneticPr fontId="1" type="noConversion"/>
  </si>
  <si>
    <t>被攻击时提高200点速度（最多1层）</t>
  </si>
  <si>
    <t>被攻击时提高200点速度（最多1层）</t>
    <phoneticPr fontId="1" type="noConversion"/>
  </si>
  <si>
    <t>飞如闪电</t>
  </si>
  <si>
    <t>飞如闪电</t>
    <phoneticPr fontId="1" type="noConversion"/>
  </si>
  <si>
    <t>月下狼嚎</t>
    <phoneticPr fontId="1" type="noConversion"/>
  </si>
  <si>
    <t>超声震波</t>
  </si>
  <si>
    <t>超声震波</t>
    <phoneticPr fontId="1" type="noConversion"/>
  </si>
  <si>
    <t>嗜血本能</t>
  </si>
  <si>
    <t>嗜血本能</t>
    <phoneticPr fontId="1" type="noConversion"/>
  </si>
  <si>
    <t>血流不止</t>
    <phoneticPr fontId="1" type="noConversion"/>
  </si>
  <si>
    <t>亡灵气息</t>
    <phoneticPr fontId="1" type="noConversion"/>
  </si>
  <si>
    <t>空洞骨架</t>
  </si>
  <si>
    <t>空洞骨架</t>
    <phoneticPr fontId="1" type="noConversion"/>
  </si>
  <si>
    <t>前3回合提高1000点速度</t>
  </si>
  <si>
    <t>前3回合提高1000点速度</t>
    <phoneticPr fontId="1" type="noConversion"/>
  </si>
  <si>
    <t>行动时50%几率附加1层【流血】</t>
    <phoneticPr fontId="1" type="noConversion"/>
  </si>
  <si>
    <t>被攻击时50%几率附加1层【中毒】</t>
    <phoneticPr fontId="1" type="noConversion"/>
  </si>
  <si>
    <t>被攻击时本回合降低敌方3%命中率（可叠加）</t>
    <phoneticPr fontId="1" type="noConversion"/>
  </si>
  <si>
    <t>被攻击时本回合提高3%回避率</t>
  </si>
  <si>
    <t>被攻击时本回合提高3%回避率</t>
    <phoneticPr fontId="1" type="noConversion"/>
  </si>
  <si>
    <t>每5000点血量提高1点暗属性抗性，每10000点血量提高1点火属性抗性和冰属性抗性</t>
  </si>
  <si>
    <t>每5000点血量提高1点暗属性抗性，每10000点血量提高1点火属性抗性和冰属性抗性</t>
    <phoneticPr fontId="1" type="noConversion"/>
  </si>
  <si>
    <t>血量低于30%时，提高30%技能伤害和治疗效果</t>
  </si>
  <si>
    <t>血量低于30%时，提高30%技能伤害和治疗效果</t>
    <phoneticPr fontId="1" type="noConversion"/>
  </si>
  <si>
    <t>行动时10%获得1层【迅捷】，10%获得1层【暴怒】</t>
    <phoneticPr fontId="1" type="noConversion"/>
  </si>
  <si>
    <t>血量低于30%时，提高[10+2*lv]%吸血</t>
    <phoneticPr fontId="1" type="noConversion"/>
  </si>
  <si>
    <t>矩阵效能</t>
    <phoneticPr fontId="1" type="noConversion"/>
  </si>
  <si>
    <t>被攻击时使【魔网矩阵】伤害提高3%</t>
    <phoneticPr fontId="1" type="noConversion"/>
  </si>
  <si>
    <t>造成$r[80*lv]+[100+35*lv]*攻击力$w的物理伤害</t>
    <phoneticPr fontId="1" type="noConversion"/>
  </si>
  <si>
    <t>100*lv+(100+70*lv)/100*a.ad</t>
    <phoneticPr fontId="1" type="noConversion"/>
  </si>
  <si>
    <t>100*lv+(100+45*lv)/100*a.ap</t>
    <phoneticPr fontId="1" type="noConversion"/>
  </si>
  <si>
    <t>100*lv+(100+90*lv)/100*a.ap</t>
    <phoneticPr fontId="1" type="noConversion"/>
  </si>
  <si>
    <t>80*lv+(100+35*lv)/100*a.ad</t>
    <phoneticPr fontId="1" type="noConversion"/>
  </si>
  <si>
    <t>第十回合提高200点冰属性强化和暗属性强化，降低敌方50%所有伤害</t>
    <phoneticPr fontId="1" type="noConversion"/>
  </si>
  <si>
    <t>提高25%闪避，200%命中</t>
    <phoneticPr fontId="1" type="noConversion"/>
  </si>
  <si>
    <t>第十回合提高200点冰属性强化和暗属性强化，</t>
    <phoneticPr fontId="1" type="noConversion"/>
  </si>
  <si>
    <t>降低敌方50%所有伤害</t>
  </si>
  <si>
    <t>冰暗融合</t>
    <phoneticPr fontId="1" type="noConversion"/>
  </si>
  <si>
    <t>一拥而上</t>
    <phoneticPr fontId="1" type="noConversion"/>
  </si>
  <si>
    <t>三眼战歌</t>
    <phoneticPr fontId="1" type="noConversion"/>
  </si>
  <si>
    <t>造成$r[80*lv]+[100+65*lv]*攻击力$w的物理伤害</t>
    <phoneticPr fontId="1" type="noConversion"/>
  </si>
  <si>
    <t>80*lv+(100+65*lv)/100*a.ad</t>
    <phoneticPr fontId="1" type="noConversion"/>
  </si>
  <si>
    <t>造成$r[80*lv]+[100+25*lv]*攻击力$w的物理伤害，并附加2层【虚弱】，获得5层【神圣之光】</t>
    <phoneticPr fontId="1" type="noConversion"/>
  </si>
  <si>
    <t>雷</t>
    <phoneticPr fontId="1" type="noConversion"/>
  </si>
  <si>
    <t>天雷</t>
    <phoneticPr fontId="1" type="noConversion"/>
  </si>
  <si>
    <t>法爷的强化</t>
    <phoneticPr fontId="1" type="noConversion"/>
  </si>
  <si>
    <t>听说你很硬</t>
    <phoneticPr fontId="1" type="noConversion"/>
  </si>
  <si>
    <t>冰天雪地</t>
    <phoneticPr fontId="1" type="noConversion"/>
  </si>
  <si>
    <t>提高10%技能伤害和治疗效果</t>
    <phoneticPr fontId="1" type="noConversion"/>
  </si>
  <si>
    <t>提高16%技能伤害和治疗效果</t>
    <phoneticPr fontId="1" type="noConversion"/>
  </si>
  <si>
    <t>每1500点法术穿透性提高1点冰属性强化（可叠加）</t>
    <phoneticPr fontId="1" type="noConversion"/>
  </si>
  <si>
    <t>每1000点法术穿透性提高1点冰属性强化（可叠加）</t>
    <phoneticPr fontId="1" type="noConversion"/>
  </si>
  <si>
    <t>冰天雪地1</t>
    <phoneticPr fontId="1" type="noConversion"/>
  </si>
  <si>
    <t>被攻击时附加5层【虚弱】</t>
    <phoneticPr fontId="1" type="noConversion"/>
  </si>
  <si>
    <t xml:space="preserve">上阵法师英雄全技能lv+1 </t>
    <phoneticPr fontId="1" type="noConversion"/>
  </si>
  <si>
    <t>上阵法师英雄全技能lv+2</t>
  </si>
  <si>
    <t xml:space="preserve">行动时5%几率无视敌方30%护甲和魔抗 </t>
    <phoneticPr fontId="1" type="noConversion"/>
  </si>
  <si>
    <t>行动时10%几率无视敌方30%护甲和魔抗</t>
    <phoneticPr fontId="1" type="noConversion"/>
  </si>
  <si>
    <t>5,0,1</t>
    <phoneticPr fontId="1" type="noConversion"/>
  </si>
  <si>
    <t>5,0,2</t>
    <phoneticPr fontId="1" type="noConversion"/>
  </si>
  <si>
    <t>-30</t>
    <phoneticPr fontId="1" type="noConversion"/>
  </si>
  <si>
    <t>1000</t>
    <phoneticPr fontId="1" type="noConversion"/>
  </si>
  <si>
    <t>1600</t>
    <phoneticPr fontId="1" type="noConversion"/>
  </si>
  <si>
    <t>a.api/15000</t>
    <phoneticPr fontId="1" type="noConversion"/>
  </si>
  <si>
    <t>a.api/10000</t>
    <phoneticPr fontId="1" type="noConversion"/>
  </si>
  <si>
    <t>战斗鸡</t>
  </si>
  <si>
    <t>爪黄飞电</t>
  </si>
  <si>
    <t>吸血蝙蝠</t>
  </si>
  <si>
    <t>粉红骷髅</t>
  </si>
  <si>
    <t>狂暴狼人</t>
  </si>
  <si>
    <t>肖gay</t>
  </si>
  <si>
    <t>破烂的铁钩</t>
  </si>
  <si>
    <t>神秘果实</t>
  </si>
  <si>
    <t>堕落之羽</t>
  </si>
  <si>
    <t>纯洁之羽</t>
  </si>
  <si>
    <t>爪黄飞电精魄</t>
  </si>
  <si>
    <t>枯骨堆</t>
  </si>
  <si>
    <t>青草</t>
  </si>
  <si>
    <t>粉色布带</t>
  </si>
  <si>
    <t>血袋</t>
  </si>
  <si>
    <t>雷电之核</t>
  </si>
  <si>
    <t>大地守护碎片</t>
  </si>
  <si>
    <t>骑姐法杖碎片</t>
  </si>
  <si>
    <t>玲珑塔碎片</t>
  </si>
  <si>
    <t>锁魂钵碎片</t>
  </si>
  <si>
    <t>骑姐护符碎片</t>
  </si>
  <si>
    <t>骑姐之饰碎片</t>
  </si>
  <si>
    <t>复仇铁钩卷轴</t>
  </si>
  <si>
    <t>堕天使之杖卷轴</t>
  </si>
  <si>
    <t>炽天使之杖卷轴</t>
  </si>
  <si>
    <t>宠物蛋-爪黄飞电</t>
  </si>
  <si>
    <t>宠物蛋-吸血蝙蝠</t>
  </si>
  <si>
    <t>宠物蛋-粉红骷髅</t>
  </si>
  <si>
    <t>大地守护</t>
  </si>
  <si>
    <t>骑姐法杖</t>
  </si>
  <si>
    <t>角斗士的精钢短剑</t>
  </si>
  <si>
    <t>复仇铁钩</t>
  </si>
  <si>
    <t>魔力重生</t>
  </si>
  <si>
    <t>锁魂钵</t>
  </si>
  <si>
    <t>卫青青的祝福</t>
  </si>
  <si>
    <t>骑姐护符</t>
  </si>
  <si>
    <t>骑姐之饰</t>
  </si>
  <si>
    <t>紫色闪电</t>
  </si>
  <si>
    <t>角斗士的护符</t>
  </si>
  <si>
    <t>角斗士的挂饰</t>
  </si>
  <si>
    <t>角斗士1</t>
    <phoneticPr fontId="1" type="noConversion"/>
  </si>
  <si>
    <t>角斗士2</t>
    <phoneticPr fontId="1" type="noConversion"/>
  </si>
  <si>
    <t>提高20点全属性抗性</t>
    <phoneticPr fontId="1" type="noConversion"/>
  </si>
  <si>
    <t>被攻击时有10%几率提高1000点体力和精神（持续1回合）</t>
    <phoneticPr fontId="1" type="noConversion"/>
  </si>
  <si>
    <t>20</t>
    <phoneticPr fontId="1" type="noConversion"/>
  </si>
  <si>
    <t>1000</t>
    <phoneticPr fontId="1" type="noConversion"/>
  </si>
  <si>
    <t>免伤</t>
    <phoneticPr fontId="1" type="noConversion"/>
  </si>
  <si>
    <t>降低敌方[2*lv]%所有伤害</t>
    <phoneticPr fontId="1" type="noConversion"/>
  </si>
  <si>
    <t>2*lv</t>
    <phoneticPr fontId="1" type="noConversion"/>
  </si>
  <si>
    <t>蝙蝠碑</t>
  </si>
  <si>
    <t>光明之核</t>
  </si>
  <si>
    <t>黑暗之核</t>
  </si>
  <si>
    <t>大地之核</t>
  </si>
  <si>
    <t>金杯</t>
  </si>
  <si>
    <t>魔力之源</t>
  </si>
  <si>
    <t>堕天使之杖</t>
  </si>
  <si>
    <t>炽天使之杖</t>
  </si>
  <si>
    <t>金色闪光</t>
    <phoneticPr fontId="1" type="noConversion"/>
  </si>
  <si>
    <t>自身【秘术射击】提高[16+2*lv]%技能伤害</t>
    <phoneticPr fontId="1" type="noConversion"/>
  </si>
  <si>
    <t>1600+200*lv</t>
    <phoneticPr fontId="1" type="noConversion"/>
  </si>
  <si>
    <t>自身【精准弹幕】提高[14+6*lv]%技能伤害</t>
    <phoneticPr fontId="1" type="noConversion"/>
  </si>
  <si>
    <t>1400+600*lv</t>
    <phoneticPr fontId="1" type="noConversion"/>
  </si>
  <si>
    <t>减少[380-20*lv]点精神，提高[3.5+0.5*lv]%所有伤害（可叠加,最多5层）</t>
    <phoneticPr fontId="1" type="noConversion"/>
  </si>
  <si>
    <t>20*lv-380</t>
    <phoneticPr fontId="1" type="noConversion"/>
  </si>
  <si>
    <t>$y17%$w几率造成$b[360+42*lv]+[(120+14*lv)]%*法术强度$w的魔法伤害</t>
    <phoneticPr fontId="1" type="noConversion"/>
  </si>
  <si>
    <t>自身【重隶】提高[(26+6*lv)]%技能伤害</t>
    <phoneticPr fontId="1" type="noConversion"/>
  </si>
  <si>
    <t>600*lv+2600</t>
    <phoneticPr fontId="1" type="noConversion"/>
  </si>
  <si>
    <t>360+42*lv+(120+14*lv)/100*a.ap</t>
    <phoneticPr fontId="1" type="noConversion"/>
  </si>
  <si>
    <t>提高[5*lv+15]点智力（可叠加）</t>
    <phoneticPr fontId="1" type="noConversion"/>
  </si>
  <si>
    <t>自身【单刀赴会】提高[1+lv]%吸血和[600+100*lv]点护甲穿透</t>
    <phoneticPr fontId="1" type="noConversion"/>
  </si>
  <si>
    <t>自身【火箭重锤】提高[5+5*lv]%技能伤害，并附加1层【减速】</t>
    <phoneticPr fontId="1" type="noConversion"/>
  </si>
  <si>
    <t>500+500*lv</t>
    <phoneticPr fontId="1" type="noConversion"/>
  </si>
  <si>
    <t>每次行动回复[0.5+0.05*lv]%*最大生命值的血量，这个效果有5%可能提高10倍，但是下回合使用【干杯！】</t>
    <phoneticPr fontId="1" type="noConversion"/>
  </si>
  <si>
    <t>每次行动回复[1.5+0.15*lv]%*最大生命值的血量，这个效果有5%可能提高10倍，但是下回合释放【干杯！】</t>
    <phoneticPr fontId="1" type="noConversion"/>
  </si>
  <si>
    <t>古娜拉</t>
  </si>
  <si>
    <t>发动回合每次行动回复5点法力值</t>
  </si>
  <si>
    <t>manaup</t>
  </si>
  <si>
    <t>行动回法力</t>
  </si>
  <si>
    <t>提高[15+5*lv]点队伍法术强度（可叠加）</t>
    <phoneticPr fontId="1" type="noConversion"/>
  </si>
  <si>
    <t>提高[12+4*lv]点队伍法术强度（可叠加）</t>
    <phoneticPr fontId="1" type="noConversion"/>
  </si>
  <si>
    <t>提高[9+3*lv]点队伍法术强度（可叠加）</t>
    <phoneticPr fontId="1" type="noConversion"/>
  </si>
  <si>
    <t>提高[9+3*lv]点队伍攻击力（可叠加）</t>
    <phoneticPr fontId="1" type="noConversion"/>
  </si>
  <si>
    <t>提高[12+4*lv]点队伍攻击力（可叠加）</t>
    <phoneticPr fontId="1" type="noConversion"/>
  </si>
  <si>
    <t>9+3*lv</t>
    <phoneticPr fontId="1" type="noConversion"/>
  </si>
  <si>
    <t>12+4*lv</t>
    <phoneticPr fontId="1" type="noConversion"/>
  </si>
  <si>
    <t>暴击时提高[20+30*lv]点速度（可叠加，最多10层）</t>
    <phoneticPr fontId="1" type="noConversion"/>
  </si>
  <si>
    <t>【弱化连锁】造成$r[100+50*lv]+[(90+5*lv)]%*攻击力$w的光属性物理伤害</t>
    <phoneticPr fontId="1" type="noConversion"/>
  </si>
  <si>
    <t>自身【提炉枪】提高[14+4*lv]%技能伤害</t>
    <phoneticPr fontId="1" type="noConversion"/>
  </si>
  <si>
    <t>100+50*lv+(90+5*lv)/100*a.ad</t>
    <phoneticPr fontId="1" type="noConversion"/>
  </si>
  <si>
    <t>1400+400*lv</t>
    <phoneticPr fontId="1" type="noConversion"/>
  </si>
  <si>
    <t>【控制连锁】造成$b[150+50*lv]+[(84+8*lv)]%*法术强度$w的魔法伤害</t>
    <phoneticPr fontId="1" type="noConversion"/>
  </si>
  <si>
    <t>【控制连锁】造成$r[430+10*lv]+[(160+15*lv)]%*攻击力$w的冰属性物理伤害，并附加1层【虚弱】</t>
    <phoneticPr fontId="1" type="noConversion"/>
  </si>
  <si>
    <t>【症状连锁】消耗10点法力值造成$r[510+20*lv]+[(120+20*lv)]%*攻击力$w的暗属性物理伤害，附加1层【中毒】</t>
    <phoneticPr fontId="1" type="noConversion"/>
  </si>
  <si>
    <t>【弱化连锁】造成$r[220+10*lv]+[(120+30*lv)]%*攻击力$w的暗属性物理伤害，附加1层【流血】</t>
    <phoneticPr fontId="1" type="noConversion"/>
  </si>
  <si>
    <t>510+20*lv+(120+20*lv)/100*a.ad</t>
    <phoneticPr fontId="1" type="noConversion"/>
  </si>
  <si>
    <t>220+10*lv+(120+30*lv)/100*a.ad</t>
    <phoneticPr fontId="1" type="noConversion"/>
  </si>
  <si>
    <t>提高[30+6*lv]队伍攻击力和队伍法术强度（可叠加）</t>
    <phoneticPr fontId="1" type="noConversion"/>
  </si>
  <si>
    <t>30+6*lv</t>
    <phoneticPr fontId="1" type="noConversion"/>
  </si>
  <si>
    <t>$y12%$w几率造成$r[400+20*lv]+[(210+10*lv)]%*攻击力+[(66+6*lv)]%*法术强度$w的物理伤害，视为【普通攻击】</t>
    <phoneticPr fontId="1" type="noConversion"/>
  </si>
  <si>
    <t>400+20*lv+(210+10*lv)/100*a.ad+(66+6*lv)/100*a.ap</t>
    <phoneticPr fontId="1" type="noConversion"/>
  </si>
  <si>
    <t>提高[15+5*lv]点体力和精神（可叠加）</t>
    <phoneticPr fontId="1" type="noConversion"/>
  </si>
  <si>
    <t>$y8%$w几率消耗30点能量造成$b[400+10*lv]+[(110+15*lv)]%*攻击力+[400]%*法术强度$w的暗属性魔法伤害，必定暴击</t>
    <phoneticPr fontId="1" type="noConversion"/>
  </si>
  <si>
    <t>自身【万象支配】释放后获得5点冰属性强化和5点冰属性抗性（可叠加）</t>
    <phoneticPr fontId="1" type="noConversion"/>
  </si>
  <si>
    <t>行动时附加1~3999点随机伤害（可叠加，最多10层）</t>
    <phoneticPr fontId="1" type="noConversion"/>
  </si>
  <si>
    <t>释放连锁技时有[5+0.5*lv]%的概率再释放一次该连锁技</t>
    <phoneticPr fontId="1" type="noConversion"/>
  </si>
  <si>
    <t>5+0.5*lv</t>
    <phoneticPr fontId="1" type="noConversion"/>
  </si>
  <si>
    <t>【吟唱】本回合每次行动回复5点能量和法力，每4级获得5层【迅捷】</t>
    <phoneticPr fontId="1" type="noConversion"/>
  </si>
  <si>
    <t>【吟唱】提高[5*lv]点队伍法术强度，每4级获得2层【法强强化】</t>
    <phoneticPr fontId="1" type="noConversion"/>
  </si>
  <si>
    <t>【吟唱】提高[5*lv]点队伍攻击力，每4级获得2层【攻击强化】,</t>
    <phoneticPr fontId="1" type="noConversion"/>
  </si>
  <si>
    <t>【吟唱】提高[0.1*lv]%暴击，每4级开局获得2层【暴怒】,</t>
    <phoneticPr fontId="1" type="noConversion"/>
  </si>
  <si>
    <t>【吟唱】提高[0.1*lv]%吸血，每4级获得2层【吸血鬼】</t>
    <phoneticPr fontId="1" type="noConversion"/>
  </si>
  <si>
    <t>【吟唱】提高[20*lv]点速度，每4级获得2层【迅捷】</t>
    <phoneticPr fontId="1" type="noConversion"/>
  </si>
  <si>
    <t>【吟唱】提高[20+3*lv]%治疗效果，每4级获得1层【再生】</t>
    <phoneticPr fontId="1" type="noConversion"/>
  </si>
  <si>
    <t>血量低于30%时，爆发强大的混乱能量变身，提高[10*lv+100]点队伍攻击力，行动时附加$o[0.2*lv+1]%敌方最大生命值$w的真实伤害</t>
    <phoneticPr fontId="1" type="noConversion"/>
  </si>
  <si>
    <t>(0.2*lv+1)/100*b.hp</t>
    <phoneticPr fontId="1" type="noConversion"/>
  </si>
  <si>
    <t>“当然是选择原谅她”，绿发游侠一边说着一边掏出的弓箭。自身【爆裂射击】释放后本回合提高[2+1*lv]%暴击和[2+2*lv]%暴击伤害（最多1层）</t>
    <rPh sb="1" eb="2">
      <t>dang ran</t>
    </rPh>
    <rPh sb="3" eb="4">
      <t>shi</t>
    </rPh>
    <rPh sb="4" eb="5">
      <t>xuan z</t>
    </rPh>
    <rPh sb="6" eb="7">
      <t>yuan liang ta</t>
    </rPh>
    <rPh sb="11" eb="12">
      <t>lü fa</t>
    </rPh>
    <rPh sb="13" eb="14">
      <t>you xia</t>
    </rPh>
    <rPh sb="15" eb="16">
      <t>yi bian</t>
    </rPh>
    <rPh sb="17" eb="18">
      <t>shuo zhe</t>
    </rPh>
    <rPh sb="19" eb="20">
      <t>yi bian</t>
    </rPh>
    <rPh sb="21" eb="22">
      <t>tao chu</t>
    </rPh>
    <rPh sb="23" eb="24">
      <t>d</t>
    </rPh>
    <rPh sb="24" eb="25">
      <t>gong jian</t>
    </rPh>
    <phoneticPr fontId="1" type="noConversion"/>
  </si>
  <si>
    <t>血量</t>
  </si>
  <si>
    <t>health</t>
  </si>
  <si>
    <t>3%敌方最大生命值</t>
    <phoneticPr fontId="1" type="noConversion"/>
  </si>
  <si>
    <t>2.5%敌方最大生命值+3%攻击力</t>
    <phoneticPr fontId="1" type="noConversion"/>
  </si>
  <si>
    <t>2.5%敌方最大生命值+3%法术强度</t>
    <phoneticPr fontId="1" type="noConversion"/>
  </si>
  <si>
    <t>行动时受到2.5%最大生命值的伤害</t>
    <phoneticPr fontId="1" type="noConversion"/>
  </si>
  <si>
    <t>3/100*b.hp</t>
  </si>
  <si>
    <t>2.5/100*b.hp+3/100*a.team_ad</t>
  </si>
  <si>
    <t>2.5/100*b.hp+3/100*a.team_ap</t>
  </si>
  <si>
    <t>2.5/100*b.hp</t>
  </si>
  <si>
    <t>70</t>
    <phoneticPr fontId="1" type="noConversion"/>
  </si>
  <si>
    <t>行动时5%几率释放【闪电箭】，造成200%*法术强度的光属性魔法伤害，降低敌方10点光属性抗性和100点速度(最多20层)</t>
    <phoneticPr fontId="1" type="noConversion"/>
  </si>
  <si>
    <t>提高[4.5+0.5*lv]点冰属性抗性和光属性抗性（可叠加）</t>
    <phoneticPr fontId="1" type="noConversion"/>
  </si>
  <si>
    <t>4.5+0.5*lv</t>
    <phoneticPr fontId="1" type="noConversion"/>
  </si>
  <si>
    <t>提高[10*lv]点精神，提高[1*lv]点冰属性抗性和火属性抗性（可叠加）</t>
    <phoneticPr fontId="1" type="noConversion"/>
  </si>
  <si>
    <t>神关羽</t>
    <phoneticPr fontId="1" type="noConversion"/>
  </si>
  <si>
    <t>尤瑞艾莉</t>
    <phoneticPr fontId="1" type="noConversion"/>
  </si>
  <si>
    <t>理查一世</t>
    <phoneticPr fontId="1" type="noConversion"/>
  </si>
  <si>
    <t>武神再临</t>
    <phoneticPr fontId="1" type="noConversion"/>
  </si>
  <si>
    <t>青龙狂舞</t>
    <phoneticPr fontId="1" type="noConversion"/>
  </si>
  <si>
    <t>飞龙在天</t>
    <phoneticPr fontId="1" type="noConversion"/>
  </si>
  <si>
    <t>龙腾万里</t>
    <phoneticPr fontId="1" type="noConversion"/>
  </si>
  <si>
    <t>女神之视</t>
    <phoneticPr fontId="1" type="noConversion"/>
  </si>
  <si>
    <t>守护之印</t>
    <phoneticPr fontId="1" type="noConversion"/>
  </si>
  <si>
    <t>狮心</t>
    <phoneticPr fontId="1" type="noConversion"/>
  </si>
  <si>
    <t>骄横</t>
    <phoneticPr fontId="1" type="noConversion"/>
  </si>
  <si>
    <t>骑士精神</t>
    <phoneticPr fontId="1" type="noConversion"/>
  </si>
  <si>
    <t>义薄云天</t>
    <phoneticPr fontId="1" type="noConversion"/>
  </si>
  <si>
    <t>【必杀技】$y12%$w几率造成$b600+[(60+15*lv)]%*法术强度$w的魔法伤害，并回复$g[45+3*lv]%*法术强度$w的生命值</t>
    <phoneticPr fontId="1" type="noConversion"/>
  </si>
  <si>
    <t>诸葛孔明</t>
    <phoneticPr fontId="1" type="noConversion"/>
  </si>
  <si>
    <t>俺敢在此饶舌！</t>
    <phoneticPr fontId="1" type="noConversion"/>
  </si>
  <si>
    <t>好喜欢人类，好喜欢看到他们受苦啊~</t>
    <phoneticPr fontId="1" type="noConversion"/>
  </si>
  <si>
    <t>东方才是我荣耀的终章</t>
    <phoneticPr fontId="1" type="noConversion"/>
  </si>
  <si>
    <t>观星</t>
    <phoneticPr fontId="1" type="noConversion"/>
  </si>
  <si>
    <t>八卦</t>
    <phoneticPr fontId="1" type="noConversion"/>
  </si>
  <si>
    <t>军师之智</t>
    <phoneticPr fontId="1" type="noConversion"/>
  </si>
  <si>
    <t>饶舌</t>
    <phoneticPr fontId="1" type="noConversion"/>
  </si>
  <si>
    <t>忠言</t>
    <phoneticPr fontId="1" type="noConversion"/>
  </si>
  <si>
    <t>魅惑魔音</t>
    <phoneticPr fontId="1" type="noConversion"/>
  </si>
  <si>
    <t>神核</t>
    <phoneticPr fontId="1" type="noConversion"/>
  </si>
  <si>
    <t>一路向东</t>
    <phoneticPr fontId="1" type="noConversion"/>
  </si>
  <si>
    <t>王之彷徨</t>
    <phoneticPr fontId="1" type="noConversion"/>
  </si>
  <si>
    <t>行动时提高[20+5*lv]点速度，智力和力量（可叠加）</t>
    <phoneticPr fontId="1" type="noConversion"/>
  </si>
  <si>
    <t>飞翔</t>
    <phoneticPr fontId="1" type="noConversion"/>
  </si>
  <si>
    <t>炼狱</t>
    <phoneticPr fontId="1" type="noConversion"/>
  </si>
  <si>
    <t>肖gay一击</t>
    <phoneticPr fontId="1" type="noConversion"/>
  </si>
  <si>
    <t>肖gay</t>
    <phoneticPr fontId="1" type="noConversion"/>
  </si>
  <si>
    <t>提高[4+4*lv]点精神（可叠加），10级后获得效果：当受到致命攻击时30%几率免疫直接伤害（一场战斗最多触发2次）</t>
    <phoneticPr fontId="1" type="noConversion"/>
  </si>
  <si>
    <t>提高[500+50*lv]点队伍攻击力和队伍法术强度</t>
    <phoneticPr fontId="1" type="noConversion"/>
  </si>
  <si>
    <t>提高[1+0.3*lv]%暴击和[5+2*lv]%暴击伤害</t>
    <phoneticPr fontId="1" type="noConversion"/>
  </si>
  <si>
    <t>自身【飞龙在天】伤害提高[35+3*lv]%</t>
    <phoneticPr fontId="1" type="noConversion"/>
  </si>
  <si>
    <t>提高[0.8+0.3*lv]%命中，[120+20*lv]点力量</t>
    <phoneticPr fontId="1" type="noConversion"/>
  </si>
  <si>
    <t>自身【飞龙在天】提高[6+lv]%吸血和[6+lv]%暴击伤害</t>
    <phoneticPr fontId="1" type="noConversion"/>
  </si>
  <si>
    <t>行动时提高[0.8+0.2*lv]%所有伤害</t>
    <phoneticPr fontId="1" type="noConversion"/>
  </si>
  <si>
    <t>提高[75*lv]点速度[15*lv]点智力和[30+lv]%持续伤害</t>
    <phoneticPr fontId="1" type="noConversion"/>
  </si>
  <si>
    <t>降低敌人[1+4*lv]%所有伤害</t>
    <phoneticPr fontId="1" type="noConversion"/>
  </si>
  <si>
    <t>自身【一路向东】伤害提高[26+2*lv]%并提高[50+6*lv]点速度</t>
    <phoneticPr fontId="1" type="noConversion"/>
  </si>
  <si>
    <t>被攻击时降低敌方[120+20*lv]点速度，提高[40+20*lv]点护甲和魔抗</t>
    <phoneticPr fontId="1" type="noConversion"/>
  </si>
  <si>
    <t>所有伤害提高[2+3*lv]%</t>
    <phoneticPr fontId="1" type="noConversion"/>
  </si>
  <si>
    <t>10000+3000*lv+(80+30*lv)/100*a.ap</t>
    <phoneticPr fontId="1" type="noConversion"/>
  </si>
  <si>
    <t>(700+35*lv)/100*a.ad</t>
    <phoneticPr fontId="1" type="noConversion"/>
  </si>
  <si>
    <t>4000+(600+30*lv)/100*a.ap</t>
    <phoneticPr fontId="1" type="noConversion"/>
  </si>
  <si>
    <t>(300+10*lv)/100*a.ad+(300+10*lv)/100*a.ap</t>
    <phoneticPr fontId="1" type="noConversion"/>
  </si>
  <si>
    <t>$y5%$w几率造成$r[100+14*lv]+[95+12*lv]%*攻击力+[126+16*lv]%*法术强度$w的光属性物理伤害</t>
    <phoneticPr fontId="1" type="noConversion"/>
  </si>
  <si>
    <t>$y15%$w几率造成$r[260+30*lv]+[(110+10*lv)]%*法术强度$w的冰属性物理伤害</t>
    <phoneticPr fontId="1" type="noConversion"/>
  </si>
  <si>
    <t>$y15%$w几率造成$r[700+35*lv]%*攻击力$w的物理伤害，附加3层【灼烧】</t>
    <phoneticPr fontId="1" type="noConversion"/>
  </si>
  <si>
    <t>$y15%$w几率造成$b造成4000+[600+30*lv]%*法术强度$w的魔法伤害</t>
    <phoneticPr fontId="1" type="noConversion"/>
  </si>
  <si>
    <t>$y15%$w几率造成$r造成[300+10*lv]%*攻击力+[300+10*lv]%*法术强度$w的物理伤害</t>
    <phoneticPr fontId="1" type="noConversion"/>
  </si>
  <si>
    <t>提高[1+0.5*lv]%闪避，[1000+150*lv]血量</t>
    <phoneticPr fontId="1" type="noConversion"/>
  </si>
  <si>
    <t>免疫</t>
    <phoneticPr fontId="1" type="noConversion"/>
  </si>
  <si>
    <t>神核</t>
    <phoneticPr fontId="1" type="noConversion"/>
  </si>
  <si>
    <t>被攻击时造成[5+5*lv]%*攻击力+[5+5*lv]%*法术强度的魔法伤害，5级后获得效果：当受到致命攻击时免疫直接伤害（一场战斗最多触发4次）</t>
    <phoneticPr fontId="1" type="noConversion"/>
  </si>
  <si>
    <t>无尽怒火</t>
    <phoneticPr fontId="1" type="noConversion"/>
  </si>
  <si>
    <t>自身【一路向东】伤害提高[26+2*lv]%</t>
    <phoneticPr fontId="1" type="noConversion"/>
  </si>
  <si>
    <t>提高[50+6*lv]点速度</t>
  </si>
  <si>
    <t>提高[40+20*lv]点护甲和魔抗</t>
  </si>
  <si>
    <t>被攻击时降低敌方[120+20*lv]点速度</t>
    <phoneticPr fontId="1" type="noConversion"/>
  </si>
  <si>
    <t>500+50*lv</t>
    <phoneticPr fontId="1" type="noConversion"/>
  </si>
  <si>
    <t>500+50*lv</t>
    <phoneticPr fontId="1" type="noConversion"/>
  </si>
  <si>
    <t>100+30*lv</t>
    <phoneticPr fontId="1" type="noConversion"/>
  </si>
  <si>
    <t>500+200*lv</t>
    <phoneticPr fontId="1" type="noConversion"/>
  </si>
  <si>
    <t>20+5*lv</t>
    <phoneticPr fontId="1" type="noConversion"/>
  </si>
  <si>
    <t>提高[400+100*lv]点附加伤害</t>
    <phoneticPr fontId="1" type="noConversion"/>
  </si>
  <si>
    <t>自身【女神之视】伤害提高[30+5*lv]%</t>
    <phoneticPr fontId="1" type="noConversion"/>
  </si>
  <si>
    <t>被攻击时造成[5+5*lv]%*攻击力+[5+5*lv]%*法术强度的魔法伤害</t>
    <phoneticPr fontId="1" type="noConversion"/>
  </si>
  <si>
    <t>20+5*lv</t>
    <phoneticPr fontId="1" type="noConversion"/>
  </si>
  <si>
    <t>20+5*lv</t>
    <phoneticPr fontId="1" type="noConversion"/>
  </si>
  <si>
    <t>400+100*lv</t>
    <phoneticPr fontId="1" type="noConversion"/>
  </si>
  <si>
    <t>3500+300*lv</t>
    <phoneticPr fontId="1" type="noConversion"/>
  </si>
  <si>
    <t>0.8+0.3*lv</t>
    <phoneticPr fontId="1" type="noConversion"/>
  </si>
  <si>
    <t>120+20*lv</t>
    <phoneticPr fontId="1" type="noConversion"/>
  </si>
  <si>
    <t>600+100*lv</t>
    <phoneticPr fontId="1" type="noConversion"/>
  </si>
  <si>
    <t>600+100*lv</t>
    <phoneticPr fontId="1" type="noConversion"/>
  </si>
  <si>
    <t>0.8+0.2*lv</t>
    <phoneticPr fontId="1" type="noConversion"/>
  </si>
  <si>
    <t>75*lv</t>
    <phoneticPr fontId="1" type="noConversion"/>
  </si>
  <si>
    <t>15*lv</t>
    <phoneticPr fontId="1" type="noConversion"/>
  </si>
  <si>
    <t>30+lv</t>
    <phoneticPr fontId="1" type="noConversion"/>
  </si>
  <si>
    <t>3000+500*lv</t>
    <phoneticPr fontId="1" type="noConversion"/>
  </si>
  <si>
    <t>(5+5*lv)/100*a.ad+(5+5*lv)/100*a.ap</t>
    <phoneticPr fontId="1" type="noConversion"/>
  </si>
  <si>
    <t>-1-4*lv</t>
    <phoneticPr fontId="1" type="noConversion"/>
  </si>
  <si>
    <t>2600+200*lv</t>
    <phoneticPr fontId="1" type="noConversion"/>
  </si>
  <si>
    <t>50+6*lv</t>
    <phoneticPr fontId="1" type="noConversion"/>
  </si>
  <si>
    <t>-120-20*lv</t>
    <phoneticPr fontId="1" type="noConversion"/>
  </si>
  <si>
    <t>40+20*lv</t>
    <phoneticPr fontId="1" type="noConversion"/>
  </si>
  <si>
    <t>2+3*lv</t>
    <phoneticPr fontId="1" type="noConversion"/>
  </si>
  <si>
    <t>icon95_107</t>
  </si>
  <si>
    <t>icon95_120</t>
  </si>
  <si>
    <t>icon95_108</t>
  </si>
  <si>
    <t>icon95_26</t>
  </si>
  <si>
    <t>icon95_27</t>
  </si>
  <si>
    <t>icon95_7</t>
  </si>
  <si>
    <t>icon95_100</t>
  </si>
  <si>
    <t>icon94_89</t>
  </si>
  <si>
    <t>icon90_52</t>
  </si>
  <si>
    <t>icon95_122</t>
  </si>
  <si>
    <t>icon86_51</t>
  </si>
  <si>
    <t>icon95_57</t>
  </si>
  <si>
    <t>免疫伤害</t>
    <phoneticPr fontId="1" type="noConversion"/>
  </si>
  <si>
    <t>磷光炸弹</t>
    <phoneticPr fontId="1" type="noConversion"/>
  </si>
  <si>
    <t>诡异的光</t>
    <phoneticPr fontId="1" type="noConversion"/>
  </si>
  <si>
    <t>先手制霸</t>
    <phoneticPr fontId="1" type="noConversion"/>
  </si>
  <si>
    <t>制霸全市</t>
    <phoneticPr fontId="1" type="noConversion"/>
  </si>
  <si>
    <t>撒旦之力</t>
    <phoneticPr fontId="1" type="noConversion"/>
  </si>
  <si>
    <t>行动时10%概率本回合提高1500点力量和智力,15%生命偷取</t>
    <phoneticPr fontId="1" type="noConversion"/>
  </si>
  <si>
    <t>烈火核心</t>
    <phoneticPr fontId="1" type="noConversion"/>
  </si>
  <si>
    <t>前5回合提高6000点附加伤害</t>
    <phoneticPr fontId="1" type="noConversion"/>
  </si>
  <si>
    <t>5回合后提高8%所有伤害</t>
    <phoneticPr fontId="1" type="noConversion"/>
  </si>
  <si>
    <t>灵能核心</t>
    <phoneticPr fontId="1" type="noConversion"/>
  </si>
  <si>
    <t>$y50%$w几率造成$r[500+80*lv]+[(100+15*lv)]%*攻击力$w的物理伤害，本回合提高[6+2*lv]%暴击，伤害提高[lv]%</t>
    <phoneticPr fontId="1" type="noConversion"/>
  </si>
  <si>
    <t>行动时20%概率提高2点光属性强化（最多叠加15层）</t>
    <phoneticPr fontId="1" type="noConversion"/>
  </si>
  <si>
    <t>反噬</t>
    <phoneticPr fontId="1" type="noConversion"/>
  </si>
  <si>
    <t>被攻击时偷取敌方20点力量和智力</t>
    <phoneticPr fontId="1" type="noConversion"/>
  </si>
  <si>
    <t>行动时回复8%最大生命值的血量</t>
    <phoneticPr fontId="1" type="noConversion"/>
  </si>
  <si>
    <t>提高8%所有伤害，提高8%附加伤害，降低敌方8%所有伤害</t>
    <phoneticPr fontId="1" type="noConversion"/>
  </si>
  <si>
    <t>全知全能</t>
    <phoneticPr fontId="1" type="noConversion"/>
  </si>
  <si>
    <t>圣洁之光</t>
    <phoneticPr fontId="1" type="noConversion"/>
  </si>
  <si>
    <t>一枚炸弹</t>
    <phoneticPr fontId="1" type="noConversion"/>
  </si>
  <si>
    <t>一枚火球</t>
    <phoneticPr fontId="1" type="noConversion"/>
  </si>
  <si>
    <t>灵能波动</t>
    <phoneticPr fontId="1" type="noConversion"/>
  </si>
  <si>
    <t>行动时15%概率释放【灵能波动】，造成$r300%*攻击力+300%*法术强度$w的暗属性物理伤害</t>
    <phoneticPr fontId="1" type="noConversion"/>
  </si>
  <si>
    <t>行动时20%概率释放【一枚炸弹】，造成10000点光属性魔法伤害</t>
    <phoneticPr fontId="1" type="noConversion"/>
  </si>
  <si>
    <t>造成10000点光属性魔法伤害</t>
  </si>
  <si>
    <t>行动时10%概率释放【一枚火球】，造成25000点火属性魔法伤害</t>
    <phoneticPr fontId="1" type="noConversion"/>
  </si>
  <si>
    <t>造成25000点火属性魔法伤害</t>
  </si>
  <si>
    <t>造成$r300%*攻击力+300%*法术强度$w的暗属性物理伤害</t>
  </si>
  <si>
    <t>3*a.ad+3*a.ap</t>
    <phoneticPr fontId="1" type="noConversion"/>
  </si>
  <si>
    <t>提高8%所有伤害，提高8%附加伤害</t>
    <phoneticPr fontId="1" type="noConversion"/>
  </si>
  <si>
    <t>降低敌方8%所有伤害</t>
  </si>
  <si>
    <t>降低敌方20点力量和智力</t>
    <phoneticPr fontId="1" type="noConversion"/>
  </si>
  <si>
    <t>被攻击时提高20点力量和智力</t>
    <phoneticPr fontId="1" type="noConversion"/>
  </si>
  <si>
    <t>35019</t>
    <phoneticPr fontId="1" type="noConversion"/>
  </si>
  <si>
    <t>35020</t>
    <phoneticPr fontId="1" type="noConversion"/>
  </si>
  <si>
    <t>8</t>
    <phoneticPr fontId="1" type="noConversion"/>
  </si>
  <si>
    <t>6000</t>
    <phoneticPr fontId="1" type="noConversion"/>
  </si>
  <si>
    <t>2</t>
    <phoneticPr fontId="1" type="noConversion"/>
  </si>
  <si>
    <t>35021</t>
    <phoneticPr fontId="1" type="noConversion"/>
  </si>
  <si>
    <t>1500</t>
    <phoneticPr fontId="1" type="noConversion"/>
  </si>
  <si>
    <t>1500</t>
    <phoneticPr fontId="1" type="noConversion"/>
  </si>
  <si>
    <t>1500</t>
    <phoneticPr fontId="1" type="noConversion"/>
  </si>
  <si>
    <t>20</t>
    <phoneticPr fontId="1" type="noConversion"/>
  </si>
  <si>
    <t>20</t>
    <phoneticPr fontId="1" type="noConversion"/>
  </si>
  <si>
    <t>8</t>
    <phoneticPr fontId="1" type="noConversion"/>
  </si>
  <si>
    <t>8</t>
    <phoneticPr fontId="1" type="noConversion"/>
  </si>
  <si>
    <t>-8</t>
    <phoneticPr fontId="1" type="noConversion"/>
  </si>
  <si>
    <t>-20</t>
    <phoneticPr fontId="1" type="noConversion"/>
  </si>
  <si>
    <t>-20</t>
    <phoneticPr fontId="1" type="noConversion"/>
  </si>
  <si>
    <t>8/100*a.hp</t>
    <phoneticPr fontId="1" type="noConversion"/>
  </si>
  <si>
    <t>被攻击时有10%概率获得1层【护卫】</t>
    <phoneticPr fontId="1" type="noConversion"/>
  </si>
  <si>
    <t>被攻击时降低敌方1%所有伤害（最多15层）</t>
    <phoneticPr fontId="1" type="noConversion"/>
  </si>
  <si>
    <t>【一路向东】降低敌方1%治疗效果</t>
    <phoneticPr fontId="1" type="noConversion"/>
  </si>
  <si>
    <t>【飞龙在天】降低敌方1000点护甲</t>
    <phoneticPr fontId="1" type="noConversion"/>
  </si>
  <si>
    <t>蹂躏</t>
    <phoneticPr fontId="1" type="noConversion"/>
  </si>
  <si>
    <t>龙吟</t>
    <phoneticPr fontId="1" type="noConversion"/>
  </si>
  <si>
    <t>魅惑之声</t>
    <phoneticPr fontId="1" type="noConversion"/>
  </si>
  <si>
    <t>羽衣</t>
    <phoneticPr fontId="1" type="noConversion"/>
  </si>
  <si>
    <t>-100</t>
    <phoneticPr fontId="1" type="noConversion"/>
  </si>
  <si>
    <t>-1000</t>
    <phoneticPr fontId="1" type="noConversion"/>
  </si>
  <si>
    <t>-1</t>
    <phoneticPr fontId="1" type="noConversion"/>
  </si>
  <si>
    <t>恶念之瞥</t>
    <phoneticPr fontId="1" type="noConversion"/>
  </si>
  <si>
    <t>int:position</t>
    <phoneticPr fontId="1" type="noConversion"/>
  </si>
  <si>
    <t>至尊帝王-爆炸</t>
    <phoneticPr fontId="1" type="noConversion"/>
  </si>
  <si>
    <t>至尊帝王-天谴</t>
    <phoneticPr fontId="1" type="noConversion"/>
  </si>
  <si>
    <t>至尊帝王-无敌</t>
    <phoneticPr fontId="1" type="noConversion"/>
  </si>
  <si>
    <t>行动时有8%几率附加50000点伤害</t>
    <phoneticPr fontId="1" type="noConversion"/>
  </si>
  <si>
    <t>行动时降低敌方2%所有伤害（最多30层）</t>
    <phoneticPr fontId="1" type="noConversion"/>
  </si>
  <si>
    <t>提高30%所有伤害，30%附加伤害，100%持续伤害，1000力量和智力</t>
    <phoneticPr fontId="1" type="noConversion"/>
  </si>
  <si>
    <t>30</t>
    <phoneticPr fontId="1" type="noConversion"/>
  </si>
  <si>
    <t>100</t>
    <phoneticPr fontId="1" type="noConversion"/>
  </si>
  <si>
    <t>1000</t>
    <phoneticPr fontId="1" type="noConversion"/>
  </si>
  <si>
    <t>1000</t>
    <phoneticPr fontId="1" type="noConversion"/>
  </si>
  <si>
    <t>-2</t>
    <phoneticPr fontId="1" type="noConversion"/>
  </si>
  <si>
    <t>50000</t>
    <phoneticPr fontId="1" type="noConversion"/>
  </si>
  <si>
    <t>至尊帝王-起源</t>
    <phoneticPr fontId="1" type="noConversion"/>
  </si>
  <si>
    <t>提高10%暴击，10%暴击伤害，20%PVP减伤</t>
    <phoneticPr fontId="1" type="noConversion"/>
  </si>
  <si>
    <t>起源</t>
    <phoneticPr fontId="1" type="noConversion"/>
  </si>
  <si>
    <t>10</t>
    <phoneticPr fontId="1" type="noConversion"/>
  </si>
  <si>
    <t>10</t>
    <phoneticPr fontId="1" type="noConversion"/>
  </si>
  <si>
    <t>20</t>
    <phoneticPr fontId="1" type="noConversion"/>
  </si>
  <si>
    <t>飞升</t>
    <phoneticPr fontId="1" type="noConversion"/>
  </si>
  <si>
    <t>华焰</t>
    <phoneticPr fontId="1" type="noConversion"/>
  </si>
  <si>
    <t>加护</t>
    <phoneticPr fontId="1" type="noConversion"/>
  </si>
  <si>
    <t>闪耀</t>
    <phoneticPr fontId="1" type="noConversion"/>
  </si>
  <si>
    <t>威仪</t>
    <phoneticPr fontId="1" type="noConversion"/>
  </si>
  <si>
    <t>光</t>
    <phoneticPr fontId="1" type="noConversion"/>
  </si>
  <si>
    <t>环</t>
    <phoneticPr fontId="1" type="noConversion"/>
  </si>
  <si>
    <t>提高6%闪避</t>
    <phoneticPr fontId="1" type="noConversion"/>
  </si>
  <si>
    <t>提高25点全属性抗性</t>
    <phoneticPr fontId="1" type="noConversion"/>
  </si>
  <si>
    <t>行动时提高300点速度</t>
    <phoneticPr fontId="1" type="noConversion"/>
  </si>
  <si>
    <t>提高25点全属性强化</t>
    <phoneticPr fontId="1" type="noConversion"/>
  </si>
  <si>
    <t>提高12%所有伤害</t>
    <phoneticPr fontId="1" type="noConversion"/>
  </si>
  <si>
    <t>被攻击时回复5%最大生命值的血量</t>
    <phoneticPr fontId="1" type="noConversion"/>
  </si>
  <si>
    <t>提高40%技能伤害</t>
    <phoneticPr fontId="1" type="noConversion"/>
  </si>
  <si>
    <t>25</t>
    <phoneticPr fontId="1" type="noConversion"/>
  </si>
  <si>
    <t>300</t>
    <phoneticPr fontId="1" type="noConversion"/>
  </si>
  <si>
    <t>600</t>
    <phoneticPr fontId="1" type="noConversion"/>
  </si>
  <si>
    <t>100+50*lv</t>
    <phoneticPr fontId="1" type="noConversion"/>
  </si>
  <si>
    <t>12</t>
    <phoneticPr fontId="1" type="noConversion"/>
  </si>
  <si>
    <t>5/100*a.hp</t>
    <phoneticPr fontId="1" type="noConversion"/>
  </si>
  <si>
    <t>4000</t>
    <phoneticPr fontId="1" type="noConversion"/>
  </si>
  <si>
    <t>自身【女神之视】伤害提高[30+5*lv]%，附加3层【中毒】，20%几率附加1层【眩晕】</t>
    <phoneticPr fontId="1" type="noConversion"/>
  </si>
  <si>
    <t>集智</t>
    <phoneticPr fontId="1" type="noConversion"/>
  </si>
  <si>
    <t>$y15%$w几率造成$b[10000+3000*lv]+[300+100*lv]%*法术强度$w的魔法伤害，并提高[400+100*lv]点附加伤害</t>
    <phoneticPr fontId="1" type="noConversion"/>
  </si>
  <si>
    <t>Laser All</t>
  </si>
  <si>
    <t>Glowing Light</t>
  </si>
  <si>
    <t>行动时提高[30+6*lv]点队伍攻击力</t>
    <phoneticPr fontId="1" type="noConversion"/>
  </si>
  <si>
    <t>30+6*lv</t>
    <phoneticPr fontId="1" type="noConversion"/>
  </si>
  <si>
    <t>行动时提高[0.8+0.2*lv]%所有伤害（最多60层）</t>
    <phoneticPr fontId="1" type="noConversion"/>
  </si>
  <si>
    <t>行动时提高[30+6*lv]点队伍攻击力（最多40层）</t>
    <phoneticPr fontId="1" type="noConversion"/>
  </si>
  <si>
    <t>行动时有10%几率提高800点力量和智力（持续1回合）</t>
    <phoneticPr fontId="1" type="noConversion"/>
  </si>
  <si>
    <t>提高20%pvp减伤，6%暴击</t>
    <phoneticPr fontId="1" type="noConversion"/>
  </si>
  <si>
    <t>600</t>
    <phoneticPr fontId="1" type="noConversion"/>
  </si>
  <si>
    <t>800</t>
    <phoneticPr fontId="1" type="noConversion"/>
  </si>
  <si>
    <t>800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</si>
</sst>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9"/>
      <name val="DengXian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华文细黑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DengXian"/>
      <family val="2"/>
      <scheme val="minor"/>
    </font>
    <font>
      <sz val="11"/>
      <color theme="1"/>
      <name val="DengXian"/>
      <family val="2"/>
      <scheme val="minor"/>
    </font>
    <font>
      <sz val="11"/>
      <color theme="1"/>
      <name val="方正像素12"/>
      <family val="3"/>
      <charset val="134"/>
    </font>
    <font>
      <sz val="11"/>
      <color theme="1"/>
      <name val="DengXian"/>
      <family val="3"/>
      <charset val="134"/>
      <scheme val="minor"/>
    </font>
    <font>
      <sz val="11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theme="1"/>
      <name val="冬青黑体简体中文 W3"/>
      <family val="3"/>
      <charset val="134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  <font>
      <sz val="12"/>
      <color theme="1"/>
      <name val="DengXian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theme="1"/>
      <name val="DengXian"/>
      <charset val="134"/>
      <scheme val="minor"/>
    </font>
    <font>
      <sz val="12"/>
      <color theme="1"/>
      <name val="DengXian"/>
      <charset val="134"/>
      <scheme val="minor"/>
    </font>
    <font>
      <sz val="11"/>
      <name val="DengXian"/>
      <charset val="134"/>
      <scheme val="minor"/>
    </font>
    <font>
      <sz val="11"/>
      <color rgb="FF333333"/>
      <name val="DengXian"/>
      <charset val="134"/>
      <scheme val="minor"/>
    </font>
    <font>
      <sz val="11"/>
      <color rgb="FFFF0000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sz val="11"/>
      <color theme="9" tint="-0.249977111117893"/>
      <name val="DengXian"/>
      <charset val="134"/>
      <scheme val="minor"/>
    </font>
    <font>
      <sz val="11"/>
      <color rgb="FF7030A0"/>
      <name val="DengXian"/>
      <charset val="134"/>
      <scheme val="minor"/>
    </font>
    <font>
      <sz val="11"/>
      <color rgb="FFFF0000"/>
      <name val="DengXian"/>
      <charset val="134"/>
      <scheme val="minor"/>
    </font>
    <font>
      <sz val="11"/>
      <color rgb="FF0070C0"/>
      <name val="DengXian"/>
      <charset val="134"/>
      <scheme val="minor"/>
    </font>
    <font>
      <sz val="11"/>
      <color theme="5"/>
      <name val="DengXian"/>
      <charset val="134"/>
      <scheme val="minor"/>
    </font>
    <font>
      <sz val="11"/>
      <color rgb="FF00B050"/>
      <name val="DengXian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/>
  </cellStyleXfs>
  <cellXfs count="89">
    <xf numFmtId="0" fontId="0" fillId="0" borderId="0" xfId="0"/>
    <xf numFmtId="0" fontId="4" fillId="0" borderId="0" xfId="0" applyFont="1"/>
    <xf numFmtId="9" fontId="0" fillId="0" borderId="0" xfId="0" applyNumberFormat="1"/>
    <xf numFmtId="0" fontId="0" fillId="2" borderId="0" xfId="0" applyFill="1"/>
    <xf numFmtId="0" fontId="8" fillId="0" borderId="0" xfId="0" applyFont="1"/>
    <xf numFmtId="0" fontId="8" fillId="0" borderId="0" xfId="0" applyFont="1" applyAlignment="1"/>
    <xf numFmtId="9" fontId="8" fillId="0" borderId="0" xfId="0" applyNumberFormat="1" applyFont="1"/>
    <xf numFmtId="0" fontId="9" fillId="0" borderId="0" xfId="0" applyFont="1"/>
    <xf numFmtId="0" fontId="9" fillId="0" borderId="0" xfId="0" applyFont="1" applyFill="1"/>
    <xf numFmtId="0" fontId="9" fillId="0" borderId="0" xfId="0" applyFont="1" applyAlignment="1">
      <alignment vertical="top"/>
    </xf>
    <xf numFmtId="0" fontId="9" fillId="0" borderId="0" xfId="0" applyFont="1" applyAlignment="1">
      <alignment wrapText="1"/>
    </xf>
    <xf numFmtId="0" fontId="10" fillId="0" borderId="0" xfId="0" applyFont="1" applyFill="1"/>
    <xf numFmtId="0" fontId="9" fillId="5" borderId="0" xfId="0" applyFont="1" applyFill="1"/>
    <xf numFmtId="0" fontId="9" fillId="0" borderId="0" xfId="0" applyFont="1" applyAlignment="1"/>
    <xf numFmtId="49" fontId="9" fillId="0" borderId="0" xfId="0" applyNumberFormat="1" applyFont="1" applyAlignment="1"/>
    <xf numFmtId="0" fontId="9" fillId="0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Fill="1" applyAlignment="1">
      <alignment vertical="center"/>
    </xf>
    <xf numFmtId="0" fontId="13" fillId="0" borderId="0" xfId="0" applyFont="1" applyFill="1" applyAlignment="1">
      <alignment vertical="center" wrapText="1"/>
    </xf>
    <xf numFmtId="0" fontId="14" fillId="0" borderId="0" xfId="0" applyFont="1"/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vertical="center" wrapText="1"/>
    </xf>
    <xf numFmtId="0" fontId="10" fillId="5" borderId="0" xfId="0" applyFont="1" applyFill="1"/>
    <xf numFmtId="0" fontId="0" fillId="5" borderId="0" xfId="0" applyFill="1"/>
    <xf numFmtId="49" fontId="0" fillId="0" borderId="0" xfId="0" applyNumberFormat="1"/>
    <xf numFmtId="0" fontId="9" fillId="2" borderId="0" xfId="0" applyFont="1" applyFill="1"/>
    <xf numFmtId="49" fontId="14" fillId="0" borderId="0" xfId="0" applyNumberFormat="1" applyFont="1" applyFill="1"/>
    <xf numFmtId="0" fontId="14" fillId="0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4" fillId="0" borderId="0" xfId="0" applyFont="1" applyAlignment="1">
      <alignment wrapText="1"/>
    </xf>
    <xf numFmtId="0" fontId="14" fillId="2" borderId="0" xfId="0" applyFont="1" applyFill="1" applyAlignment="1">
      <alignment vertical="center"/>
    </xf>
    <xf numFmtId="0" fontId="14" fillId="0" borderId="0" xfId="0" applyFont="1" applyFill="1" applyBorder="1"/>
    <xf numFmtId="0" fontId="14" fillId="2" borderId="0" xfId="0" applyFont="1" applyFill="1"/>
    <xf numFmtId="0" fontId="14" fillId="0" borderId="0" xfId="0" applyFont="1" applyFill="1" applyAlignment="1">
      <alignment wrapText="1"/>
    </xf>
    <xf numFmtId="0" fontId="14" fillId="0" borderId="0" xfId="0" applyFont="1" applyFill="1" applyAlignment="1"/>
    <xf numFmtId="9" fontId="14" fillId="0" borderId="0" xfId="0" applyNumberFormat="1" applyFont="1" applyFill="1"/>
    <xf numFmtId="0" fontId="14" fillId="5" borderId="0" xfId="0" applyFont="1" applyFill="1" applyAlignment="1">
      <alignment vertical="center"/>
    </xf>
    <xf numFmtId="49" fontId="14" fillId="0" borderId="0" xfId="0" applyNumberFormat="1" applyFont="1" applyFill="1" applyAlignment="1">
      <alignment vertical="center"/>
    </xf>
    <xf numFmtId="0" fontId="18" fillId="0" borderId="0" xfId="0" applyFont="1"/>
    <xf numFmtId="0" fontId="18" fillId="0" borderId="0" xfId="0" applyFont="1" applyAlignment="1">
      <alignment wrapText="1"/>
    </xf>
    <xf numFmtId="0" fontId="18" fillId="0" borderId="0" xfId="0" applyFont="1" applyAlignment="1"/>
    <xf numFmtId="0" fontId="18" fillId="3" borderId="0" xfId="0" applyFont="1" applyFill="1" applyAlignment="1"/>
    <xf numFmtId="0" fontId="18" fillId="4" borderId="0" xfId="0" applyFont="1" applyFill="1" applyAlignment="1"/>
    <xf numFmtId="0" fontId="18" fillId="5" borderId="0" xfId="0" applyFont="1" applyFill="1" applyAlignment="1">
      <alignment vertical="center" wrapText="1"/>
    </xf>
    <xf numFmtId="0" fontId="18" fillId="5" borderId="0" xfId="0" applyFont="1" applyFill="1" applyAlignment="1"/>
    <xf numFmtId="0" fontId="19" fillId="0" borderId="0" xfId="0" applyFont="1"/>
    <xf numFmtId="0" fontId="18" fillId="0" borderId="0" xfId="0" applyFont="1" applyAlignment="1">
      <alignment vertical="center"/>
    </xf>
    <xf numFmtId="0" fontId="18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wrapText="1"/>
    </xf>
    <xf numFmtId="0" fontId="21" fillId="0" borderId="0" xfId="0" applyFont="1"/>
    <xf numFmtId="0" fontId="18" fillId="0" borderId="0" xfId="0" applyFont="1" applyFill="1"/>
    <xf numFmtId="0" fontId="18" fillId="3" borderId="0" xfId="0" applyFont="1" applyFill="1" applyAlignment="1">
      <alignment vertical="center" wrapText="1"/>
    </xf>
    <xf numFmtId="0" fontId="18" fillId="4" borderId="0" xfId="0" applyFont="1" applyFill="1" applyAlignment="1">
      <alignment vertical="center" wrapText="1"/>
    </xf>
    <xf numFmtId="0" fontId="18" fillId="3" borderId="0" xfId="0" applyFont="1" applyFill="1" applyAlignment="1">
      <alignment vertical="center"/>
    </xf>
    <xf numFmtId="0" fontId="18" fillId="4" borderId="0" xfId="0" applyFont="1" applyFill="1" applyAlignment="1">
      <alignment vertical="center"/>
    </xf>
    <xf numFmtId="0" fontId="20" fillId="0" borderId="0" xfId="0" applyFont="1" applyFill="1" applyAlignment="1">
      <alignment vertical="center"/>
    </xf>
    <xf numFmtId="0" fontId="21" fillId="0" borderId="0" xfId="0" applyFont="1" applyAlignment="1">
      <alignment wrapText="1"/>
    </xf>
    <xf numFmtId="0" fontId="18" fillId="0" borderId="0" xfId="0" applyFont="1" applyAlignment="1">
      <alignment vertical="center" wrapText="1"/>
    </xf>
    <xf numFmtId="49" fontId="18" fillId="0" borderId="0" xfId="0" applyNumberFormat="1" applyFont="1" applyAlignment="1">
      <alignment wrapText="1"/>
    </xf>
    <xf numFmtId="0" fontId="14" fillId="6" borderId="0" xfId="0" applyFont="1" applyFill="1" applyAlignment="1">
      <alignment vertical="center"/>
    </xf>
    <xf numFmtId="0" fontId="11" fillId="0" borderId="0" xfId="0" applyFont="1" applyFill="1"/>
    <xf numFmtId="0" fontId="22" fillId="0" borderId="0" xfId="0" applyFont="1" applyFill="1"/>
    <xf numFmtId="0" fontId="0" fillId="0" borderId="0" xfId="0" applyFont="1"/>
    <xf numFmtId="0" fontId="23" fillId="0" borderId="0" xfId="0" applyFont="1" applyAlignment="1">
      <alignment vertical="center"/>
    </xf>
    <xf numFmtId="0" fontId="14" fillId="7" borderId="0" xfId="0" applyFont="1" applyFill="1"/>
    <xf numFmtId="0" fontId="9" fillId="0" borderId="0" xfId="0" applyFont="1" applyFill="1" applyBorder="1"/>
    <xf numFmtId="0" fontId="9" fillId="0" borderId="0" xfId="0" applyFont="1" applyFill="1" applyBorder="1" applyAlignment="1">
      <alignment horizontal="left" wrapText="1"/>
    </xf>
    <xf numFmtId="0" fontId="14" fillId="0" borderId="0" xfId="0" applyFont="1" applyFill="1" applyBorder="1" applyAlignment="1">
      <alignment vertical="center"/>
    </xf>
    <xf numFmtId="0" fontId="0" fillId="2" borderId="0" xfId="0" applyFont="1" applyFill="1"/>
    <xf numFmtId="0" fontId="14" fillId="0" borderId="0" xfId="0" applyFont="1" applyAlignment="1">
      <alignment vertical="center"/>
    </xf>
    <xf numFmtId="0" fontId="14" fillId="2" borderId="0" xfId="0" applyFont="1" applyFill="1" applyAlignment="1">
      <alignment vertical="center" wrapText="1"/>
    </xf>
    <xf numFmtId="0" fontId="10" fillId="0" borderId="0" xfId="0" applyFont="1" applyFill="1" applyAlignment="1"/>
    <xf numFmtId="0" fontId="17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0" fillId="0" borderId="0" xfId="0" applyFill="1"/>
    <xf numFmtId="0" fontId="8" fillId="0" borderId="0" xfId="0" applyFont="1" applyAlignment="1">
      <alignment horizontal="center"/>
    </xf>
  </cellXfs>
  <cellStyles count="2">
    <cellStyle name="常规" xfId="0" builtinId="0"/>
    <cellStyle name="常规 2" xfId="1"/>
  </cellStyles>
  <dxfs count="240"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Medium9"/>
  <colors>
    <mruColors>
      <color rgb="FFFF00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246"/>
  <sheetViews>
    <sheetView topLeftCell="A19" workbookViewId="0">
      <selection activeCell="I14" sqref="I14"/>
    </sheetView>
  </sheetViews>
  <sheetFormatPr defaultColWidth="8.875" defaultRowHeight="13.5"/>
  <cols>
    <col min="1" max="1" width="8.875" style="8"/>
    <col min="2" max="2" width="19.5" style="8" customWidth="1"/>
  </cols>
  <sheetData>
    <row r="1" spans="1:5">
      <c r="A1" s="22">
        <v>19001</v>
      </c>
      <c r="B1" s="8" t="s">
        <v>8930</v>
      </c>
      <c r="D1">
        <v>1</v>
      </c>
      <c r="E1">
        <f>E4*0.65</f>
        <v>325</v>
      </c>
    </row>
    <row r="2" spans="1:5">
      <c r="A2" s="11">
        <v>19002</v>
      </c>
      <c r="B2" s="8" t="s">
        <v>8931</v>
      </c>
      <c r="D2" s="78">
        <v>2</v>
      </c>
      <c r="E2">
        <f>E4*0.75</f>
        <v>375</v>
      </c>
    </row>
    <row r="3" spans="1:5">
      <c r="A3" s="11">
        <v>19003</v>
      </c>
      <c r="B3" s="8" t="s">
        <v>8932</v>
      </c>
      <c r="D3" s="77">
        <v>3</v>
      </c>
      <c r="E3">
        <f>E4*0.85</f>
        <v>425</v>
      </c>
    </row>
    <row r="4" spans="1:5">
      <c r="A4" s="11">
        <v>19004</v>
      </c>
      <c r="B4" s="8" t="s">
        <v>8933</v>
      </c>
      <c r="D4" s="79">
        <v>4</v>
      </c>
      <c r="E4">
        <v>500</v>
      </c>
    </row>
    <row r="5" spans="1:5">
      <c r="A5" s="11">
        <v>19005</v>
      </c>
      <c r="B5" s="8" t="s">
        <v>8934</v>
      </c>
      <c r="D5" s="80">
        <v>5</v>
      </c>
      <c r="E5">
        <f>E4*1.2</f>
        <v>600</v>
      </c>
    </row>
    <row r="6" spans="1:5">
      <c r="A6" s="11">
        <v>19006</v>
      </c>
      <c r="B6" s="8" t="s">
        <v>8935</v>
      </c>
      <c r="D6" s="23">
        <v>6</v>
      </c>
      <c r="E6">
        <f>E4*1.5</f>
        <v>750</v>
      </c>
    </row>
    <row r="7" spans="1:5">
      <c r="A7" s="11"/>
    </row>
    <row r="8" spans="1:5">
      <c r="A8" s="11">
        <v>24001</v>
      </c>
      <c r="B8" s="8" t="s">
        <v>2158</v>
      </c>
    </row>
    <row r="9" spans="1:5">
      <c r="A9" s="11">
        <v>24002</v>
      </c>
      <c r="B9" s="8" t="s">
        <v>2159</v>
      </c>
    </row>
    <row r="10" spans="1:5">
      <c r="A10" s="11">
        <v>24003</v>
      </c>
      <c r="B10" s="8" t="s">
        <v>2160</v>
      </c>
    </row>
    <row r="11" spans="1:5">
      <c r="A11" s="11">
        <v>24004</v>
      </c>
      <c r="B11" s="8" t="s">
        <v>2161</v>
      </c>
    </row>
    <row r="12" spans="1:5">
      <c r="A12" s="11">
        <v>24005</v>
      </c>
      <c r="B12" s="8" t="s">
        <v>2162</v>
      </c>
    </row>
    <row r="13" spans="1:5">
      <c r="A13" s="11">
        <v>24006</v>
      </c>
      <c r="B13" s="8" t="s">
        <v>8173</v>
      </c>
    </row>
    <row r="14" spans="1:5">
      <c r="A14" s="11">
        <v>24007</v>
      </c>
      <c r="B14" s="8" t="s">
        <v>8174</v>
      </c>
    </row>
    <row r="15" spans="1:5">
      <c r="A15" s="11">
        <v>24010</v>
      </c>
      <c r="B15" s="8" t="s">
        <v>2163</v>
      </c>
    </row>
    <row r="16" spans="1:5">
      <c r="A16" s="11">
        <v>24011</v>
      </c>
      <c r="B16" s="8" t="s">
        <v>2164</v>
      </c>
    </row>
    <row r="17" spans="1:2">
      <c r="A17" s="11">
        <v>24013</v>
      </c>
      <c r="B17" s="8" t="s">
        <v>8175</v>
      </c>
    </row>
    <row r="18" spans="1:2">
      <c r="A18" s="11">
        <v>24014</v>
      </c>
      <c r="B18" s="8" t="s">
        <v>8176</v>
      </c>
    </row>
    <row r="19" spans="1:2">
      <c r="A19" s="11">
        <v>24015</v>
      </c>
      <c r="B19" s="8" t="s">
        <v>8177</v>
      </c>
    </row>
    <row r="20" spans="1:2">
      <c r="A20" s="11">
        <v>24016</v>
      </c>
      <c r="B20" s="8" t="s">
        <v>8178</v>
      </c>
    </row>
    <row r="21" spans="1:2">
      <c r="A21" s="11">
        <v>24017</v>
      </c>
      <c r="B21" s="8" t="s">
        <v>8179</v>
      </c>
    </row>
    <row r="22" spans="1:2">
      <c r="A22" s="11">
        <v>24018</v>
      </c>
      <c r="B22" s="8" t="s">
        <v>8180</v>
      </c>
    </row>
    <row r="23" spans="1:2">
      <c r="A23" s="11">
        <v>24019</v>
      </c>
      <c r="B23" s="8" t="s">
        <v>8181</v>
      </c>
    </row>
    <row r="24" spans="1:2">
      <c r="A24" s="11">
        <v>24020</v>
      </c>
      <c r="B24" s="8" t="s">
        <v>8182</v>
      </c>
    </row>
    <row r="25" spans="1:2">
      <c r="A25" s="11">
        <v>24021</v>
      </c>
      <c r="B25" s="8" t="s">
        <v>8183</v>
      </c>
    </row>
    <row r="26" spans="1:2">
      <c r="A26" s="11">
        <v>24022</v>
      </c>
      <c r="B26" s="8" t="s">
        <v>8184</v>
      </c>
    </row>
    <row r="27" spans="1:2">
      <c r="A27" s="11">
        <v>24023</v>
      </c>
      <c r="B27" s="8" t="s">
        <v>8185</v>
      </c>
    </row>
    <row r="28" spans="1:2">
      <c r="A28" s="11">
        <v>24024</v>
      </c>
      <c r="B28" s="8" t="s">
        <v>8186</v>
      </c>
    </row>
    <row r="29" spans="1:2">
      <c r="A29" s="11">
        <v>24025</v>
      </c>
      <c r="B29" s="8" t="s">
        <v>8187</v>
      </c>
    </row>
    <row r="30" spans="1:2">
      <c r="A30" s="11">
        <v>24026</v>
      </c>
      <c r="B30" s="8" t="s">
        <v>8188</v>
      </c>
    </row>
    <row r="31" spans="1:2">
      <c r="A31" s="11">
        <v>24027</v>
      </c>
      <c r="B31" s="8" t="s">
        <v>8936</v>
      </c>
    </row>
    <row r="32" spans="1:2">
      <c r="A32" s="11">
        <v>24028</v>
      </c>
      <c r="B32" s="8" t="s">
        <v>8937</v>
      </c>
    </row>
    <row r="33" spans="1:2">
      <c r="A33" s="11">
        <v>24029</v>
      </c>
      <c r="B33" s="8" t="s">
        <v>8938</v>
      </c>
    </row>
    <row r="34" spans="1:2">
      <c r="A34" s="11">
        <v>24030</v>
      </c>
      <c r="B34" s="8" t="s">
        <v>8939</v>
      </c>
    </row>
    <row r="35" spans="1:2">
      <c r="A35" s="11">
        <v>24031</v>
      </c>
      <c r="B35" s="8" t="s">
        <v>8940</v>
      </c>
    </row>
    <row r="36" spans="1:2">
      <c r="A36" s="11">
        <v>24032</v>
      </c>
      <c r="B36" s="8" t="s">
        <v>8941</v>
      </c>
    </row>
    <row r="37" spans="1:2">
      <c r="A37" s="11">
        <v>24033</v>
      </c>
      <c r="B37" s="8" t="s">
        <v>8979</v>
      </c>
    </row>
    <row r="38" spans="1:2">
      <c r="A38" s="11">
        <v>24034</v>
      </c>
      <c r="B38" s="8" t="s">
        <v>8942</v>
      </c>
    </row>
    <row r="39" spans="1:2">
      <c r="A39" s="11">
        <v>24035</v>
      </c>
      <c r="B39" s="8" t="s">
        <v>8943</v>
      </c>
    </row>
    <row r="40" spans="1:2">
      <c r="A40" s="11">
        <v>24036</v>
      </c>
      <c r="B40" s="8" t="s">
        <v>8944</v>
      </c>
    </row>
    <row r="41" spans="1:2">
      <c r="A41" s="11">
        <v>24101</v>
      </c>
      <c r="B41" s="8" t="s">
        <v>2166</v>
      </c>
    </row>
    <row r="42" spans="1:2">
      <c r="A42" s="11">
        <v>24102</v>
      </c>
      <c r="B42" s="8" t="s">
        <v>2167</v>
      </c>
    </row>
    <row r="43" spans="1:2">
      <c r="A43" s="11">
        <v>24103</v>
      </c>
      <c r="B43" s="8" t="s">
        <v>8189</v>
      </c>
    </row>
    <row r="44" spans="1:2">
      <c r="A44" s="11">
        <v>24104</v>
      </c>
      <c r="B44" s="8" t="s">
        <v>2168</v>
      </c>
    </row>
    <row r="45" spans="1:2">
      <c r="A45" s="11">
        <v>24105</v>
      </c>
      <c r="B45" s="8" t="s">
        <v>2169</v>
      </c>
    </row>
    <row r="46" spans="1:2">
      <c r="A46" s="11">
        <v>24201</v>
      </c>
      <c r="B46" s="8" t="s">
        <v>8190</v>
      </c>
    </row>
    <row r="47" spans="1:2">
      <c r="A47" s="11">
        <v>24301</v>
      </c>
      <c r="B47" s="8" t="s">
        <v>8191</v>
      </c>
    </row>
    <row r="48" spans="1:2">
      <c r="A48" s="11">
        <v>24302</v>
      </c>
      <c r="B48" s="8" t="s">
        <v>8192</v>
      </c>
    </row>
    <row r="49" spans="1:2">
      <c r="A49" s="11">
        <v>24303</v>
      </c>
      <c r="B49" s="8" t="s">
        <v>8193</v>
      </c>
    </row>
    <row r="50" spans="1:2">
      <c r="A50" s="11">
        <v>24304</v>
      </c>
      <c r="B50" s="8" t="s">
        <v>8194</v>
      </c>
    </row>
    <row r="51" spans="1:2">
      <c r="A51" s="11">
        <v>24305</v>
      </c>
      <c r="B51" s="8" t="s">
        <v>8195</v>
      </c>
    </row>
    <row r="52" spans="1:2">
      <c r="A52" s="11">
        <v>24306</v>
      </c>
      <c r="B52" s="8" t="s">
        <v>8196</v>
      </c>
    </row>
    <row r="53" spans="1:2">
      <c r="A53" s="11">
        <v>24307</v>
      </c>
      <c r="B53" s="8" t="s">
        <v>8197</v>
      </c>
    </row>
    <row r="54" spans="1:2">
      <c r="A54" s="11">
        <v>24308</v>
      </c>
      <c r="B54" s="8" t="s">
        <v>8198</v>
      </c>
    </row>
    <row r="55" spans="1:2">
      <c r="A55" s="11">
        <v>24309</v>
      </c>
      <c r="B55" s="8" t="s">
        <v>8199</v>
      </c>
    </row>
    <row r="56" spans="1:2">
      <c r="A56" s="11">
        <v>24310</v>
      </c>
      <c r="B56" s="8" t="s">
        <v>8200</v>
      </c>
    </row>
    <row r="57" spans="1:2">
      <c r="A57" s="11">
        <v>24311</v>
      </c>
      <c r="B57" s="8" t="s">
        <v>8201</v>
      </c>
    </row>
    <row r="58" spans="1:2">
      <c r="A58" s="11">
        <v>24312</v>
      </c>
      <c r="B58" s="8" t="s">
        <v>8202</v>
      </c>
    </row>
    <row r="59" spans="1:2">
      <c r="A59" s="11">
        <v>24313</v>
      </c>
      <c r="B59" s="8" t="s">
        <v>8203</v>
      </c>
    </row>
    <row r="60" spans="1:2">
      <c r="A60" s="11">
        <v>24314</v>
      </c>
      <c r="B60" s="8" t="s">
        <v>8204</v>
      </c>
    </row>
    <row r="61" spans="1:2">
      <c r="A61" s="11">
        <v>24315</v>
      </c>
      <c r="B61" s="8" t="s">
        <v>8205</v>
      </c>
    </row>
    <row r="62" spans="1:2">
      <c r="A62" s="11">
        <v>25101</v>
      </c>
      <c r="B62" s="8" t="s">
        <v>2170</v>
      </c>
    </row>
    <row r="63" spans="1:2">
      <c r="A63" s="11">
        <v>25102</v>
      </c>
      <c r="B63" s="8" t="s">
        <v>2171</v>
      </c>
    </row>
    <row r="64" spans="1:2">
      <c r="A64" s="11">
        <v>25103</v>
      </c>
      <c r="B64" s="8" t="s">
        <v>2172</v>
      </c>
    </row>
    <row r="65" spans="1:2">
      <c r="A65" s="11">
        <v>25104</v>
      </c>
      <c r="B65" s="8" t="s">
        <v>2173</v>
      </c>
    </row>
    <row r="66" spans="1:2">
      <c r="A66" s="11">
        <v>25105</v>
      </c>
      <c r="B66" s="8" t="s">
        <v>8206</v>
      </c>
    </row>
    <row r="67" spans="1:2">
      <c r="A67" s="11">
        <v>25201</v>
      </c>
      <c r="B67" s="8" t="s">
        <v>2174</v>
      </c>
    </row>
    <row r="68" spans="1:2">
      <c r="A68" s="11">
        <v>25202</v>
      </c>
      <c r="B68" s="8" t="s">
        <v>2175</v>
      </c>
    </row>
    <row r="69" spans="1:2">
      <c r="A69" s="11">
        <v>25203</v>
      </c>
      <c r="B69" s="8" t="s">
        <v>2176</v>
      </c>
    </row>
    <row r="70" spans="1:2">
      <c r="A70" s="11">
        <v>25204</v>
      </c>
      <c r="B70" s="8" t="s">
        <v>8207</v>
      </c>
    </row>
    <row r="71" spans="1:2">
      <c r="A71" s="11">
        <v>25205</v>
      </c>
      <c r="B71" s="8" t="s">
        <v>2177</v>
      </c>
    </row>
    <row r="72" spans="1:2">
      <c r="A72" s="11">
        <v>25301</v>
      </c>
      <c r="B72" s="8" t="s">
        <v>2178</v>
      </c>
    </row>
    <row r="73" spans="1:2">
      <c r="A73" s="11">
        <v>25302</v>
      </c>
      <c r="B73" s="8" t="s">
        <v>2179</v>
      </c>
    </row>
    <row r="74" spans="1:2">
      <c r="A74" s="11">
        <v>25303</v>
      </c>
      <c r="B74" s="8" t="s">
        <v>2180</v>
      </c>
    </row>
    <row r="75" spans="1:2">
      <c r="A75" s="11">
        <v>25304</v>
      </c>
      <c r="B75" s="8" t="s">
        <v>2181</v>
      </c>
    </row>
    <row r="76" spans="1:2">
      <c r="A76" s="11">
        <v>25305</v>
      </c>
      <c r="B76" s="8" t="s">
        <v>2182</v>
      </c>
    </row>
    <row r="77" spans="1:2">
      <c r="A77" s="11">
        <v>25306</v>
      </c>
      <c r="B77" s="8" t="s">
        <v>2183</v>
      </c>
    </row>
    <row r="78" spans="1:2">
      <c r="A78" s="74">
        <v>25307</v>
      </c>
      <c r="B78" s="8" t="s">
        <v>2184</v>
      </c>
    </row>
    <row r="79" spans="1:2">
      <c r="A79" s="74">
        <v>25308</v>
      </c>
      <c r="B79" s="8" t="s">
        <v>2185</v>
      </c>
    </row>
    <row r="80" spans="1:2">
      <c r="A80" s="74">
        <v>25401</v>
      </c>
      <c r="B80" s="8" t="s">
        <v>2186</v>
      </c>
    </row>
    <row r="81" spans="1:2">
      <c r="A81" s="74">
        <v>25402</v>
      </c>
      <c r="B81" s="8" t="s">
        <v>2187</v>
      </c>
    </row>
    <row r="82" spans="1:2">
      <c r="A82" s="74">
        <v>25403</v>
      </c>
      <c r="B82" s="8" t="s">
        <v>2188</v>
      </c>
    </row>
    <row r="83" spans="1:2">
      <c r="A83" s="74">
        <v>25404</v>
      </c>
      <c r="B83" s="8" t="s">
        <v>2189</v>
      </c>
    </row>
    <row r="84" spans="1:2">
      <c r="A84" s="74">
        <v>25405</v>
      </c>
      <c r="B84" s="8" t="s">
        <v>2190</v>
      </c>
    </row>
    <row r="85" spans="1:2">
      <c r="A85" s="74">
        <v>25406</v>
      </c>
      <c r="B85" s="8" t="s">
        <v>2191</v>
      </c>
    </row>
    <row r="86" spans="1:2">
      <c r="A86" s="74">
        <v>25407</v>
      </c>
      <c r="B86" s="8" t="s">
        <v>2192</v>
      </c>
    </row>
    <row r="87" spans="1:2">
      <c r="A87" s="74">
        <v>25408</v>
      </c>
      <c r="B87" s="8" t="s">
        <v>2193</v>
      </c>
    </row>
    <row r="88" spans="1:2">
      <c r="A88" s="74">
        <v>25409</v>
      </c>
      <c r="B88" s="8" t="s">
        <v>2194</v>
      </c>
    </row>
    <row r="89" spans="1:2">
      <c r="A89" s="74">
        <v>25410</v>
      </c>
      <c r="B89" s="8" t="s">
        <v>2195</v>
      </c>
    </row>
    <row r="90" spans="1:2">
      <c r="A90" s="74">
        <v>25501</v>
      </c>
      <c r="B90" s="8" t="s">
        <v>2196</v>
      </c>
    </row>
    <row r="91" spans="1:2">
      <c r="A91" s="74">
        <v>25502</v>
      </c>
      <c r="B91" s="8" t="s">
        <v>2197</v>
      </c>
    </row>
    <row r="92" spans="1:2">
      <c r="A92" s="74">
        <v>25503</v>
      </c>
      <c r="B92" s="8" t="s">
        <v>2198</v>
      </c>
    </row>
    <row r="93" spans="1:2">
      <c r="A93" s="74">
        <v>25504</v>
      </c>
      <c r="B93" s="8" t="s">
        <v>2199</v>
      </c>
    </row>
    <row r="94" spans="1:2">
      <c r="A94" s="74">
        <v>25505</v>
      </c>
      <c r="B94" s="8" t="s">
        <v>2200</v>
      </c>
    </row>
    <row r="95" spans="1:2">
      <c r="A95" s="74">
        <v>25506</v>
      </c>
      <c r="B95" s="8" t="s">
        <v>2201</v>
      </c>
    </row>
    <row r="96" spans="1:2">
      <c r="A96" s="74">
        <v>25507</v>
      </c>
      <c r="B96" s="8" t="s">
        <v>2202</v>
      </c>
    </row>
    <row r="97" spans="1:2">
      <c r="A97" s="74">
        <v>25508</v>
      </c>
      <c r="B97" s="8" t="s">
        <v>2203</v>
      </c>
    </row>
    <row r="98" spans="1:2">
      <c r="A98" s="74">
        <v>25509</v>
      </c>
      <c r="B98" s="8" t="s">
        <v>2204</v>
      </c>
    </row>
    <row r="99" spans="1:2">
      <c r="A99" s="74">
        <v>25510</v>
      </c>
      <c r="B99" s="8" t="s">
        <v>2205</v>
      </c>
    </row>
    <row r="100" spans="1:2">
      <c r="A100" s="74">
        <v>26001</v>
      </c>
      <c r="B100" s="8" t="s">
        <v>8208</v>
      </c>
    </row>
    <row r="101" spans="1:2">
      <c r="A101" s="74">
        <v>26002</v>
      </c>
      <c r="B101" s="8" t="s">
        <v>8209</v>
      </c>
    </row>
    <row r="102" spans="1:2">
      <c r="A102" s="74">
        <v>26003</v>
      </c>
      <c r="B102" s="8" t="s">
        <v>8210</v>
      </c>
    </row>
    <row r="103" spans="1:2">
      <c r="A103" s="74">
        <v>26004</v>
      </c>
      <c r="B103" s="8" t="s">
        <v>8211</v>
      </c>
    </row>
    <row r="104" spans="1:2">
      <c r="A104" s="74">
        <v>26005</v>
      </c>
      <c r="B104" s="8" t="s">
        <v>8212</v>
      </c>
    </row>
    <row r="105" spans="1:2">
      <c r="A105" s="74">
        <v>26006</v>
      </c>
      <c r="B105" s="8" t="s">
        <v>8213</v>
      </c>
    </row>
    <row r="106" spans="1:2">
      <c r="A106" s="74">
        <v>26007</v>
      </c>
      <c r="B106" s="8" t="s">
        <v>8214</v>
      </c>
    </row>
    <row r="107" spans="1:2">
      <c r="A107" s="74">
        <v>26008</v>
      </c>
      <c r="B107" s="8" t="s">
        <v>8215</v>
      </c>
    </row>
    <row r="108" spans="1:2">
      <c r="A108" s="74">
        <v>26009</v>
      </c>
      <c r="B108" s="8" t="s">
        <v>8216</v>
      </c>
    </row>
    <row r="109" spans="1:2">
      <c r="A109" s="74">
        <v>26010</v>
      </c>
      <c r="B109" s="8" t="s">
        <v>8217</v>
      </c>
    </row>
    <row r="110" spans="1:2">
      <c r="A110" s="74">
        <v>26011</v>
      </c>
      <c r="B110" s="8" t="s">
        <v>8218</v>
      </c>
    </row>
    <row r="111" spans="1:2">
      <c r="A111" s="74">
        <v>26012</v>
      </c>
      <c r="B111" s="8" t="s">
        <v>8219</v>
      </c>
    </row>
    <row r="112" spans="1:2">
      <c r="A112" s="74">
        <v>26013</v>
      </c>
      <c r="B112" s="8" t="s">
        <v>8220</v>
      </c>
    </row>
    <row r="113" spans="1:2">
      <c r="A113" s="74">
        <v>26014</v>
      </c>
      <c r="B113" s="8" t="s">
        <v>8221</v>
      </c>
    </row>
    <row r="114" spans="1:2">
      <c r="A114" s="74">
        <v>26015</v>
      </c>
      <c r="B114" s="8" t="s">
        <v>8222</v>
      </c>
    </row>
    <row r="115" spans="1:2">
      <c r="A115" s="74">
        <v>26016</v>
      </c>
      <c r="B115" s="8" t="s">
        <v>8223</v>
      </c>
    </row>
    <row r="116" spans="1:2">
      <c r="A116" s="74">
        <v>26017</v>
      </c>
      <c r="B116" s="8" t="s">
        <v>8224</v>
      </c>
    </row>
    <row r="117" spans="1:2">
      <c r="A117" s="74">
        <v>26018</v>
      </c>
      <c r="B117" s="8" t="s">
        <v>8225</v>
      </c>
    </row>
    <row r="118" spans="1:2">
      <c r="A118" s="74">
        <v>26019</v>
      </c>
      <c r="B118" s="8" t="s">
        <v>8226</v>
      </c>
    </row>
    <row r="119" spans="1:2">
      <c r="A119" s="74">
        <v>26020</v>
      </c>
      <c r="B119" s="8" t="s">
        <v>8227</v>
      </c>
    </row>
    <row r="120" spans="1:2">
      <c r="A120" s="74">
        <v>26021</v>
      </c>
      <c r="B120" s="8" t="s">
        <v>8228</v>
      </c>
    </row>
    <row r="121" spans="1:2">
      <c r="A121" s="74">
        <v>26022</v>
      </c>
      <c r="B121" s="8" t="s">
        <v>8229</v>
      </c>
    </row>
    <row r="122" spans="1:2">
      <c r="A122" s="74">
        <v>26023</v>
      </c>
      <c r="B122" s="8" t="s">
        <v>8230</v>
      </c>
    </row>
    <row r="123" spans="1:2">
      <c r="A123" s="74">
        <v>26024</v>
      </c>
      <c r="B123" s="8" t="s">
        <v>8231</v>
      </c>
    </row>
    <row r="124" spans="1:2">
      <c r="A124" s="74">
        <v>26025</v>
      </c>
      <c r="B124" s="8" t="s">
        <v>8232</v>
      </c>
    </row>
    <row r="125" spans="1:2">
      <c r="A125" s="74">
        <v>26026</v>
      </c>
      <c r="B125" s="8" t="s">
        <v>8233</v>
      </c>
    </row>
    <row r="126" spans="1:2">
      <c r="A126" s="74">
        <v>26027</v>
      </c>
      <c r="B126" s="8" t="s">
        <v>8234</v>
      </c>
    </row>
    <row r="127" spans="1:2">
      <c r="A127" s="74">
        <v>26028</v>
      </c>
      <c r="B127" s="8" t="s">
        <v>8235</v>
      </c>
    </row>
    <row r="128" spans="1:2">
      <c r="A128" s="74">
        <v>26029</v>
      </c>
      <c r="B128" s="8" t="s">
        <v>8236</v>
      </c>
    </row>
    <row r="129" spans="1:2">
      <c r="A129" s="74">
        <v>26030</v>
      </c>
      <c r="B129" s="8" t="s">
        <v>8237</v>
      </c>
    </row>
    <row r="130" spans="1:2">
      <c r="A130" s="74">
        <v>26031</v>
      </c>
      <c r="B130" s="8" t="s">
        <v>8238</v>
      </c>
    </row>
    <row r="131" spans="1:2">
      <c r="A131" s="74">
        <v>26032</v>
      </c>
      <c r="B131" s="8" t="s">
        <v>8239</v>
      </c>
    </row>
    <row r="132" spans="1:2">
      <c r="A132" s="74">
        <v>26033</v>
      </c>
      <c r="B132" s="8" t="s">
        <v>8240</v>
      </c>
    </row>
    <row r="133" spans="1:2">
      <c r="A133" s="74">
        <v>26034</v>
      </c>
      <c r="B133" s="8" t="s">
        <v>8241</v>
      </c>
    </row>
    <row r="134" spans="1:2">
      <c r="A134" s="74">
        <v>26035</v>
      </c>
      <c r="B134" s="8" t="s">
        <v>8242</v>
      </c>
    </row>
    <row r="135" spans="1:2">
      <c r="A135" s="74">
        <v>26036</v>
      </c>
      <c r="B135" s="8" t="s">
        <v>8243</v>
      </c>
    </row>
    <row r="136" spans="1:2">
      <c r="A136" s="74">
        <v>26037</v>
      </c>
      <c r="B136" s="8" t="s">
        <v>8244</v>
      </c>
    </row>
    <row r="137" spans="1:2">
      <c r="A137" s="74">
        <v>26038</v>
      </c>
      <c r="B137" s="8" t="s">
        <v>8245</v>
      </c>
    </row>
    <row r="138" spans="1:2">
      <c r="A138" s="74">
        <v>26039</v>
      </c>
      <c r="B138" s="8" t="s">
        <v>8246</v>
      </c>
    </row>
    <row r="139" spans="1:2">
      <c r="A139" s="74">
        <v>26040</v>
      </c>
      <c r="B139" s="8" t="s">
        <v>8247</v>
      </c>
    </row>
    <row r="140" spans="1:2">
      <c r="A140" s="74">
        <v>26041</v>
      </c>
      <c r="B140" s="8" t="s">
        <v>8248</v>
      </c>
    </row>
    <row r="141" spans="1:2">
      <c r="A141" s="74">
        <v>26042</v>
      </c>
      <c r="B141" s="8" t="s">
        <v>8249</v>
      </c>
    </row>
    <row r="142" spans="1:2">
      <c r="A142" s="74">
        <v>28001</v>
      </c>
      <c r="B142" s="8" t="s">
        <v>2206</v>
      </c>
    </row>
    <row r="143" spans="1:2">
      <c r="A143" s="74">
        <v>28002</v>
      </c>
      <c r="B143" s="8" t="s">
        <v>8250</v>
      </c>
    </row>
    <row r="144" spans="1:2">
      <c r="A144" s="74">
        <v>28201</v>
      </c>
      <c r="B144" s="8" t="s">
        <v>2207</v>
      </c>
    </row>
    <row r="145" spans="1:2">
      <c r="A145" s="74">
        <v>28202</v>
      </c>
      <c r="B145" s="8" t="s">
        <v>2208</v>
      </c>
    </row>
    <row r="146" spans="1:2">
      <c r="A146" s="74">
        <v>29001</v>
      </c>
      <c r="B146" s="8" t="s">
        <v>2209</v>
      </c>
    </row>
    <row r="147" spans="1:2">
      <c r="A147" s="74">
        <v>29002</v>
      </c>
      <c r="B147" s="8" t="s">
        <v>2210</v>
      </c>
    </row>
    <row r="148" spans="1:2">
      <c r="A148" s="74">
        <v>29003</v>
      </c>
      <c r="B148" s="8" t="s">
        <v>8251</v>
      </c>
    </row>
    <row r="149" spans="1:2">
      <c r="A149" s="74">
        <v>29004</v>
      </c>
      <c r="B149" s="8" t="s">
        <v>8252</v>
      </c>
    </row>
    <row r="150" spans="1:2">
      <c r="A150" s="74">
        <v>29005</v>
      </c>
      <c r="B150" s="8" t="s">
        <v>8253</v>
      </c>
    </row>
    <row r="151" spans="1:2">
      <c r="A151" s="12">
        <v>29006</v>
      </c>
      <c r="B151" s="8" t="s">
        <v>8254</v>
      </c>
    </row>
    <row r="152" spans="1:2">
      <c r="A152" s="8">
        <v>29007</v>
      </c>
      <c r="B152" s="8" t="s">
        <v>8255</v>
      </c>
    </row>
    <row r="153" spans="1:2">
      <c r="A153" s="8">
        <v>29008</v>
      </c>
      <c r="B153" s="8" t="s">
        <v>8256</v>
      </c>
    </row>
    <row r="154" spans="1:2">
      <c r="A154" s="8">
        <v>29009</v>
      </c>
      <c r="B154" s="8" t="s">
        <v>8257</v>
      </c>
    </row>
    <row r="155" spans="1:2">
      <c r="A155" s="8">
        <v>29010</v>
      </c>
      <c r="B155" s="8" t="s">
        <v>8258</v>
      </c>
    </row>
    <row r="156" spans="1:2">
      <c r="A156" s="8">
        <v>29011</v>
      </c>
      <c r="B156" s="8" t="s">
        <v>8259</v>
      </c>
    </row>
    <row r="157" spans="1:2">
      <c r="A157" s="8">
        <v>29012</v>
      </c>
      <c r="B157" s="8" t="s">
        <v>8260</v>
      </c>
    </row>
    <row r="158" spans="1:2">
      <c r="A158" s="8">
        <v>29013</v>
      </c>
      <c r="B158" s="8" t="s">
        <v>8261</v>
      </c>
    </row>
    <row r="159" spans="1:2">
      <c r="A159" s="8">
        <v>29014</v>
      </c>
      <c r="B159" s="8" t="s">
        <v>8262</v>
      </c>
    </row>
    <row r="160" spans="1:2">
      <c r="A160" s="8">
        <v>29015</v>
      </c>
      <c r="B160" s="8" t="s">
        <v>8263</v>
      </c>
    </row>
    <row r="161" spans="1:2">
      <c r="A161" s="8">
        <v>29016</v>
      </c>
      <c r="B161" s="8" t="s">
        <v>8264</v>
      </c>
    </row>
    <row r="162" spans="1:2">
      <c r="A162" s="8">
        <v>29017</v>
      </c>
      <c r="B162" s="8" t="s">
        <v>8265</v>
      </c>
    </row>
    <row r="163" spans="1:2">
      <c r="A163" s="8">
        <v>29018</v>
      </c>
      <c r="B163" s="8" t="s">
        <v>8266</v>
      </c>
    </row>
    <row r="164" spans="1:2">
      <c r="A164" s="8">
        <v>29019</v>
      </c>
      <c r="B164" s="8" t="s">
        <v>8267</v>
      </c>
    </row>
    <row r="165" spans="1:2">
      <c r="A165" s="8">
        <v>29020</v>
      </c>
      <c r="B165" s="8" t="s">
        <v>8268</v>
      </c>
    </row>
    <row r="166" spans="1:2">
      <c r="A166" s="8">
        <v>29021</v>
      </c>
      <c r="B166" s="8" t="s">
        <v>8269</v>
      </c>
    </row>
    <row r="167" spans="1:2">
      <c r="A167" s="8">
        <v>29022</v>
      </c>
      <c r="B167" s="8" t="s">
        <v>8945</v>
      </c>
    </row>
    <row r="168" spans="1:2">
      <c r="A168" s="8">
        <v>29023</v>
      </c>
      <c r="B168" s="8" t="s">
        <v>8980</v>
      </c>
    </row>
    <row r="169" spans="1:2">
      <c r="A169" s="8">
        <v>29024</v>
      </c>
      <c r="B169" s="8" t="s">
        <v>8981</v>
      </c>
    </row>
    <row r="170" spans="1:2">
      <c r="A170" s="8">
        <v>29025</v>
      </c>
      <c r="B170" s="8" t="s">
        <v>8982</v>
      </c>
    </row>
    <row r="171" spans="1:2">
      <c r="A171" s="8">
        <v>29026</v>
      </c>
      <c r="B171" s="8" t="s">
        <v>8181</v>
      </c>
    </row>
    <row r="172" spans="1:2">
      <c r="A172" s="8">
        <v>29027</v>
      </c>
      <c r="B172" s="8" t="s">
        <v>8983</v>
      </c>
    </row>
    <row r="173" spans="1:2">
      <c r="A173" s="8">
        <v>29028</v>
      </c>
      <c r="B173" s="8" t="s">
        <v>8984</v>
      </c>
    </row>
    <row r="175" spans="1:2">
      <c r="A175" s="8">
        <v>21001</v>
      </c>
      <c r="B175" s="8" t="s">
        <v>2211</v>
      </c>
    </row>
    <row r="176" spans="1:2">
      <c r="A176" s="8">
        <v>21002</v>
      </c>
      <c r="B176" s="8" t="s">
        <v>2212</v>
      </c>
    </row>
    <row r="177" spans="1:2">
      <c r="A177" s="8">
        <v>21003</v>
      </c>
      <c r="B177" s="8" t="s">
        <v>2213</v>
      </c>
    </row>
    <row r="178" spans="1:2">
      <c r="A178" s="8">
        <v>21004</v>
      </c>
      <c r="B178" s="8" t="s">
        <v>2214</v>
      </c>
    </row>
    <row r="179" spans="1:2">
      <c r="A179" s="8">
        <v>21005</v>
      </c>
      <c r="B179" s="8" t="s">
        <v>2215</v>
      </c>
    </row>
    <row r="180" spans="1:2">
      <c r="A180" s="8">
        <v>21006</v>
      </c>
      <c r="B180" s="8" t="s">
        <v>2216</v>
      </c>
    </row>
    <row r="181" spans="1:2">
      <c r="A181" s="8">
        <v>21007</v>
      </c>
      <c r="B181" s="8" t="s">
        <v>2217</v>
      </c>
    </row>
    <row r="182" spans="1:2">
      <c r="A182" s="8">
        <v>21008</v>
      </c>
      <c r="B182" s="8" t="s">
        <v>2218</v>
      </c>
    </row>
    <row r="183" spans="1:2">
      <c r="A183" s="8">
        <v>21009</v>
      </c>
      <c r="B183" s="8" t="s">
        <v>2219</v>
      </c>
    </row>
    <row r="184" spans="1:2">
      <c r="A184" s="8">
        <v>21010</v>
      </c>
      <c r="B184" s="8" t="s">
        <v>192</v>
      </c>
    </row>
    <row r="185" spans="1:2">
      <c r="A185" s="8">
        <v>21011</v>
      </c>
      <c r="B185" s="8" t="s">
        <v>2220</v>
      </c>
    </row>
    <row r="186" spans="1:2">
      <c r="A186" s="8">
        <v>21012</v>
      </c>
      <c r="B186" s="8" t="s">
        <v>2221</v>
      </c>
    </row>
    <row r="187" spans="1:2">
      <c r="A187" s="8">
        <v>21013</v>
      </c>
      <c r="B187" s="8" t="s">
        <v>2222</v>
      </c>
    </row>
    <row r="188" spans="1:2">
      <c r="A188" s="8">
        <v>21014</v>
      </c>
      <c r="B188" s="8" t="s">
        <v>2223</v>
      </c>
    </row>
    <row r="189" spans="1:2">
      <c r="A189" s="8">
        <v>21015</v>
      </c>
      <c r="B189" s="8" t="s">
        <v>2224</v>
      </c>
    </row>
    <row r="190" spans="1:2">
      <c r="A190" s="8">
        <v>21016</v>
      </c>
      <c r="B190" s="8" t="s">
        <v>2225</v>
      </c>
    </row>
    <row r="191" spans="1:2">
      <c r="A191" s="8">
        <v>21017</v>
      </c>
      <c r="B191" s="8" t="s">
        <v>2226</v>
      </c>
    </row>
    <row r="192" spans="1:2">
      <c r="A192" s="8">
        <v>21018</v>
      </c>
      <c r="B192" s="8" t="s">
        <v>2227</v>
      </c>
    </row>
    <row r="193" spans="1:2">
      <c r="A193" s="8">
        <v>21019</v>
      </c>
      <c r="B193" s="8" t="s">
        <v>2228</v>
      </c>
    </row>
    <row r="194" spans="1:2">
      <c r="A194" s="8">
        <v>21020</v>
      </c>
      <c r="B194" s="8" t="s">
        <v>2229</v>
      </c>
    </row>
    <row r="195" spans="1:2">
      <c r="A195" s="8">
        <v>21021</v>
      </c>
      <c r="B195" s="8" t="s">
        <v>2230</v>
      </c>
    </row>
    <row r="196" spans="1:2">
      <c r="A196" s="8">
        <v>21022</v>
      </c>
      <c r="B196" s="8" t="s">
        <v>2231</v>
      </c>
    </row>
    <row r="197" spans="1:2">
      <c r="A197" s="8">
        <v>21023</v>
      </c>
      <c r="B197" s="8" t="s">
        <v>2232</v>
      </c>
    </row>
    <row r="198" spans="1:2">
      <c r="A198" s="8">
        <v>21024</v>
      </c>
      <c r="B198" s="8" t="s">
        <v>2233</v>
      </c>
    </row>
    <row r="199" spans="1:2">
      <c r="A199" s="8">
        <v>21025</v>
      </c>
      <c r="B199" s="8" t="s">
        <v>2234</v>
      </c>
    </row>
    <row r="200" spans="1:2">
      <c r="A200" s="8">
        <v>21026</v>
      </c>
      <c r="B200" s="8" t="s">
        <v>2235</v>
      </c>
    </row>
    <row r="201" spans="1:2">
      <c r="A201" s="8">
        <v>21027</v>
      </c>
      <c r="B201" s="8" t="s">
        <v>2236</v>
      </c>
    </row>
    <row r="202" spans="1:2">
      <c r="A202" s="8">
        <v>21028</v>
      </c>
      <c r="B202" s="8" t="s">
        <v>2237</v>
      </c>
    </row>
    <row r="203" spans="1:2">
      <c r="A203" s="8">
        <v>21029</v>
      </c>
      <c r="B203" s="8" t="s">
        <v>2238</v>
      </c>
    </row>
    <row r="204" spans="1:2">
      <c r="A204" s="8">
        <v>21030</v>
      </c>
      <c r="B204" s="8" t="s">
        <v>2239</v>
      </c>
    </row>
    <row r="205" spans="1:2">
      <c r="A205" s="8">
        <v>21031</v>
      </c>
      <c r="B205" s="8" t="s">
        <v>2240</v>
      </c>
    </row>
    <row r="206" spans="1:2">
      <c r="A206" s="8">
        <v>21032</v>
      </c>
      <c r="B206" s="8" t="s">
        <v>2241</v>
      </c>
    </row>
    <row r="207" spans="1:2">
      <c r="A207" s="8">
        <v>21033</v>
      </c>
      <c r="B207" s="8" t="s">
        <v>2242</v>
      </c>
    </row>
    <row r="208" spans="1:2">
      <c r="A208" s="8">
        <v>21034</v>
      </c>
      <c r="B208" s="8" t="s">
        <v>2243</v>
      </c>
    </row>
    <row r="209" spans="1:2">
      <c r="A209" s="8">
        <v>21035</v>
      </c>
      <c r="B209" s="8" t="s">
        <v>2244</v>
      </c>
    </row>
    <row r="210" spans="1:2">
      <c r="A210" s="8">
        <v>21036</v>
      </c>
      <c r="B210" s="8" t="s">
        <v>2245</v>
      </c>
    </row>
    <row r="211" spans="1:2">
      <c r="A211" s="8">
        <v>21037</v>
      </c>
      <c r="B211" s="8" t="s">
        <v>2246</v>
      </c>
    </row>
    <row r="212" spans="1:2">
      <c r="A212" s="8">
        <v>21038</v>
      </c>
      <c r="B212" s="8" t="s">
        <v>2247</v>
      </c>
    </row>
    <row r="213" spans="1:2">
      <c r="A213" s="8">
        <v>21039</v>
      </c>
      <c r="B213" s="8" t="s">
        <v>2248</v>
      </c>
    </row>
    <row r="214" spans="1:2">
      <c r="A214" s="8">
        <v>21040</v>
      </c>
      <c r="B214" s="8" t="s">
        <v>2249</v>
      </c>
    </row>
    <row r="215" spans="1:2">
      <c r="A215" s="8">
        <v>21041</v>
      </c>
      <c r="B215" s="8" t="s">
        <v>2250</v>
      </c>
    </row>
    <row r="216" spans="1:2">
      <c r="A216" s="8">
        <v>21042</v>
      </c>
      <c r="B216" s="8" t="s">
        <v>2251</v>
      </c>
    </row>
    <row r="217" spans="1:2">
      <c r="A217" s="8">
        <v>21043</v>
      </c>
      <c r="B217" s="8" t="s">
        <v>2252</v>
      </c>
    </row>
    <row r="218" spans="1:2">
      <c r="A218" s="8">
        <v>21044</v>
      </c>
      <c r="B218" s="8" t="s">
        <v>2253</v>
      </c>
    </row>
    <row r="219" spans="1:2">
      <c r="A219" s="8">
        <v>21045</v>
      </c>
      <c r="B219" s="8" t="s">
        <v>2254</v>
      </c>
    </row>
    <row r="220" spans="1:2">
      <c r="A220" s="8">
        <v>21046</v>
      </c>
      <c r="B220" s="8" t="s">
        <v>2255</v>
      </c>
    </row>
    <row r="221" spans="1:2">
      <c r="A221" s="8">
        <v>21047</v>
      </c>
      <c r="B221" s="8" t="s">
        <v>2256</v>
      </c>
    </row>
    <row r="222" spans="1:2">
      <c r="A222" s="8">
        <v>21048</v>
      </c>
      <c r="B222" s="8" t="s">
        <v>2257</v>
      </c>
    </row>
    <row r="223" spans="1:2">
      <c r="A223" s="8">
        <v>21049</v>
      </c>
      <c r="B223" s="8" t="s">
        <v>2258</v>
      </c>
    </row>
    <row r="224" spans="1:2">
      <c r="A224" s="8">
        <v>21050</v>
      </c>
      <c r="B224" s="8" t="s">
        <v>2259</v>
      </c>
    </row>
    <row r="225" spans="1:2">
      <c r="A225" s="8">
        <v>21051</v>
      </c>
      <c r="B225" s="8" t="s">
        <v>2260</v>
      </c>
    </row>
    <row r="226" spans="1:2">
      <c r="A226" s="8">
        <v>21052</v>
      </c>
      <c r="B226" s="8" t="s">
        <v>2261</v>
      </c>
    </row>
    <row r="227" spans="1:2">
      <c r="A227" s="8">
        <v>21053</v>
      </c>
      <c r="B227" s="8" t="s">
        <v>2262</v>
      </c>
    </row>
    <row r="228" spans="1:2">
      <c r="A228" s="8">
        <v>21054</v>
      </c>
      <c r="B228" s="8" t="s">
        <v>2263</v>
      </c>
    </row>
    <row r="229" spans="1:2">
      <c r="A229" s="8">
        <v>21055</v>
      </c>
      <c r="B229" s="8" t="s">
        <v>2264</v>
      </c>
    </row>
    <row r="230" spans="1:2">
      <c r="A230" s="8">
        <v>21056</v>
      </c>
      <c r="B230" s="8" t="s">
        <v>2265</v>
      </c>
    </row>
    <row r="231" spans="1:2">
      <c r="A231" s="8">
        <v>21057</v>
      </c>
      <c r="B231" s="8" t="s">
        <v>2266</v>
      </c>
    </row>
    <row r="232" spans="1:2">
      <c r="A232" s="8">
        <v>21058</v>
      </c>
      <c r="B232" s="8" t="s">
        <v>2267</v>
      </c>
    </row>
    <row r="233" spans="1:2">
      <c r="A233" s="8">
        <v>21059</v>
      </c>
      <c r="B233" s="8" t="s">
        <v>2268</v>
      </c>
    </row>
    <row r="234" spans="1:2">
      <c r="A234" s="8">
        <v>21060</v>
      </c>
      <c r="B234" s="8" t="s">
        <v>2269</v>
      </c>
    </row>
    <row r="235" spans="1:2">
      <c r="A235" s="8">
        <v>21061</v>
      </c>
      <c r="B235" s="8" t="s">
        <v>2270</v>
      </c>
    </row>
    <row r="236" spans="1:2">
      <c r="A236" s="8">
        <v>21062</v>
      </c>
      <c r="B236" s="8" t="s">
        <v>2271</v>
      </c>
    </row>
    <row r="237" spans="1:2">
      <c r="A237" s="8">
        <v>21063</v>
      </c>
      <c r="B237" s="8" t="s">
        <v>2272</v>
      </c>
    </row>
    <row r="238" spans="1:2">
      <c r="A238" s="8">
        <v>21064</v>
      </c>
      <c r="B238" s="8" t="s">
        <v>2273</v>
      </c>
    </row>
    <row r="239" spans="1:2">
      <c r="A239" s="8">
        <v>22001</v>
      </c>
      <c r="B239" s="8" t="s">
        <v>8270</v>
      </c>
    </row>
    <row r="240" spans="1:2">
      <c r="A240" s="8">
        <v>22002</v>
      </c>
      <c r="B240" s="8" t="s">
        <v>8271</v>
      </c>
    </row>
    <row r="241" spans="1:2">
      <c r="A241" s="8">
        <v>22003</v>
      </c>
      <c r="B241" s="8" t="s">
        <v>8272</v>
      </c>
    </row>
    <row r="242" spans="1:2">
      <c r="A242" s="8">
        <v>22004</v>
      </c>
      <c r="B242" s="8" t="s">
        <v>8273</v>
      </c>
    </row>
    <row r="243" spans="1:2">
      <c r="A243" s="8">
        <v>22005</v>
      </c>
      <c r="B243" s="8" t="s">
        <v>8274</v>
      </c>
    </row>
    <row r="244" spans="1:2">
      <c r="A244" s="8">
        <v>22006</v>
      </c>
      <c r="B244" s="8" t="s">
        <v>8275</v>
      </c>
    </row>
    <row r="245" spans="1:2">
      <c r="A245" s="8">
        <v>22007</v>
      </c>
      <c r="B245" s="8" t="s">
        <v>8276</v>
      </c>
    </row>
    <row r="246" spans="1:2">
      <c r="A246" s="8">
        <v>22008</v>
      </c>
      <c r="B246" s="8" t="s">
        <v>8277</v>
      </c>
    </row>
    <row r="247" spans="1:2">
      <c r="A247" s="8">
        <v>22009</v>
      </c>
      <c r="B247" s="8" t="s">
        <v>8278</v>
      </c>
    </row>
    <row r="248" spans="1:2">
      <c r="A248" s="8">
        <v>22010</v>
      </c>
      <c r="B248" s="8" t="s">
        <v>2274</v>
      </c>
    </row>
    <row r="249" spans="1:2">
      <c r="A249" s="8">
        <v>22011</v>
      </c>
      <c r="B249" s="8" t="s">
        <v>2275</v>
      </c>
    </row>
    <row r="250" spans="1:2">
      <c r="A250" s="8">
        <v>22012</v>
      </c>
      <c r="B250" s="8" t="s">
        <v>2276</v>
      </c>
    </row>
    <row r="251" spans="1:2">
      <c r="A251" s="8">
        <v>22013</v>
      </c>
      <c r="B251" s="8" t="s">
        <v>8279</v>
      </c>
    </row>
    <row r="252" spans="1:2">
      <c r="A252" s="8">
        <v>22014</v>
      </c>
      <c r="B252" s="8" t="s">
        <v>8280</v>
      </c>
    </row>
    <row r="253" spans="1:2">
      <c r="A253" s="8">
        <v>22015</v>
      </c>
      <c r="B253" s="8" t="s">
        <v>8281</v>
      </c>
    </row>
    <row r="254" spans="1:2">
      <c r="A254" s="8">
        <v>22016</v>
      </c>
      <c r="B254" s="8" t="s">
        <v>8282</v>
      </c>
    </row>
    <row r="255" spans="1:2">
      <c r="A255" s="8">
        <v>22017</v>
      </c>
      <c r="B255" s="8" t="s">
        <v>8283</v>
      </c>
    </row>
    <row r="256" spans="1:2">
      <c r="A256" s="8">
        <v>22018</v>
      </c>
      <c r="B256" s="8" t="s">
        <v>8284</v>
      </c>
    </row>
    <row r="257" spans="1:2">
      <c r="A257" s="8">
        <v>22019</v>
      </c>
      <c r="B257" s="8" t="s">
        <v>8285</v>
      </c>
    </row>
    <row r="258" spans="1:2">
      <c r="A258" s="8">
        <v>22020</v>
      </c>
      <c r="B258" s="8" t="s">
        <v>8286</v>
      </c>
    </row>
    <row r="259" spans="1:2">
      <c r="A259" s="64">
        <v>22021</v>
      </c>
      <c r="B259" s="8" t="s">
        <v>8287</v>
      </c>
    </row>
    <row r="260" spans="1:2">
      <c r="A260" s="8">
        <v>22022</v>
      </c>
      <c r="B260" s="8" t="s">
        <v>8288</v>
      </c>
    </row>
    <row r="261" spans="1:2">
      <c r="A261" s="8">
        <v>22023</v>
      </c>
      <c r="B261" s="8" t="s">
        <v>8289</v>
      </c>
    </row>
    <row r="262" spans="1:2">
      <c r="A262" s="8">
        <v>22024</v>
      </c>
      <c r="B262" s="8" t="s">
        <v>8290</v>
      </c>
    </row>
    <row r="263" spans="1:2">
      <c r="A263" s="8">
        <v>22025</v>
      </c>
      <c r="B263" s="8" t="s">
        <v>8291</v>
      </c>
    </row>
    <row r="264" spans="1:2">
      <c r="A264" s="8">
        <v>22026</v>
      </c>
      <c r="B264" s="8" t="s">
        <v>8292</v>
      </c>
    </row>
    <row r="265" spans="1:2">
      <c r="A265" s="8">
        <v>22027</v>
      </c>
      <c r="B265" s="8" t="s">
        <v>8293</v>
      </c>
    </row>
    <row r="266" spans="1:2">
      <c r="A266" s="8">
        <v>22028</v>
      </c>
      <c r="B266" s="8" t="s">
        <v>8294</v>
      </c>
    </row>
    <row r="267" spans="1:2">
      <c r="A267" s="8">
        <v>22029</v>
      </c>
      <c r="B267" s="8" t="s">
        <v>8295</v>
      </c>
    </row>
    <row r="268" spans="1:2">
      <c r="A268" s="8">
        <v>22030</v>
      </c>
      <c r="B268" s="8" t="s">
        <v>8296</v>
      </c>
    </row>
    <row r="269" spans="1:2">
      <c r="A269" s="8">
        <v>22031</v>
      </c>
      <c r="B269" s="8" t="s">
        <v>8297</v>
      </c>
    </row>
    <row r="270" spans="1:2">
      <c r="A270" s="8">
        <v>22032</v>
      </c>
      <c r="B270" s="8" t="s">
        <v>8298</v>
      </c>
    </row>
    <row r="271" spans="1:2">
      <c r="A271" s="8">
        <v>22033</v>
      </c>
      <c r="B271" s="8" t="s">
        <v>8299</v>
      </c>
    </row>
    <row r="272" spans="1:2">
      <c r="A272" s="8">
        <v>22034</v>
      </c>
      <c r="B272" s="8" t="s">
        <v>8300</v>
      </c>
    </row>
    <row r="273" spans="1:2">
      <c r="A273" s="8">
        <v>22035</v>
      </c>
      <c r="B273" s="8" t="s">
        <v>8301</v>
      </c>
    </row>
    <row r="274" spans="1:2">
      <c r="A274" s="8">
        <v>22036</v>
      </c>
      <c r="B274" s="8" t="s">
        <v>8302</v>
      </c>
    </row>
    <row r="275" spans="1:2">
      <c r="A275" s="8">
        <v>22037</v>
      </c>
      <c r="B275" s="8" t="s">
        <v>8303</v>
      </c>
    </row>
    <row r="276" spans="1:2">
      <c r="A276" s="8">
        <v>22038</v>
      </c>
      <c r="B276" s="8" t="s">
        <v>8304</v>
      </c>
    </row>
    <row r="277" spans="1:2">
      <c r="A277" s="8">
        <v>22039</v>
      </c>
      <c r="B277" s="8" t="s">
        <v>8305</v>
      </c>
    </row>
    <row r="278" spans="1:2">
      <c r="A278" s="8">
        <v>22040</v>
      </c>
      <c r="B278" s="8" t="s">
        <v>8306</v>
      </c>
    </row>
    <row r="279" spans="1:2">
      <c r="A279" s="8">
        <v>22041</v>
      </c>
      <c r="B279" s="8" t="s">
        <v>8307</v>
      </c>
    </row>
    <row r="280" spans="1:2">
      <c r="A280" s="8">
        <v>22042</v>
      </c>
      <c r="B280" s="8" t="s">
        <v>8308</v>
      </c>
    </row>
    <row r="281" spans="1:2">
      <c r="A281" s="8">
        <v>22043</v>
      </c>
      <c r="B281" s="8" t="s">
        <v>8309</v>
      </c>
    </row>
    <row r="282" spans="1:2">
      <c r="A282" s="8">
        <v>22044</v>
      </c>
      <c r="B282" s="8" t="s">
        <v>8946</v>
      </c>
    </row>
    <row r="283" spans="1:2">
      <c r="A283" s="8">
        <v>22045</v>
      </c>
      <c r="B283" s="8" t="s">
        <v>8947</v>
      </c>
    </row>
    <row r="284" spans="1:2">
      <c r="A284" s="8">
        <v>22501</v>
      </c>
      <c r="B284" s="8" t="s">
        <v>2277</v>
      </c>
    </row>
    <row r="285" spans="1:2">
      <c r="A285" s="8">
        <v>22502</v>
      </c>
      <c r="B285" s="8" t="s">
        <v>2278</v>
      </c>
    </row>
    <row r="286" spans="1:2">
      <c r="A286" s="8">
        <v>22503</v>
      </c>
      <c r="B286" s="8" t="s">
        <v>2279</v>
      </c>
    </row>
    <row r="287" spans="1:2">
      <c r="A287" s="8">
        <v>22504</v>
      </c>
      <c r="B287" s="8" t="s">
        <v>2280</v>
      </c>
    </row>
    <row r="288" spans="1:2">
      <c r="A288" s="8">
        <v>22505</v>
      </c>
      <c r="B288" s="8" t="s">
        <v>2281</v>
      </c>
    </row>
    <row r="289" spans="1:2">
      <c r="A289" s="8">
        <v>22506</v>
      </c>
      <c r="B289" s="8" t="s">
        <v>2282</v>
      </c>
    </row>
    <row r="290" spans="1:2">
      <c r="A290" s="8">
        <v>22507</v>
      </c>
      <c r="B290" s="8" t="s">
        <v>2283</v>
      </c>
    </row>
    <row r="291" spans="1:2">
      <c r="A291" s="8">
        <v>22508</v>
      </c>
      <c r="B291" s="8" t="s">
        <v>2284</v>
      </c>
    </row>
    <row r="292" spans="1:2">
      <c r="A292" s="8">
        <v>22509</v>
      </c>
      <c r="B292" s="8" t="s">
        <v>2285</v>
      </c>
    </row>
    <row r="293" spans="1:2">
      <c r="A293" s="8">
        <v>22510</v>
      </c>
      <c r="B293" s="8" t="s">
        <v>2286</v>
      </c>
    </row>
    <row r="294" spans="1:2">
      <c r="A294" s="8">
        <v>22511</v>
      </c>
      <c r="B294" s="8" t="s">
        <v>2287</v>
      </c>
    </row>
    <row r="295" spans="1:2">
      <c r="A295" s="8">
        <v>22512</v>
      </c>
      <c r="B295" s="8" t="s">
        <v>8310</v>
      </c>
    </row>
    <row r="296" spans="1:2">
      <c r="A296" s="8">
        <v>22513</v>
      </c>
      <c r="B296" s="8" t="s">
        <v>8311</v>
      </c>
    </row>
    <row r="297" spans="1:2">
      <c r="A297" s="8">
        <v>22514</v>
      </c>
      <c r="B297" s="8" t="s">
        <v>8312</v>
      </c>
    </row>
    <row r="298" spans="1:2">
      <c r="A298" s="8">
        <v>22515</v>
      </c>
      <c r="B298" s="8" t="s">
        <v>8313</v>
      </c>
    </row>
    <row r="299" spans="1:2">
      <c r="A299" s="8">
        <v>22516</v>
      </c>
      <c r="B299" s="8" t="s">
        <v>8314</v>
      </c>
    </row>
    <row r="300" spans="1:2">
      <c r="A300" s="8">
        <v>22517</v>
      </c>
      <c r="B300" s="8" t="s">
        <v>8315</v>
      </c>
    </row>
    <row r="301" spans="1:2">
      <c r="A301" s="8">
        <v>22518</v>
      </c>
      <c r="B301" s="8" t="s">
        <v>8316</v>
      </c>
    </row>
    <row r="302" spans="1:2">
      <c r="A302" s="8">
        <v>22519</v>
      </c>
      <c r="B302" s="8" t="s">
        <v>8317</v>
      </c>
    </row>
    <row r="303" spans="1:2">
      <c r="A303" s="8">
        <v>22520</v>
      </c>
      <c r="B303" s="8" t="s">
        <v>2288</v>
      </c>
    </row>
    <row r="304" spans="1:2">
      <c r="A304" s="8">
        <v>22521</v>
      </c>
      <c r="B304" s="8" t="s">
        <v>2289</v>
      </c>
    </row>
    <row r="305" spans="1:2">
      <c r="A305" s="8">
        <v>22522</v>
      </c>
      <c r="B305" s="8" t="s">
        <v>8318</v>
      </c>
    </row>
    <row r="306" spans="1:2">
      <c r="A306" s="8">
        <v>22523</v>
      </c>
      <c r="B306" s="8" t="s">
        <v>8319</v>
      </c>
    </row>
    <row r="307" spans="1:2">
      <c r="A307" s="8">
        <v>22524</v>
      </c>
      <c r="B307" s="8" t="s">
        <v>8320</v>
      </c>
    </row>
    <row r="308" spans="1:2">
      <c r="A308" s="8">
        <v>22525</v>
      </c>
      <c r="B308" s="8" t="s">
        <v>8321</v>
      </c>
    </row>
    <row r="309" spans="1:2">
      <c r="A309" s="8">
        <v>22526</v>
      </c>
      <c r="B309" s="8" t="s">
        <v>8322</v>
      </c>
    </row>
    <row r="310" spans="1:2">
      <c r="A310" s="8">
        <v>22527</v>
      </c>
      <c r="B310" s="8" t="s">
        <v>8323</v>
      </c>
    </row>
    <row r="311" spans="1:2">
      <c r="A311" s="8">
        <v>22528</v>
      </c>
      <c r="B311" s="8" t="s">
        <v>8324</v>
      </c>
    </row>
    <row r="312" spans="1:2">
      <c r="A312" s="8">
        <v>22529</v>
      </c>
      <c r="B312" s="8" t="s">
        <v>8325</v>
      </c>
    </row>
    <row r="313" spans="1:2">
      <c r="A313" s="8">
        <v>22530</v>
      </c>
      <c r="B313" s="8" t="s">
        <v>8326</v>
      </c>
    </row>
    <row r="314" spans="1:2">
      <c r="A314" s="8">
        <v>22531</v>
      </c>
      <c r="B314" s="8" t="s">
        <v>8327</v>
      </c>
    </row>
    <row r="315" spans="1:2">
      <c r="A315" s="8">
        <v>22532</v>
      </c>
      <c r="B315" s="8" t="s">
        <v>8328</v>
      </c>
    </row>
    <row r="316" spans="1:2">
      <c r="A316" s="8">
        <v>22533</v>
      </c>
      <c r="B316" s="8" t="s">
        <v>8329</v>
      </c>
    </row>
    <row r="317" spans="1:2">
      <c r="A317" s="8">
        <v>22534</v>
      </c>
      <c r="B317" s="8" t="s">
        <v>8330</v>
      </c>
    </row>
    <row r="318" spans="1:2">
      <c r="A318" s="8">
        <v>22535</v>
      </c>
      <c r="B318" s="8" t="s">
        <v>8331</v>
      </c>
    </row>
    <row r="319" spans="1:2">
      <c r="A319" s="8">
        <v>22536</v>
      </c>
      <c r="B319" s="8" t="s">
        <v>8332</v>
      </c>
    </row>
    <row r="320" spans="1:2">
      <c r="A320" s="8">
        <v>22537</v>
      </c>
      <c r="B320" s="8" t="s">
        <v>8333</v>
      </c>
    </row>
    <row r="321" spans="1:2">
      <c r="A321" s="8">
        <v>22538</v>
      </c>
      <c r="B321" s="8" t="s">
        <v>8334</v>
      </c>
    </row>
    <row r="322" spans="1:2">
      <c r="A322" s="8">
        <v>22539</v>
      </c>
      <c r="B322" s="8" t="s">
        <v>8335</v>
      </c>
    </row>
    <row r="323" spans="1:2">
      <c r="A323" s="8">
        <v>22540</v>
      </c>
      <c r="B323" s="8" t="s">
        <v>8336</v>
      </c>
    </row>
    <row r="324" spans="1:2">
      <c r="A324" s="8">
        <v>22541</v>
      </c>
      <c r="B324" s="8" t="s">
        <v>8337</v>
      </c>
    </row>
    <row r="325" spans="1:2">
      <c r="A325" s="8">
        <v>22542</v>
      </c>
      <c r="B325" s="8" t="s">
        <v>8338</v>
      </c>
    </row>
    <row r="326" spans="1:2">
      <c r="A326" s="8">
        <v>22543</v>
      </c>
      <c r="B326" s="8" t="s">
        <v>8339</v>
      </c>
    </row>
    <row r="327" spans="1:2">
      <c r="A327" s="8">
        <v>22544</v>
      </c>
      <c r="B327" s="8" t="s">
        <v>8340</v>
      </c>
    </row>
    <row r="328" spans="1:2">
      <c r="A328" s="8">
        <v>22545</v>
      </c>
      <c r="B328" s="8" t="s">
        <v>8341</v>
      </c>
    </row>
    <row r="329" spans="1:2">
      <c r="A329" s="8">
        <v>22546</v>
      </c>
      <c r="B329" s="8" t="s">
        <v>8342</v>
      </c>
    </row>
    <row r="330" spans="1:2">
      <c r="A330" s="8">
        <v>22547</v>
      </c>
      <c r="B330" s="8" t="s">
        <v>8343</v>
      </c>
    </row>
    <row r="331" spans="1:2">
      <c r="A331" s="8">
        <v>22548</v>
      </c>
      <c r="B331" s="8" t="s">
        <v>8344</v>
      </c>
    </row>
    <row r="332" spans="1:2">
      <c r="A332" s="8">
        <v>22549</v>
      </c>
      <c r="B332" s="8" t="s">
        <v>8345</v>
      </c>
    </row>
    <row r="333" spans="1:2">
      <c r="A333" s="8">
        <v>22550</v>
      </c>
      <c r="B333" s="8" t="s">
        <v>8346</v>
      </c>
    </row>
    <row r="334" spans="1:2">
      <c r="A334" s="8">
        <v>22551</v>
      </c>
      <c r="B334" s="8" t="s">
        <v>8347</v>
      </c>
    </row>
    <row r="335" spans="1:2">
      <c r="A335" s="8">
        <v>22552</v>
      </c>
      <c r="B335" s="8" t="s">
        <v>8348</v>
      </c>
    </row>
    <row r="336" spans="1:2">
      <c r="A336" s="8">
        <v>22553</v>
      </c>
      <c r="B336" s="8" t="s">
        <v>8349</v>
      </c>
    </row>
    <row r="337" spans="1:2">
      <c r="A337" s="8">
        <v>22554</v>
      </c>
      <c r="B337" s="8" t="s">
        <v>8350</v>
      </c>
    </row>
    <row r="338" spans="1:2">
      <c r="A338" s="8">
        <v>22555</v>
      </c>
      <c r="B338" s="8" t="s">
        <v>8351</v>
      </c>
    </row>
    <row r="339" spans="1:2">
      <c r="A339" s="8">
        <v>22556</v>
      </c>
      <c r="B339" s="8" t="s">
        <v>8352</v>
      </c>
    </row>
    <row r="340" spans="1:2">
      <c r="A340" s="8">
        <v>22557</v>
      </c>
      <c r="B340" s="8" t="s">
        <v>8353</v>
      </c>
    </row>
    <row r="341" spans="1:2">
      <c r="A341" s="8">
        <v>22558</v>
      </c>
      <c r="B341" s="8" t="s">
        <v>8354</v>
      </c>
    </row>
    <row r="342" spans="1:2">
      <c r="A342" s="8">
        <v>22559</v>
      </c>
      <c r="B342" s="8" t="s">
        <v>8355</v>
      </c>
    </row>
    <row r="343" spans="1:2">
      <c r="A343" s="8">
        <v>22560</v>
      </c>
      <c r="B343" s="8" t="s">
        <v>8356</v>
      </c>
    </row>
    <row r="344" spans="1:2">
      <c r="A344" s="8">
        <v>22561</v>
      </c>
      <c r="B344" s="8" t="s">
        <v>8357</v>
      </c>
    </row>
    <row r="345" spans="1:2">
      <c r="A345" s="8">
        <v>22562</v>
      </c>
      <c r="B345" s="8" t="s">
        <v>8358</v>
      </c>
    </row>
    <row r="346" spans="1:2">
      <c r="A346" s="8">
        <v>22563</v>
      </c>
      <c r="B346" s="8" t="s">
        <v>8359</v>
      </c>
    </row>
    <row r="347" spans="1:2">
      <c r="A347" s="8">
        <v>22564</v>
      </c>
      <c r="B347" s="8" t="s">
        <v>8360</v>
      </c>
    </row>
    <row r="348" spans="1:2">
      <c r="A348" s="8">
        <v>22565</v>
      </c>
      <c r="B348" s="8" t="s">
        <v>8361</v>
      </c>
    </row>
    <row r="349" spans="1:2">
      <c r="A349" s="8">
        <v>22566</v>
      </c>
      <c r="B349" s="8" t="s">
        <v>8362</v>
      </c>
    </row>
    <row r="350" spans="1:2">
      <c r="A350" s="8">
        <v>22567</v>
      </c>
      <c r="B350" s="8" t="s">
        <v>8363</v>
      </c>
    </row>
    <row r="351" spans="1:2">
      <c r="A351" s="8">
        <v>22568</v>
      </c>
      <c r="B351" s="8" t="s">
        <v>8364</v>
      </c>
    </row>
    <row r="352" spans="1:2">
      <c r="A352" s="8">
        <v>22569</v>
      </c>
      <c r="B352" s="8" t="s">
        <v>8365</v>
      </c>
    </row>
    <row r="353" spans="1:2">
      <c r="A353" s="8">
        <v>22570</v>
      </c>
      <c r="B353" s="8" t="s">
        <v>8366</v>
      </c>
    </row>
    <row r="354" spans="1:2">
      <c r="A354" s="8">
        <v>22571</v>
      </c>
      <c r="B354" s="8" t="s">
        <v>8367</v>
      </c>
    </row>
    <row r="355" spans="1:2">
      <c r="A355" s="8">
        <v>22572</v>
      </c>
      <c r="B355" s="8" t="s">
        <v>8368</v>
      </c>
    </row>
    <row r="356" spans="1:2">
      <c r="A356" s="8">
        <v>22573</v>
      </c>
      <c r="B356" s="8" t="s">
        <v>8369</v>
      </c>
    </row>
    <row r="357" spans="1:2">
      <c r="A357" s="8">
        <v>22574</v>
      </c>
      <c r="B357" s="8" t="s">
        <v>8370</v>
      </c>
    </row>
    <row r="358" spans="1:2">
      <c r="A358" s="8">
        <v>22575</v>
      </c>
      <c r="B358" s="8" t="s">
        <v>8371</v>
      </c>
    </row>
    <row r="359" spans="1:2">
      <c r="A359" s="8">
        <v>22576</v>
      </c>
      <c r="B359" s="8" t="s">
        <v>8372</v>
      </c>
    </row>
    <row r="360" spans="1:2">
      <c r="A360" s="8">
        <v>22577</v>
      </c>
      <c r="B360" s="8" t="s">
        <v>8373</v>
      </c>
    </row>
    <row r="361" spans="1:2">
      <c r="A361" s="8">
        <v>22578</v>
      </c>
      <c r="B361" s="8" t="s">
        <v>8374</v>
      </c>
    </row>
    <row r="362" spans="1:2">
      <c r="A362" s="12">
        <v>22579</v>
      </c>
      <c r="B362" s="8" t="s">
        <v>8375</v>
      </c>
    </row>
    <row r="363" spans="1:2">
      <c r="A363" s="8">
        <v>22580</v>
      </c>
      <c r="B363" s="8" t="s">
        <v>8376</v>
      </c>
    </row>
    <row r="364" spans="1:2">
      <c r="A364" s="8">
        <v>22581</v>
      </c>
      <c r="B364" s="8" t="s">
        <v>8377</v>
      </c>
    </row>
    <row r="365" spans="1:2">
      <c r="A365" s="8">
        <v>22582</v>
      </c>
      <c r="B365" s="8" t="s">
        <v>8378</v>
      </c>
    </row>
    <row r="366" spans="1:2">
      <c r="A366" s="8">
        <v>22583</v>
      </c>
      <c r="B366" s="8" t="s">
        <v>8379</v>
      </c>
    </row>
    <row r="367" spans="1:2">
      <c r="A367" s="8">
        <v>22584</v>
      </c>
      <c r="B367" s="8" t="s">
        <v>8380</v>
      </c>
    </row>
    <row r="368" spans="1:2">
      <c r="A368" s="8">
        <v>22585</v>
      </c>
      <c r="B368" s="8" t="s">
        <v>8381</v>
      </c>
    </row>
    <row r="369" spans="1:2">
      <c r="A369" s="8">
        <v>22586</v>
      </c>
      <c r="B369" s="8" t="s">
        <v>8382</v>
      </c>
    </row>
    <row r="370" spans="1:2">
      <c r="A370" s="8">
        <v>22587</v>
      </c>
      <c r="B370" s="8" t="s">
        <v>8383</v>
      </c>
    </row>
    <row r="371" spans="1:2">
      <c r="A371" s="8">
        <v>22588</v>
      </c>
      <c r="B371" s="8" t="s">
        <v>8384</v>
      </c>
    </row>
    <row r="372" spans="1:2">
      <c r="A372" s="8">
        <v>22589</v>
      </c>
      <c r="B372" s="8" t="s">
        <v>8385</v>
      </c>
    </row>
    <row r="373" spans="1:2">
      <c r="A373" s="8">
        <v>22590</v>
      </c>
      <c r="B373" s="8" t="s">
        <v>8386</v>
      </c>
    </row>
    <row r="374" spans="1:2">
      <c r="A374" s="8">
        <v>22591</v>
      </c>
      <c r="B374" s="8" t="s">
        <v>8948</v>
      </c>
    </row>
    <row r="375" spans="1:2">
      <c r="A375" s="8">
        <v>22592</v>
      </c>
      <c r="B375" s="8" t="s">
        <v>8949</v>
      </c>
    </row>
    <row r="376" spans="1:2">
      <c r="A376" s="8">
        <v>22593</v>
      </c>
      <c r="B376" s="8" t="s">
        <v>8950</v>
      </c>
    </row>
    <row r="377" spans="1:2">
      <c r="A377" s="8">
        <v>22594</v>
      </c>
      <c r="B377" s="8" t="s">
        <v>8951</v>
      </c>
    </row>
    <row r="378" spans="1:2">
      <c r="A378" s="8">
        <v>22801</v>
      </c>
      <c r="B378" s="8" t="s">
        <v>8387</v>
      </c>
    </row>
    <row r="379" spans="1:2">
      <c r="A379" s="8">
        <v>22802</v>
      </c>
      <c r="B379" s="8" t="s">
        <v>2290</v>
      </c>
    </row>
    <row r="380" spans="1:2">
      <c r="A380" s="8">
        <v>22803</v>
      </c>
      <c r="B380" s="8" t="s">
        <v>2291</v>
      </c>
    </row>
    <row r="381" spans="1:2">
      <c r="A381" s="8">
        <v>22804</v>
      </c>
      <c r="B381" s="8" t="s">
        <v>8388</v>
      </c>
    </row>
    <row r="382" spans="1:2">
      <c r="A382" s="8">
        <v>22805</v>
      </c>
      <c r="B382" s="8" t="s">
        <v>8389</v>
      </c>
    </row>
    <row r="383" spans="1:2">
      <c r="A383" s="8">
        <v>22806</v>
      </c>
      <c r="B383" s="8" t="s">
        <v>8390</v>
      </c>
    </row>
    <row r="384" spans="1:2">
      <c r="A384" s="8">
        <v>23001</v>
      </c>
      <c r="B384" s="8" t="s">
        <v>8391</v>
      </c>
    </row>
    <row r="385" spans="1:2">
      <c r="A385" s="8">
        <v>23002</v>
      </c>
      <c r="B385" s="8" t="s">
        <v>8392</v>
      </c>
    </row>
    <row r="386" spans="1:2">
      <c r="A386" s="8">
        <v>23003</v>
      </c>
      <c r="B386" s="8" t="s">
        <v>8393</v>
      </c>
    </row>
    <row r="387" spans="1:2">
      <c r="A387" s="8">
        <v>23004</v>
      </c>
      <c r="B387" s="8" t="s">
        <v>8394</v>
      </c>
    </row>
    <row r="389" spans="1:2">
      <c r="A389" s="8">
        <v>30001</v>
      </c>
      <c r="B389" s="8" t="s">
        <v>2292</v>
      </c>
    </row>
    <row r="390" spans="1:2">
      <c r="A390" s="8">
        <v>30002</v>
      </c>
      <c r="B390" s="8" t="s">
        <v>2292</v>
      </c>
    </row>
    <row r="391" spans="1:2">
      <c r="A391" s="8">
        <v>30003</v>
      </c>
      <c r="B391" s="8" t="s">
        <v>2292</v>
      </c>
    </row>
    <row r="392" spans="1:2">
      <c r="A392" s="8">
        <v>30004</v>
      </c>
      <c r="B392" s="8" t="s">
        <v>2292</v>
      </c>
    </row>
    <row r="393" spans="1:2">
      <c r="A393" s="8">
        <v>30005</v>
      </c>
      <c r="B393" s="8" t="s">
        <v>2293</v>
      </c>
    </row>
    <row r="394" spans="1:2">
      <c r="A394" s="8">
        <v>30006</v>
      </c>
      <c r="B394" s="8" t="s">
        <v>2293</v>
      </c>
    </row>
    <row r="395" spans="1:2">
      <c r="A395" s="8">
        <v>30007</v>
      </c>
      <c r="B395" s="8" t="s">
        <v>2293</v>
      </c>
    </row>
    <row r="396" spans="1:2">
      <c r="A396" s="8">
        <v>30008</v>
      </c>
      <c r="B396" s="8" t="s">
        <v>2293</v>
      </c>
    </row>
    <row r="397" spans="1:2">
      <c r="A397" s="8">
        <v>30009</v>
      </c>
      <c r="B397" s="8" t="s">
        <v>2294</v>
      </c>
    </row>
    <row r="398" spans="1:2">
      <c r="A398" s="8">
        <v>30010</v>
      </c>
      <c r="B398" s="8" t="s">
        <v>2294</v>
      </c>
    </row>
    <row r="399" spans="1:2">
      <c r="A399" s="8">
        <v>30011</v>
      </c>
      <c r="B399" s="8" t="s">
        <v>2294</v>
      </c>
    </row>
    <row r="400" spans="1:2">
      <c r="A400" s="8">
        <v>30012</v>
      </c>
      <c r="B400" s="8" t="s">
        <v>2294</v>
      </c>
    </row>
    <row r="401" spans="1:2">
      <c r="A401" s="8">
        <v>30013</v>
      </c>
      <c r="B401" s="8" t="s">
        <v>2295</v>
      </c>
    </row>
    <row r="402" spans="1:2">
      <c r="A402" s="8">
        <v>30014</v>
      </c>
      <c r="B402" s="8" t="s">
        <v>2295</v>
      </c>
    </row>
    <row r="403" spans="1:2">
      <c r="A403" s="8">
        <v>30015</v>
      </c>
      <c r="B403" s="8" t="s">
        <v>2295</v>
      </c>
    </row>
    <row r="404" spans="1:2">
      <c r="A404" s="8">
        <v>30016</v>
      </c>
      <c r="B404" s="8" t="s">
        <v>2295</v>
      </c>
    </row>
    <row r="405" spans="1:2">
      <c r="A405" s="8">
        <v>30017</v>
      </c>
      <c r="B405" s="8" t="s">
        <v>2296</v>
      </c>
    </row>
    <row r="406" spans="1:2">
      <c r="A406" s="8">
        <v>30018</v>
      </c>
      <c r="B406" s="8" t="s">
        <v>2296</v>
      </c>
    </row>
    <row r="407" spans="1:2">
      <c r="A407" s="8">
        <v>30019</v>
      </c>
      <c r="B407" s="8" t="s">
        <v>2296</v>
      </c>
    </row>
    <row r="408" spans="1:2">
      <c r="A408" s="8">
        <v>30020</v>
      </c>
      <c r="B408" s="8" t="s">
        <v>2296</v>
      </c>
    </row>
    <row r="409" spans="1:2">
      <c r="A409" s="8">
        <v>30021</v>
      </c>
      <c r="B409" s="8" t="s">
        <v>8395</v>
      </c>
    </row>
    <row r="410" spans="1:2">
      <c r="A410" s="8">
        <v>31001</v>
      </c>
      <c r="B410" s="8" t="s">
        <v>2297</v>
      </c>
    </row>
    <row r="411" spans="1:2">
      <c r="A411" s="8">
        <v>31002</v>
      </c>
      <c r="B411" s="8" t="s">
        <v>2298</v>
      </c>
    </row>
    <row r="412" spans="1:2">
      <c r="A412" s="8">
        <v>31003</v>
      </c>
      <c r="B412" s="8" t="s">
        <v>2299</v>
      </c>
    </row>
    <row r="413" spans="1:2">
      <c r="A413" s="8">
        <v>31004</v>
      </c>
      <c r="B413" s="8" t="s">
        <v>2300</v>
      </c>
    </row>
    <row r="414" spans="1:2">
      <c r="A414" s="8">
        <v>31005</v>
      </c>
      <c r="B414" s="8" t="s">
        <v>2301</v>
      </c>
    </row>
    <row r="415" spans="1:2">
      <c r="A415" s="8">
        <v>31006</v>
      </c>
      <c r="B415" s="8" t="s">
        <v>2302</v>
      </c>
    </row>
    <row r="416" spans="1:2">
      <c r="A416" s="8">
        <v>31007</v>
      </c>
      <c r="B416" s="8" t="s">
        <v>2303</v>
      </c>
    </row>
    <row r="417" spans="1:2">
      <c r="A417" s="8">
        <v>31008</v>
      </c>
      <c r="B417" s="8" t="s">
        <v>2304</v>
      </c>
    </row>
    <row r="418" spans="1:2">
      <c r="A418" s="8">
        <v>31009</v>
      </c>
      <c r="B418" s="8" t="s">
        <v>2305</v>
      </c>
    </row>
    <row r="419" spans="1:2">
      <c r="A419" s="8">
        <v>31010</v>
      </c>
      <c r="B419" s="8" t="s">
        <v>2306</v>
      </c>
    </row>
    <row r="420" spans="1:2">
      <c r="A420" s="8">
        <v>31011</v>
      </c>
      <c r="B420" s="8" t="s">
        <v>2307</v>
      </c>
    </row>
    <row r="421" spans="1:2">
      <c r="A421" s="8">
        <v>31012</v>
      </c>
      <c r="B421" s="8" t="s">
        <v>2308</v>
      </c>
    </row>
    <row r="422" spans="1:2">
      <c r="A422" s="8">
        <v>31013</v>
      </c>
      <c r="B422" s="8" t="s">
        <v>2309</v>
      </c>
    </row>
    <row r="423" spans="1:2">
      <c r="A423" s="8">
        <v>31014</v>
      </c>
      <c r="B423" s="8" t="s">
        <v>2310</v>
      </c>
    </row>
    <row r="424" spans="1:2">
      <c r="A424" s="8">
        <v>31015</v>
      </c>
      <c r="B424" s="8" t="s">
        <v>2311</v>
      </c>
    </row>
    <row r="425" spans="1:2">
      <c r="A425" s="8">
        <v>31016</v>
      </c>
      <c r="B425" s="8" t="s">
        <v>2312</v>
      </c>
    </row>
    <row r="426" spans="1:2">
      <c r="A426" s="8">
        <v>31019</v>
      </c>
      <c r="B426" s="8" t="s">
        <v>2313</v>
      </c>
    </row>
    <row r="427" spans="1:2">
      <c r="A427" s="8">
        <v>31020</v>
      </c>
      <c r="B427" s="8" t="s">
        <v>2314</v>
      </c>
    </row>
    <row r="428" spans="1:2">
      <c r="A428" s="8">
        <v>31021</v>
      </c>
      <c r="B428" s="8" t="s">
        <v>2315</v>
      </c>
    </row>
    <row r="429" spans="1:2">
      <c r="A429" s="8">
        <v>31022</v>
      </c>
      <c r="B429" s="8" t="s">
        <v>2316</v>
      </c>
    </row>
    <row r="430" spans="1:2">
      <c r="A430" s="8">
        <v>31023</v>
      </c>
      <c r="B430" s="8" t="s">
        <v>8396</v>
      </c>
    </row>
    <row r="431" spans="1:2">
      <c r="A431" s="8">
        <v>31024</v>
      </c>
      <c r="B431" s="8" t="s">
        <v>8397</v>
      </c>
    </row>
    <row r="432" spans="1:2">
      <c r="A432" s="8">
        <v>31025</v>
      </c>
      <c r="B432" s="8" t="s">
        <v>8398</v>
      </c>
    </row>
    <row r="433" spans="1:2">
      <c r="A433" s="8">
        <v>31026</v>
      </c>
      <c r="B433" s="8" t="s">
        <v>8399</v>
      </c>
    </row>
    <row r="434" spans="1:2">
      <c r="A434" s="8">
        <v>31027</v>
      </c>
      <c r="B434" s="8" t="s">
        <v>8400</v>
      </c>
    </row>
    <row r="435" spans="1:2">
      <c r="A435" s="8">
        <v>31028</v>
      </c>
      <c r="B435" s="8" t="s">
        <v>8401</v>
      </c>
    </row>
    <row r="436" spans="1:2">
      <c r="A436" s="8">
        <v>31029</v>
      </c>
      <c r="B436" s="8" t="s">
        <v>8402</v>
      </c>
    </row>
    <row r="437" spans="1:2">
      <c r="A437" s="8">
        <v>31030</v>
      </c>
      <c r="B437" s="8" t="s">
        <v>8403</v>
      </c>
    </row>
    <row r="438" spans="1:2">
      <c r="A438" s="8">
        <v>31031</v>
      </c>
      <c r="B438" s="8" t="s">
        <v>8404</v>
      </c>
    </row>
    <row r="439" spans="1:2">
      <c r="A439" s="8">
        <v>31032</v>
      </c>
      <c r="B439" s="8" t="s">
        <v>8405</v>
      </c>
    </row>
    <row r="440" spans="1:2">
      <c r="A440" s="8">
        <v>31033</v>
      </c>
      <c r="B440" s="8" t="s">
        <v>8406</v>
      </c>
    </row>
    <row r="441" spans="1:2">
      <c r="A441" s="8">
        <v>31034</v>
      </c>
      <c r="B441" s="8" t="s">
        <v>8407</v>
      </c>
    </row>
    <row r="442" spans="1:2">
      <c r="A442" s="8">
        <v>31035</v>
      </c>
      <c r="B442" s="8" t="s">
        <v>8408</v>
      </c>
    </row>
    <row r="443" spans="1:2">
      <c r="A443" s="8">
        <v>31036</v>
      </c>
      <c r="B443" s="8" t="s">
        <v>8409</v>
      </c>
    </row>
    <row r="444" spans="1:2">
      <c r="A444" s="8">
        <v>31037</v>
      </c>
      <c r="B444" s="8" t="s">
        <v>8410</v>
      </c>
    </row>
    <row r="445" spans="1:2">
      <c r="A445" s="8">
        <v>31038</v>
      </c>
      <c r="B445" s="8" t="s">
        <v>8411</v>
      </c>
    </row>
    <row r="446" spans="1:2">
      <c r="A446" s="8">
        <v>31039</v>
      </c>
      <c r="B446" s="8" t="s">
        <v>8412</v>
      </c>
    </row>
    <row r="447" spans="1:2">
      <c r="A447" s="8">
        <v>32001</v>
      </c>
      <c r="B447" s="8" t="s">
        <v>2317</v>
      </c>
    </row>
    <row r="448" spans="1:2">
      <c r="A448" s="8">
        <v>32002</v>
      </c>
      <c r="B448" s="8" t="s">
        <v>2318</v>
      </c>
    </row>
    <row r="449" spans="1:2">
      <c r="A449" s="8">
        <v>32003</v>
      </c>
      <c r="B449" s="8" t="s">
        <v>2319</v>
      </c>
    </row>
    <row r="450" spans="1:2">
      <c r="A450" s="8">
        <v>32004</v>
      </c>
      <c r="B450" s="8" t="s">
        <v>2320</v>
      </c>
    </row>
    <row r="451" spans="1:2">
      <c r="A451" s="8">
        <v>32005</v>
      </c>
      <c r="B451" s="8" t="s">
        <v>2321</v>
      </c>
    </row>
    <row r="452" spans="1:2">
      <c r="A452" s="8">
        <v>32006</v>
      </c>
      <c r="B452" s="8" t="s">
        <v>2322</v>
      </c>
    </row>
    <row r="453" spans="1:2">
      <c r="A453" s="8">
        <v>32007</v>
      </c>
      <c r="B453" s="8" t="s">
        <v>2323</v>
      </c>
    </row>
    <row r="454" spans="1:2">
      <c r="A454" s="8">
        <v>32008</v>
      </c>
      <c r="B454" s="8" t="s">
        <v>2324</v>
      </c>
    </row>
    <row r="455" spans="1:2">
      <c r="A455" s="8">
        <v>32009</v>
      </c>
      <c r="B455" s="8" t="s">
        <v>2325</v>
      </c>
    </row>
    <row r="456" spans="1:2">
      <c r="A456" s="8">
        <v>32010</v>
      </c>
      <c r="B456" s="8" t="s">
        <v>2326</v>
      </c>
    </row>
    <row r="457" spans="1:2">
      <c r="A457" s="8">
        <v>32011</v>
      </c>
      <c r="B457" s="8" t="s">
        <v>2327</v>
      </c>
    </row>
    <row r="458" spans="1:2">
      <c r="A458" s="8">
        <v>32012</v>
      </c>
      <c r="B458" s="8" t="s">
        <v>2328</v>
      </c>
    </row>
    <row r="459" spans="1:2">
      <c r="A459" s="8">
        <v>32013</v>
      </c>
      <c r="B459" s="8" t="s">
        <v>2329</v>
      </c>
    </row>
    <row r="460" spans="1:2">
      <c r="A460" s="8">
        <v>32014</v>
      </c>
      <c r="B460" s="8" t="s">
        <v>2330</v>
      </c>
    </row>
    <row r="461" spans="1:2">
      <c r="A461" s="8">
        <v>32015</v>
      </c>
      <c r="B461" s="8" t="s">
        <v>2331</v>
      </c>
    </row>
    <row r="462" spans="1:2">
      <c r="A462" s="8">
        <v>32016</v>
      </c>
      <c r="B462" s="8" t="s">
        <v>2332</v>
      </c>
    </row>
    <row r="463" spans="1:2">
      <c r="A463" s="8">
        <v>32017</v>
      </c>
      <c r="B463" s="8" t="s">
        <v>2333</v>
      </c>
    </row>
    <row r="464" spans="1:2">
      <c r="A464" s="8">
        <v>32018</v>
      </c>
      <c r="B464" s="8" t="s">
        <v>2334</v>
      </c>
    </row>
    <row r="465" spans="1:2">
      <c r="A465" s="8">
        <v>32019</v>
      </c>
      <c r="B465" s="8" t="s">
        <v>2335</v>
      </c>
    </row>
    <row r="466" spans="1:2">
      <c r="A466" s="8">
        <v>32020</v>
      </c>
      <c r="B466" s="8" t="s">
        <v>2336</v>
      </c>
    </row>
    <row r="467" spans="1:2">
      <c r="A467" s="8">
        <v>32021</v>
      </c>
      <c r="B467" s="8" t="s">
        <v>2337</v>
      </c>
    </row>
    <row r="468" spans="1:2">
      <c r="A468" s="8">
        <v>32101</v>
      </c>
      <c r="B468" s="8" t="s">
        <v>2338</v>
      </c>
    </row>
    <row r="469" spans="1:2">
      <c r="A469" s="8">
        <v>32102</v>
      </c>
      <c r="B469" s="8" t="s">
        <v>2339</v>
      </c>
    </row>
    <row r="470" spans="1:2">
      <c r="A470" s="8">
        <v>32103</v>
      </c>
      <c r="B470" s="8" t="s">
        <v>2340</v>
      </c>
    </row>
    <row r="471" spans="1:2">
      <c r="A471" s="8">
        <v>32104</v>
      </c>
      <c r="B471" s="8" t="s">
        <v>2341</v>
      </c>
    </row>
    <row r="472" spans="1:2">
      <c r="A472" s="8">
        <v>32105</v>
      </c>
      <c r="B472" s="8" t="s">
        <v>2342</v>
      </c>
    </row>
    <row r="473" spans="1:2">
      <c r="A473" s="8">
        <v>32106</v>
      </c>
      <c r="B473" s="8" t="s">
        <v>2343</v>
      </c>
    </row>
    <row r="474" spans="1:2">
      <c r="A474" s="8">
        <v>32107</v>
      </c>
      <c r="B474" s="8" t="s">
        <v>2344</v>
      </c>
    </row>
    <row r="475" spans="1:2">
      <c r="A475" s="8">
        <v>32108</v>
      </c>
      <c r="B475" s="8" t="s">
        <v>2345</v>
      </c>
    </row>
    <row r="476" spans="1:2">
      <c r="A476" s="8">
        <v>32109</v>
      </c>
      <c r="B476" s="8" t="s">
        <v>2346</v>
      </c>
    </row>
    <row r="477" spans="1:2">
      <c r="A477" s="8">
        <v>32201</v>
      </c>
      <c r="B477" s="8" t="s">
        <v>2347</v>
      </c>
    </row>
    <row r="478" spans="1:2">
      <c r="A478" s="8">
        <v>32202</v>
      </c>
      <c r="B478" s="8" t="s">
        <v>2348</v>
      </c>
    </row>
    <row r="479" spans="1:2">
      <c r="A479" s="8">
        <v>32203</v>
      </c>
      <c r="B479" s="8" t="s">
        <v>2349</v>
      </c>
    </row>
    <row r="480" spans="1:2">
      <c r="A480" s="8">
        <v>32301</v>
      </c>
      <c r="B480" s="8" t="s">
        <v>2350</v>
      </c>
    </row>
    <row r="481" spans="1:2">
      <c r="A481" s="8">
        <v>32302</v>
      </c>
      <c r="B481" s="8" t="s">
        <v>2351</v>
      </c>
    </row>
    <row r="482" spans="1:2">
      <c r="A482" s="8">
        <v>32303</v>
      </c>
      <c r="B482" s="8" t="s">
        <v>2352</v>
      </c>
    </row>
    <row r="483" spans="1:2">
      <c r="A483" s="8">
        <v>32304</v>
      </c>
      <c r="B483" s="8" t="s">
        <v>2353</v>
      </c>
    </row>
    <row r="484" spans="1:2">
      <c r="A484" s="8">
        <v>32305</v>
      </c>
      <c r="B484" s="8" t="s">
        <v>2354</v>
      </c>
    </row>
    <row r="485" spans="1:2">
      <c r="A485" s="8">
        <v>32306</v>
      </c>
      <c r="B485" s="8" t="s">
        <v>2355</v>
      </c>
    </row>
    <row r="486" spans="1:2">
      <c r="A486" s="8">
        <v>32307</v>
      </c>
      <c r="B486" s="8" t="s">
        <v>2356</v>
      </c>
    </row>
    <row r="487" spans="1:2">
      <c r="A487" s="8">
        <v>32308</v>
      </c>
      <c r="B487" s="8" t="s">
        <v>2357</v>
      </c>
    </row>
    <row r="488" spans="1:2">
      <c r="A488" s="8">
        <v>32309</v>
      </c>
      <c r="B488" s="8" t="s">
        <v>2358</v>
      </c>
    </row>
    <row r="489" spans="1:2">
      <c r="A489" s="8">
        <v>32310</v>
      </c>
      <c r="B489" s="8" t="s">
        <v>2359</v>
      </c>
    </row>
    <row r="490" spans="1:2">
      <c r="A490" s="8">
        <v>32311</v>
      </c>
      <c r="B490" s="8" t="s">
        <v>2360</v>
      </c>
    </row>
    <row r="491" spans="1:2">
      <c r="A491" s="8">
        <v>32312</v>
      </c>
      <c r="B491" s="8" t="s">
        <v>2361</v>
      </c>
    </row>
    <row r="492" spans="1:2">
      <c r="A492" s="8">
        <v>32313</v>
      </c>
      <c r="B492" s="8" t="s">
        <v>2362</v>
      </c>
    </row>
    <row r="493" spans="1:2">
      <c r="A493" s="8">
        <v>32314</v>
      </c>
      <c r="B493" s="8" t="s">
        <v>2363</v>
      </c>
    </row>
    <row r="494" spans="1:2">
      <c r="A494" s="8">
        <v>32315</v>
      </c>
      <c r="B494" s="8" t="s">
        <v>2364</v>
      </c>
    </row>
    <row r="495" spans="1:2">
      <c r="A495" s="8">
        <v>32316</v>
      </c>
      <c r="B495" s="8" t="s">
        <v>2365</v>
      </c>
    </row>
    <row r="496" spans="1:2">
      <c r="A496" s="8">
        <v>32317</v>
      </c>
      <c r="B496" s="8" t="s">
        <v>2366</v>
      </c>
    </row>
    <row r="497" spans="1:2">
      <c r="A497" s="8">
        <v>32318</v>
      </c>
      <c r="B497" s="8" t="s">
        <v>2367</v>
      </c>
    </row>
    <row r="498" spans="1:2">
      <c r="A498" s="8">
        <v>32319</v>
      </c>
      <c r="B498" s="8" t="s">
        <v>2368</v>
      </c>
    </row>
    <row r="499" spans="1:2">
      <c r="A499" s="8">
        <v>32320</v>
      </c>
      <c r="B499" s="8" t="s">
        <v>2369</v>
      </c>
    </row>
    <row r="500" spans="1:2">
      <c r="A500" s="8">
        <v>32321</v>
      </c>
      <c r="B500" s="8" t="s">
        <v>2370</v>
      </c>
    </row>
    <row r="501" spans="1:2">
      <c r="A501" s="8">
        <v>32322</v>
      </c>
      <c r="B501" s="8" t="s">
        <v>2371</v>
      </c>
    </row>
    <row r="502" spans="1:2">
      <c r="A502" s="8">
        <v>32323</v>
      </c>
      <c r="B502" s="8" t="s">
        <v>2372</v>
      </c>
    </row>
    <row r="503" spans="1:2">
      <c r="A503" s="8">
        <v>32324</v>
      </c>
      <c r="B503" s="8" t="s">
        <v>2373</v>
      </c>
    </row>
    <row r="504" spans="1:2">
      <c r="A504" s="8">
        <v>32325</v>
      </c>
      <c r="B504" s="8" t="s">
        <v>2374</v>
      </c>
    </row>
    <row r="505" spans="1:2">
      <c r="A505" s="8">
        <v>32326</v>
      </c>
      <c r="B505" s="8" t="s">
        <v>2375</v>
      </c>
    </row>
    <row r="506" spans="1:2">
      <c r="A506" s="8">
        <v>32327</v>
      </c>
      <c r="B506" s="8" t="s">
        <v>2376</v>
      </c>
    </row>
    <row r="507" spans="1:2">
      <c r="A507" s="8">
        <v>32328</v>
      </c>
      <c r="B507" s="8" t="s">
        <v>2377</v>
      </c>
    </row>
    <row r="508" spans="1:2">
      <c r="A508" s="8">
        <v>32329</v>
      </c>
      <c r="B508" s="8" t="s">
        <v>2378</v>
      </c>
    </row>
    <row r="509" spans="1:2">
      <c r="A509" s="8">
        <v>32330</v>
      </c>
      <c r="B509" s="8" t="s">
        <v>2379</v>
      </c>
    </row>
    <row r="510" spans="1:2">
      <c r="A510" s="8">
        <v>32331</v>
      </c>
      <c r="B510" s="8" t="s">
        <v>2380</v>
      </c>
    </row>
    <row r="511" spans="1:2">
      <c r="A511" s="8">
        <v>32332</v>
      </c>
      <c r="B511" s="8" t="s">
        <v>2381</v>
      </c>
    </row>
    <row r="512" spans="1:2">
      <c r="A512" s="8">
        <v>32333</v>
      </c>
      <c r="B512" s="8" t="s">
        <v>2382</v>
      </c>
    </row>
    <row r="513" spans="1:2">
      <c r="A513" s="8">
        <v>32334</v>
      </c>
      <c r="B513" s="8" t="s">
        <v>2383</v>
      </c>
    </row>
    <row r="514" spans="1:2">
      <c r="A514" s="8">
        <v>32335</v>
      </c>
      <c r="B514" s="8" t="s">
        <v>2384</v>
      </c>
    </row>
    <row r="515" spans="1:2">
      <c r="A515" s="8">
        <v>32336</v>
      </c>
      <c r="B515" s="8" t="s">
        <v>2385</v>
      </c>
    </row>
    <row r="516" spans="1:2">
      <c r="A516" s="8">
        <v>32337</v>
      </c>
      <c r="B516" s="8" t="s">
        <v>2386</v>
      </c>
    </row>
    <row r="517" spans="1:2">
      <c r="A517" s="8">
        <v>32338</v>
      </c>
      <c r="B517" s="8" t="s">
        <v>2387</v>
      </c>
    </row>
    <row r="518" spans="1:2">
      <c r="A518" s="8">
        <v>32339</v>
      </c>
      <c r="B518" s="8" t="s">
        <v>2388</v>
      </c>
    </row>
    <row r="519" spans="1:2">
      <c r="A519" s="8">
        <v>32340</v>
      </c>
      <c r="B519" s="8" t="s">
        <v>2389</v>
      </c>
    </row>
    <row r="520" spans="1:2">
      <c r="A520" s="8">
        <v>32341</v>
      </c>
      <c r="B520" s="8" t="s">
        <v>2390</v>
      </c>
    </row>
    <row r="521" spans="1:2">
      <c r="A521" s="8">
        <v>32342</v>
      </c>
      <c r="B521" s="8" t="s">
        <v>2391</v>
      </c>
    </row>
    <row r="522" spans="1:2">
      <c r="A522" s="8">
        <v>32831</v>
      </c>
      <c r="B522" s="8" t="s">
        <v>2392</v>
      </c>
    </row>
    <row r="523" spans="1:2">
      <c r="A523" s="8">
        <v>32832</v>
      </c>
      <c r="B523" s="8" t="s">
        <v>2393</v>
      </c>
    </row>
    <row r="524" spans="1:2">
      <c r="A524" s="8">
        <v>32833</v>
      </c>
      <c r="B524" s="8" t="s">
        <v>2394</v>
      </c>
    </row>
    <row r="525" spans="1:2">
      <c r="A525" s="8">
        <v>32834</v>
      </c>
      <c r="B525" s="8" t="s">
        <v>2395</v>
      </c>
    </row>
    <row r="526" spans="1:2">
      <c r="A526" s="8">
        <v>32835</v>
      </c>
      <c r="B526" s="8" t="s">
        <v>2396</v>
      </c>
    </row>
    <row r="527" spans="1:2">
      <c r="A527" s="8">
        <v>32836</v>
      </c>
      <c r="B527" s="8" t="s">
        <v>2397</v>
      </c>
    </row>
    <row r="528" spans="1:2">
      <c r="A528" s="8">
        <v>33000</v>
      </c>
      <c r="B528" s="8" t="s">
        <v>8413</v>
      </c>
    </row>
    <row r="529" spans="1:2">
      <c r="A529" s="8">
        <v>33001</v>
      </c>
      <c r="B529" s="8" t="s">
        <v>2398</v>
      </c>
    </row>
    <row r="530" spans="1:2">
      <c r="A530" s="8">
        <v>33002</v>
      </c>
      <c r="B530" s="8" t="s">
        <v>2399</v>
      </c>
    </row>
    <row r="531" spans="1:2">
      <c r="A531" s="8">
        <v>33003</v>
      </c>
      <c r="B531" s="8" t="s">
        <v>2400</v>
      </c>
    </row>
    <row r="532" spans="1:2">
      <c r="A532" s="8">
        <v>33004</v>
      </c>
      <c r="B532" s="8" t="s">
        <v>2401</v>
      </c>
    </row>
    <row r="533" spans="1:2">
      <c r="A533" s="8">
        <v>33005</v>
      </c>
      <c r="B533" s="8" t="s">
        <v>2402</v>
      </c>
    </row>
    <row r="534" spans="1:2">
      <c r="A534" s="8">
        <v>33006</v>
      </c>
      <c r="B534" s="8" t="s">
        <v>2403</v>
      </c>
    </row>
    <row r="535" spans="1:2">
      <c r="A535" s="8">
        <v>33007</v>
      </c>
      <c r="B535" s="8" t="s">
        <v>2404</v>
      </c>
    </row>
    <row r="536" spans="1:2">
      <c r="A536" s="8">
        <v>33008</v>
      </c>
      <c r="B536" s="8" t="s">
        <v>2405</v>
      </c>
    </row>
    <row r="537" spans="1:2">
      <c r="A537" s="8">
        <v>33009</v>
      </c>
      <c r="B537" s="8" t="s">
        <v>2406</v>
      </c>
    </row>
    <row r="538" spans="1:2">
      <c r="A538" s="8">
        <v>33010</v>
      </c>
      <c r="B538" s="8" t="s">
        <v>2407</v>
      </c>
    </row>
    <row r="539" spans="1:2">
      <c r="A539" s="8">
        <v>33011</v>
      </c>
      <c r="B539" s="8" t="s">
        <v>2408</v>
      </c>
    </row>
    <row r="540" spans="1:2">
      <c r="A540" s="8">
        <v>33012</v>
      </c>
      <c r="B540" s="8" t="s">
        <v>2409</v>
      </c>
    </row>
    <row r="541" spans="1:2">
      <c r="A541" s="8">
        <v>33013</v>
      </c>
      <c r="B541" s="8" t="s">
        <v>2410</v>
      </c>
    </row>
    <row r="542" spans="1:2">
      <c r="A542" s="8">
        <v>33014</v>
      </c>
      <c r="B542" s="8" t="s">
        <v>2411</v>
      </c>
    </row>
    <row r="543" spans="1:2">
      <c r="A543" s="8">
        <v>33015</v>
      </c>
      <c r="B543" s="8" t="s">
        <v>2412</v>
      </c>
    </row>
    <row r="544" spans="1:2">
      <c r="A544" s="8">
        <v>33016</v>
      </c>
      <c r="B544" s="8" t="s">
        <v>2413</v>
      </c>
    </row>
    <row r="545" spans="1:2">
      <c r="A545" s="8">
        <v>33017</v>
      </c>
      <c r="B545" s="8" t="s">
        <v>2414</v>
      </c>
    </row>
    <row r="546" spans="1:2">
      <c r="A546" s="8">
        <v>33018</v>
      </c>
      <c r="B546" s="8" t="s">
        <v>8414</v>
      </c>
    </row>
    <row r="547" spans="1:2">
      <c r="A547" s="8">
        <v>33019</v>
      </c>
      <c r="B547" s="8" t="s">
        <v>8415</v>
      </c>
    </row>
    <row r="548" spans="1:2">
      <c r="A548" s="8">
        <v>33020</v>
      </c>
      <c r="B548" s="8" t="s">
        <v>8416</v>
      </c>
    </row>
    <row r="549" spans="1:2">
      <c r="A549" s="8">
        <v>33021</v>
      </c>
      <c r="B549" s="8" t="s">
        <v>8417</v>
      </c>
    </row>
    <row r="550" spans="1:2">
      <c r="A550" s="8">
        <v>33106</v>
      </c>
      <c r="B550" s="8" t="s">
        <v>2415</v>
      </c>
    </row>
    <row r="551" spans="1:2">
      <c r="A551" s="8">
        <v>33107</v>
      </c>
      <c r="B551" s="8" t="s">
        <v>2416</v>
      </c>
    </row>
    <row r="552" spans="1:2">
      <c r="A552" s="8">
        <v>33108</v>
      </c>
      <c r="B552" s="8" t="s">
        <v>2417</v>
      </c>
    </row>
    <row r="553" spans="1:2">
      <c r="A553" s="8">
        <v>33109</v>
      </c>
      <c r="B553" s="8" t="s">
        <v>2418</v>
      </c>
    </row>
    <row r="554" spans="1:2">
      <c r="A554" s="8">
        <v>33110</v>
      </c>
      <c r="B554" s="8" t="s">
        <v>2419</v>
      </c>
    </row>
    <row r="555" spans="1:2">
      <c r="A555" s="8">
        <v>33111</v>
      </c>
      <c r="B555" s="8" t="s">
        <v>2420</v>
      </c>
    </row>
    <row r="556" spans="1:2">
      <c r="A556" s="8">
        <v>33112</v>
      </c>
      <c r="B556" s="8" t="s">
        <v>2421</v>
      </c>
    </row>
    <row r="557" spans="1:2">
      <c r="A557" s="8">
        <v>33113</v>
      </c>
      <c r="B557" s="8" t="s">
        <v>2422</v>
      </c>
    </row>
    <row r="558" spans="1:2">
      <c r="A558" s="8">
        <v>33114</v>
      </c>
      <c r="B558" s="8" t="s">
        <v>2423</v>
      </c>
    </row>
    <row r="559" spans="1:2">
      <c r="A559" s="8">
        <v>33115</v>
      </c>
      <c r="B559" s="8" t="s">
        <v>2424</v>
      </c>
    </row>
    <row r="560" spans="1:2">
      <c r="A560" s="8">
        <v>33116</v>
      </c>
      <c r="B560" s="8" t="s">
        <v>2425</v>
      </c>
    </row>
    <row r="561" spans="1:2">
      <c r="A561" s="8">
        <v>33117</v>
      </c>
      <c r="B561" s="8" t="s">
        <v>2426</v>
      </c>
    </row>
    <row r="562" spans="1:2">
      <c r="A562" s="8">
        <v>33118</v>
      </c>
      <c r="B562" s="8" t="s">
        <v>2427</v>
      </c>
    </row>
    <row r="563" spans="1:2">
      <c r="A563" s="8">
        <v>33119</v>
      </c>
      <c r="B563" s="8" t="s">
        <v>2428</v>
      </c>
    </row>
    <row r="564" spans="1:2">
      <c r="A564" s="8">
        <v>33120</v>
      </c>
      <c r="B564" s="8" t="s">
        <v>2429</v>
      </c>
    </row>
    <row r="565" spans="1:2">
      <c r="A565" s="8">
        <v>33121</v>
      </c>
      <c r="B565" s="8" t="s">
        <v>2430</v>
      </c>
    </row>
    <row r="566" spans="1:2">
      <c r="A566" s="8">
        <v>33201</v>
      </c>
      <c r="B566" s="8" t="s">
        <v>2431</v>
      </c>
    </row>
    <row r="567" spans="1:2">
      <c r="A567" s="8">
        <v>33202</v>
      </c>
      <c r="B567" s="8" t="s">
        <v>8418</v>
      </c>
    </row>
    <row r="568" spans="1:2">
      <c r="A568" s="8">
        <v>33203</v>
      </c>
      <c r="B568" s="8" t="s">
        <v>8419</v>
      </c>
    </row>
    <row r="569" spans="1:2">
      <c r="A569" s="8">
        <v>33204</v>
      </c>
      <c r="B569" s="8" t="s">
        <v>8420</v>
      </c>
    </row>
    <row r="570" spans="1:2">
      <c r="A570" s="8">
        <v>33205</v>
      </c>
      <c r="B570" s="8" t="s">
        <v>8421</v>
      </c>
    </row>
    <row r="571" spans="1:2">
      <c r="A571" s="8">
        <v>33206</v>
      </c>
      <c r="B571" s="8" t="s">
        <v>8422</v>
      </c>
    </row>
    <row r="572" spans="1:2">
      <c r="A572" s="8">
        <v>33207</v>
      </c>
      <c r="B572" s="8" t="s">
        <v>8423</v>
      </c>
    </row>
    <row r="573" spans="1:2">
      <c r="A573" s="8">
        <v>33208</v>
      </c>
      <c r="B573" s="8" t="s">
        <v>8424</v>
      </c>
    </row>
    <row r="574" spans="1:2">
      <c r="A574" s="8">
        <v>33209</v>
      </c>
      <c r="B574" s="8" t="s">
        <v>8425</v>
      </c>
    </row>
    <row r="575" spans="1:2">
      <c r="A575" s="8">
        <v>33210</v>
      </c>
      <c r="B575" s="8" t="s">
        <v>8426</v>
      </c>
    </row>
    <row r="576" spans="1:2">
      <c r="A576" s="8">
        <v>33211</v>
      </c>
      <c r="B576" s="8" t="s">
        <v>8427</v>
      </c>
    </row>
    <row r="577" spans="1:2">
      <c r="A577" s="8">
        <v>33212</v>
      </c>
      <c r="B577" s="8" t="s">
        <v>8428</v>
      </c>
    </row>
    <row r="578" spans="1:2">
      <c r="A578" s="8">
        <v>33213</v>
      </c>
      <c r="B578" s="8" t="s">
        <v>8429</v>
      </c>
    </row>
    <row r="579" spans="1:2">
      <c r="A579" s="8">
        <v>33214</v>
      </c>
      <c r="B579" s="8" t="s">
        <v>8430</v>
      </c>
    </row>
    <row r="580" spans="1:2">
      <c r="A580" s="8">
        <v>33301</v>
      </c>
      <c r="B580" s="8" t="s">
        <v>2432</v>
      </c>
    </row>
    <row r="581" spans="1:2">
      <c r="A581" s="8">
        <v>33302</v>
      </c>
      <c r="B581" s="8" t="s">
        <v>2433</v>
      </c>
    </row>
    <row r="582" spans="1:2">
      <c r="A582" s="8">
        <v>33303</v>
      </c>
      <c r="B582" s="8" t="s">
        <v>8431</v>
      </c>
    </row>
    <row r="583" spans="1:2">
      <c r="A583" s="8">
        <v>33304</v>
      </c>
      <c r="B583" s="8" t="s">
        <v>8432</v>
      </c>
    </row>
    <row r="584" spans="1:2">
      <c r="A584" s="8">
        <v>33305</v>
      </c>
      <c r="B584" s="8" t="s">
        <v>8433</v>
      </c>
    </row>
    <row r="585" spans="1:2">
      <c r="A585" s="8">
        <v>33306</v>
      </c>
      <c r="B585" s="8" t="s">
        <v>8434</v>
      </c>
    </row>
    <row r="586" spans="1:2">
      <c r="A586" s="8">
        <v>33307</v>
      </c>
      <c r="B586" s="8" t="s">
        <v>8435</v>
      </c>
    </row>
    <row r="587" spans="1:2">
      <c r="A587" s="8">
        <v>33308</v>
      </c>
      <c r="B587" s="8" t="s">
        <v>8436</v>
      </c>
    </row>
    <row r="588" spans="1:2">
      <c r="A588" s="8">
        <v>33309</v>
      </c>
      <c r="B588" s="8" t="s">
        <v>2434</v>
      </c>
    </row>
    <row r="589" spans="1:2">
      <c r="A589" s="8">
        <v>33310</v>
      </c>
      <c r="B589" s="8" t="s">
        <v>2435</v>
      </c>
    </row>
    <row r="590" spans="1:2">
      <c r="A590" s="8">
        <v>33311</v>
      </c>
      <c r="B590" s="8" t="s">
        <v>8437</v>
      </c>
    </row>
    <row r="591" spans="1:2">
      <c r="A591" s="8">
        <v>33312</v>
      </c>
      <c r="B591" s="8" t="s">
        <v>8438</v>
      </c>
    </row>
    <row r="592" spans="1:2">
      <c r="A592" s="8">
        <v>33313</v>
      </c>
      <c r="B592" s="8" t="s">
        <v>8439</v>
      </c>
    </row>
    <row r="593" spans="1:2">
      <c r="A593" s="8">
        <v>33314</v>
      </c>
      <c r="B593" s="8" t="s">
        <v>8440</v>
      </c>
    </row>
    <row r="594" spans="1:2">
      <c r="A594" s="8">
        <v>33315</v>
      </c>
      <c r="B594" s="8" t="s">
        <v>8441</v>
      </c>
    </row>
    <row r="595" spans="1:2">
      <c r="A595" s="8">
        <v>33316</v>
      </c>
      <c r="B595" s="8" t="s">
        <v>8442</v>
      </c>
    </row>
    <row r="596" spans="1:2">
      <c r="A596" s="8">
        <v>33317</v>
      </c>
      <c r="B596" s="8" t="s">
        <v>8443</v>
      </c>
    </row>
    <row r="597" spans="1:2">
      <c r="A597" s="8">
        <v>33318</v>
      </c>
      <c r="B597" s="8" t="s">
        <v>8444</v>
      </c>
    </row>
    <row r="598" spans="1:2">
      <c r="A598" s="8">
        <v>33319</v>
      </c>
      <c r="B598" s="8" t="s">
        <v>8445</v>
      </c>
    </row>
    <row r="599" spans="1:2">
      <c r="A599" s="8">
        <v>33320</v>
      </c>
      <c r="B599" s="8" t="s">
        <v>8446</v>
      </c>
    </row>
    <row r="600" spans="1:2">
      <c r="A600" s="8">
        <v>33321</v>
      </c>
      <c r="B600" s="8" t="s">
        <v>8447</v>
      </c>
    </row>
    <row r="601" spans="1:2">
      <c r="A601" s="8">
        <v>33322</v>
      </c>
      <c r="B601" s="8" t="s">
        <v>8448</v>
      </c>
    </row>
    <row r="602" spans="1:2">
      <c r="A602" s="8">
        <v>33323</v>
      </c>
      <c r="B602" s="8" t="s">
        <v>8449</v>
      </c>
    </row>
    <row r="603" spans="1:2">
      <c r="A603" s="8">
        <v>33324</v>
      </c>
      <c r="B603" s="8" t="s">
        <v>8450</v>
      </c>
    </row>
    <row r="604" spans="1:2">
      <c r="A604" s="8">
        <v>33325</v>
      </c>
      <c r="B604" s="8" t="s">
        <v>8451</v>
      </c>
    </row>
    <row r="605" spans="1:2">
      <c r="A605" s="8">
        <v>33326</v>
      </c>
      <c r="B605" s="8" t="s">
        <v>8452</v>
      </c>
    </row>
    <row r="606" spans="1:2">
      <c r="A606" s="8">
        <v>33327</v>
      </c>
      <c r="B606" s="8" t="s">
        <v>8453</v>
      </c>
    </row>
    <row r="607" spans="1:2">
      <c r="A607" s="8">
        <v>33328</v>
      </c>
      <c r="B607" s="8" t="s">
        <v>8454</v>
      </c>
    </row>
    <row r="608" spans="1:2">
      <c r="A608" s="8">
        <v>33329</v>
      </c>
      <c r="B608" s="8" t="s">
        <v>8455</v>
      </c>
    </row>
    <row r="609" spans="1:2">
      <c r="A609" s="8">
        <v>33330</v>
      </c>
      <c r="B609" s="8" t="s">
        <v>8456</v>
      </c>
    </row>
    <row r="610" spans="1:2">
      <c r="A610" s="8">
        <v>33331</v>
      </c>
      <c r="B610" s="8" t="s">
        <v>8457</v>
      </c>
    </row>
    <row r="611" spans="1:2">
      <c r="A611" s="8">
        <v>33332</v>
      </c>
      <c r="B611" s="8" t="s">
        <v>8458</v>
      </c>
    </row>
    <row r="612" spans="1:2">
      <c r="A612" s="8">
        <v>33333</v>
      </c>
      <c r="B612" s="8" t="s">
        <v>8459</v>
      </c>
    </row>
    <row r="613" spans="1:2">
      <c r="A613" s="8">
        <v>33334</v>
      </c>
      <c r="B613" s="8" t="s">
        <v>8460</v>
      </c>
    </row>
    <row r="614" spans="1:2">
      <c r="A614" s="8">
        <v>33335</v>
      </c>
      <c r="B614" s="8" t="s">
        <v>8461</v>
      </c>
    </row>
    <row r="615" spans="1:2">
      <c r="A615" s="8">
        <v>33336</v>
      </c>
      <c r="B615" s="8" t="s">
        <v>8462</v>
      </c>
    </row>
    <row r="616" spans="1:2">
      <c r="A616" s="8">
        <v>33337</v>
      </c>
      <c r="B616" s="8" t="s">
        <v>8463</v>
      </c>
    </row>
    <row r="617" spans="1:2">
      <c r="A617" s="8">
        <v>33338</v>
      </c>
      <c r="B617" s="8" t="s">
        <v>8464</v>
      </c>
    </row>
    <row r="618" spans="1:2">
      <c r="A618" s="8">
        <v>33399</v>
      </c>
      <c r="B618" s="8" t="s">
        <v>8465</v>
      </c>
    </row>
    <row r="619" spans="1:2">
      <c r="A619" s="8">
        <v>33400</v>
      </c>
      <c r="B619" s="8" t="s">
        <v>8466</v>
      </c>
    </row>
    <row r="620" spans="1:2">
      <c r="A620" s="8">
        <v>33401</v>
      </c>
      <c r="B620" s="8" t="s">
        <v>8467</v>
      </c>
    </row>
    <row r="621" spans="1:2">
      <c r="A621" s="8">
        <v>33402</v>
      </c>
      <c r="B621" s="8" t="s">
        <v>8468</v>
      </c>
    </row>
    <row r="622" spans="1:2">
      <c r="A622" s="8">
        <v>33403</v>
      </c>
      <c r="B622" s="8" t="s">
        <v>8469</v>
      </c>
    </row>
    <row r="623" spans="1:2">
      <c r="A623" s="8">
        <v>33404</v>
      </c>
      <c r="B623" s="8" t="s">
        <v>8470</v>
      </c>
    </row>
    <row r="624" spans="1:2">
      <c r="A624" s="8">
        <v>33405</v>
      </c>
      <c r="B624" s="8" t="s">
        <v>8471</v>
      </c>
    </row>
    <row r="625" spans="1:2">
      <c r="A625" s="8">
        <v>33406</v>
      </c>
      <c r="B625" s="8" t="s">
        <v>8472</v>
      </c>
    </row>
    <row r="626" spans="1:2">
      <c r="A626" s="8">
        <v>33407</v>
      </c>
      <c r="B626" s="8" t="s">
        <v>8473</v>
      </c>
    </row>
    <row r="627" spans="1:2">
      <c r="A627" s="8">
        <v>33408</v>
      </c>
      <c r="B627" s="8" t="s">
        <v>8474</v>
      </c>
    </row>
    <row r="628" spans="1:2">
      <c r="A628" s="8">
        <v>33409</v>
      </c>
      <c r="B628" s="8" t="s">
        <v>8475</v>
      </c>
    </row>
    <row r="629" spans="1:2">
      <c r="A629" s="8">
        <v>33410</v>
      </c>
      <c r="B629" s="8" t="s">
        <v>8476</v>
      </c>
    </row>
    <row r="630" spans="1:2">
      <c r="A630" s="8">
        <v>33411</v>
      </c>
      <c r="B630" s="8" t="s">
        <v>8477</v>
      </c>
    </row>
    <row r="631" spans="1:2">
      <c r="A631" s="8">
        <v>33412</v>
      </c>
      <c r="B631" s="8" t="s">
        <v>8478</v>
      </c>
    </row>
    <row r="632" spans="1:2">
      <c r="A632" s="8">
        <v>33413</v>
      </c>
      <c r="B632" s="8" t="s">
        <v>8479</v>
      </c>
    </row>
    <row r="633" spans="1:2">
      <c r="A633" s="8">
        <v>33414</v>
      </c>
      <c r="B633" s="8" t="s">
        <v>8480</v>
      </c>
    </row>
    <row r="634" spans="1:2">
      <c r="A634" s="8">
        <v>33415</v>
      </c>
      <c r="B634" s="8" t="s">
        <v>8481</v>
      </c>
    </row>
    <row r="635" spans="1:2">
      <c r="A635" s="8">
        <v>33416</v>
      </c>
      <c r="B635" s="8" t="s">
        <v>8482</v>
      </c>
    </row>
    <row r="636" spans="1:2">
      <c r="A636" s="8">
        <v>33417</v>
      </c>
      <c r="B636" s="8" t="s">
        <v>8483</v>
      </c>
    </row>
    <row r="637" spans="1:2">
      <c r="A637" s="8">
        <v>33418</v>
      </c>
      <c r="B637" s="8" t="s">
        <v>8484</v>
      </c>
    </row>
    <row r="638" spans="1:2">
      <c r="A638" s="8">
        <v>33419</v>
      </c>
      <c r="B638" s="8" t="s">
        <v>8485</v>
      </c>
    </row>
    <row r="639" spans="1:2">
      <c r="A639" s="8">
        <v>33431</v>
      </c>
      <c r="B639" s="8" t="s">
        <v>8486</v>
      </c>
    </row>
    <row r="640" spans="1:2">
      <c r="A640" s="8">
        <v>33432</v>
      </c>
      <c r="B640" s="8" t="s">
        <v>8487</v>
      </c>
    </row>
    <row r="641" spans="1:2">
      <c r="A641" s="8">
        <v>33433</v>
      </c>
      <c r="B641" s="8" t="s">
        <v>8488</v>
      </c>
    </row>
    <row r="642" spans="1:2">
      <c r="A642" s="8">
        <v>33434</v>
      </c>
      <c r="B642" s="8" t="s">
        <v>8489</v>
      </c>
    </row>
    <row r="643" spans="1:2">
      <c r="A643" s="8">
        <v>33435</v>
      </c>
      <c r="B643" s="8" t="s">
        <v>8490</v>
      </c>
    </row>
    <row r="644" spans="1:2">
      <c r="A644" s="8">
        <v>33436</v>
      </c>
      <c r="B644" s="8" t="s">
        <v>8491</v>
      </c>
    </row>
    <row r="645" spans="1:2">
      <c r="A645" s="8">
        <v>33437</v>
      </c>
      <c r="B645" s="8" t="s">
        <v>8492</v>
      </c>
    </row>
    <row r="646" spans="1:2">
      <c r="A646" s="8">
        <v>33438</v>
      </c>
      <c r="B646" s="8" t="s">
        <v>8493</v>
      </c>
    </row>
    <row r="647" spans="1:2">
      <c r="A647" s="8">
        <v>33439</v>
      </c>
      <c r="B647" s="8" t="s">
        <v>8494</v>
      </c>
    </row>
    <row r="648" spans="1:2">
      <c r="A648" s="8">
        <v>33440</v>
      </c>
      <c r="B648" s="8" t="s">
        <v>8495</v>
      </c>
    </row>
    <row r="649" spans="1:2">
      <c r="A649" s="8">
        <v>33441</v>
      </c>
      <c r="B649" s="8" t="s">
        <v>8496</v>
      </c>
    </row>
    <row r="650" spans="1:2">
      <c r="A650" s="8">
        <v>33442</v>
      </c>
      <c r="B650" s="8" t="s">
        <v>8497</v>
      </c>
    </row>
    <row r="651" spans="1:2">
      <c r="A651" s="8">
        <v>33443</v>
      </c>
      <c r="B651" s="8" t="s">
        <v>8498</v>
      </c>
    </row>
    <row r="652" spans="1:2">
      <c r="A652" s="8">
        <v>33444</v>
      </c>
      <c r="B652" s="8" t="s">
        <v>8499</v>
      </c>
    </row>
    <row r="653" spans="1:2">
      <c r="A653" s="8">
        <v>33445</v>
      </c>
      <c r="B653" s="8" t="s">
        <v>8500</v>
      </c>
    </row>
    <row r="654" spans="1:2">
      <c r="A654" s="8">
        <v>33446</v>
      </c>
      <c r="B654" s="8" t="s">
        <v>8501</v>
      </c>
    </row>
    <row r="655" spans="1:2">
      <c r="A655" s="8">
        <v>33447</v>
      </c>
      <c r="B655" s="8" t="s">
        <v>8502</v>
      </c>
    </row>
    <row r="656" spans="1:2">
      <c r="A656" s="8">
        <v>33448</v>
      </c>
      <c r="B656" s="8" t="s">
        <v>8503</v>
      </c>
    </row>
    <row r="657" spans="1:2">
      <c r="A657" s="8">
        <v>33449</v>
      </c>
      <c r="B657" s="8" t="s">
        <v>8504</v>
      </c>
    </row>
    <row r="658" spans="1:2">
      <c r="A658" s="8">
        <v>33450</v>
      </c>
      <c r="B658" s="8" t="s">
        <v>8505</v>
      </c>
    </row>
    <row r="659" spans="1:2">
      <c r="A659" s="8">
        <v>33451</v>
      </c>
      <c r="B659" s="8" t="s">
        <v>8506</v>
      </c>
    </row>
    <row r="660" spans="1:2">
      <c r="A660" s="8">
        <v>33452</v>
      </c>
      <c r="B660" s="8" t="s">
        <v>8507</v>
      </c>
    </row>
    <row r="661" spans="1:2">
      <c r="A661" s="8">
        <v>33453</v>
      </c>
      <c r="B661" s="8" t="s">
        <v>8508</v>
      </c>
    </row>
    <row r="662" spans="1:2">
      <c r="A662" s="8">
        <v>33454</v>
      </c>
      <c r="B662" s="8" t="s">
        <v>8509</v>
      </c>
    </row>
    <row r="663" spans="1:2">
      <c r="A663" s="8">
        <v>33455</v>
      </c>
      <c r="B663" s="8" t="s">
        <v>8510</v>
      </c>
    </row>
    <row r="664" spans="1:2">
      <c r="A664" s="8">
        <v>33456</v>
      </c>
      <c r="B664" s="8" t="s">
        <v>8511</v>
      </c>
    </row>
    <row r="665" spans="1:2">
      <c r="A665" s="8">
        <v>33457</v>
      </c>
      <c r="B665" s="8" t="s">
        <v>8512</v>
      </c>
    </row>
    <row r="666" spans="1:2">
      <c r="A666" s="8">
        <v>33458</v>
      </c>
      <c r="B666" s="8" t="s">
        <v>8513</v>
      </c>
    </row>
    <row r="667" spans="1:2">
      <c r="A667" s="8">
        <v>33459</v>
      </c>
      <c r="B667" s="8" t="s">
        <v>8514</v>
      </c>
    </row>
    <row r="668" spans="1:2">
      <c r="A668" s="8">
        <v>33460</v>
      </c>
      <c r="B668" s="8" t="s">
        <v>8515</v>
      </c>
    </row>
    <row r="669" spans="1:2">
      <c r="A669" s="8">
        <v>33461</v>
      </c>
      <c r="B669" s="8" t="s">
        <v>8516</v>
      </c>
    </row>
    <row r="670" spans="1:2">
      <c r="A670" s="8">
        <v>33462</v>
      </c>
      <c r="B670" s="8" t="s">
        <v>8517</v>
      </c>
    </row>
    <row r="671" spans="1:2">
      <c r="A671" s="8">
        <v>33463</v>
      </c>
      <c r="B671" s="8" t="s">
        <v>8518</v>
      </c>
    </row>
    <row r="672" spans="1:2">
      <c r="A672" s="8">
        <v>33464</v>
      </c>
      <c r="B672" s="8" t="s">
        <v>8519</v>
      </c>
    </row>
    <row r="673" spans="1:2">
      <c r="A673" s="8">
        <v>33465</v>
      </c>
      <c r="B673" s="8" t="s">
        <v>8520</v>
      </c>
    </row>
    <row r="674" spans="1:2">
      <c r="A674" s="8">
        <v>33466</v>
      </c>
      <c r="B674" s="8" t="s">
        <v>8521</v>
      </c>
    </row>
    <row r="675" spans="1:2">
      <c r="A675" s="8">
        <v>33467</v>
      </c>
      <c r="B675" s="8" t="s">
        <v>8522</v>
      </c>
    </row>
    <row r="676" spans="1:2">
      <c r="A676" s="8">
        <v>33468</v>
      </c>
      <c r="B676" s="8" t="s">
        <v>8523</v>
      </c>
    </row>
    <row r="677" spans="1:2">
      <c r="A677" s="8">
        <v>33469</v>
      </c>
      <c r="B677" s="8" t="s">
        <v>8524</v>
      </c>
    </row>
    <row r="678" spans="1:2">
      <c r="A678" s="8">
        <v>33470</v>
      </c>
      <c r="B678" s="8" t="s">
        <v>8525</v>
      </c>
    </row>
    <row r="679" spans="1:2">
      <c r="A679" s="8">
        <v>33471</v>
      </c>
      <c r="B679" s="8" t="s">
        <v>8526</v>
      </c>
    </row>
    <row r="680" spans="1:2">
      <c r="A680" s="8">
        <v>33472</v>
      </c>
      <c r="B680" s="8" t="s">
        <v>8527</v>
      </c>
    </row>
    <row r="681" spans="1:2">
      <c r="A681" s="8">
        <v>33473</v>
      </c>
      <c r="B681" s="8" t="s">
        <v>8528</v>
      </c>
    </row>
    <row r="682" spans="1:2">
      <c r="A682" s="8">
        <v>33474</v>
      </c>
      <c r="B682" s="8" t="s">
        <v>8529</v>
      </c>
    </row>
    <row r="683" spans="1:2">
      <c r="A683" s="8">
        <v>33475</v>
      </c>
      <c r="B683" s="8" t="s">
        <v>8530</v>
      </c>
    </row>
    <row r="684" spans="1:2">
      <c r="A684" s="8">
        <v>33476</v>
      </c>
      <c r="B684" s="8" t="s">
        <v>8531</v>
      </c>
    </row>
    <row r="685" spans="1:2">
      <c r="A685" s="8">
        <v>33477</v>
      </c>
      <c r="B685" s="8" t="s">
        <v>8532</v>
      </c>
    </row>
    <row r="686" spans="1:2">
      <c r="A686" s="8">
        <v>33478</v>
      </c>
      <c r="B686" s="8" t="s">
        <v>8533</v>
      </c>
    </row>
    <row r="687" spans="1:2">
      <c r="A687" s="8">
        <v>33479</v>
      </c>
      <c r="B687" s="8" t="s">
        <v>8534</v>
      </c>
    </row>
    <row r="688" spans="1:2">
      <c r="A688" s="8">
        <v>33480</v>
      </c>
      <c r="B688" s="8" t="s">
        <v>8535</v>
      </c>
    </row>
    <row r="689" spans="1:2">
      <c r="A689" s="8">
        <v>33481</v>
      </c>
      <c r="B689" s="8" t="s">
        <v>8536</v>
      </c>
    </row>
    <row r="690" spans="1:2">
      <c r="A690" s="8">
        <v>33482</v>
      </c>
      <c r="B690" s="8" t="s">
        <v>8537</v>
      </c>
    </row>
    <row r="691" spans="1:2">
      <c r="A691" s="8">
        <v>33483</v>
      </c>
      <c r="B691" s="8" t="s">
        <v>8538</v>
      </c>
    </row>
    <row r="692" spans="1:2">
      <c r="A692" s="8">
        <v>33484</v>
      </c>
      <c r="B692" s="8" t="s">
        <v>8539</v>
      </c>
    </row>
    <row r="693" spans="1:2">
      <c r="A693" s="8">
        <v>33485</v>
      </c>
      <c r="B693" s="8" t="s">
        <v>8540</v>
      </c>
    </row>
    <row r="694" spans="1:2">
      <c r="A694" s="8">
        <v>33486</v>
      </c>
      <c r="B694" s="8" t="s">
        <v>8541</v>
      </c>
    </row>
    <row r="695" spans="1:2">
      <c r="A695" s="8">
        <v>33487</v>
      </c>
      <c r="B695" s="8" t="s">
        <v>8542</v>
      </c>
    </row>
    <row r="696" spans="1:2">
      <c r="A696" s="8">
        <v>33488</v>
      </c>
      <c r="B696" s="8" t="s">
        <v>8543</v>
      </c>
    </row>
    <row r="697" spans="1:2">
      <c r="A697" s="8">
        <v>33489</v>
      </c>
      <c r="B697" s="8" t="s">
        <v>8544</v>
      </c>
    </row>
    <row r="698" spans="1:2">
      <c r="A698" s="8">
        <v>33490</v>
      </c>
      <c r="B698" s="8" t="s">
        <v>8545</v>
      </c>
    </row>
    <row r="699" spans="1:2">
      <c r="A699" s="8">
        <v>33501</v>
      </c>
      <c r="B699" s="8" t="s">
        <v>8546</v>
      </c>
    </row>
    <row r="700" spans="1:2">
      <c r="A700" s="8">
        <v>33502</v>
      </c>
      <c r="B700" s="8" t="s">
        <v>8547</v>
      </c>
    </row>
    <row r="701" spans="1:2">
      <c r="A701" s="8">
        <v>33503</v>
      </c>
      <c r="B701" s="8" t="s">
        <v>8548</v>
      </c>
    </row>
    <row r="702" spans="1:2">
      <c r="A702" s="8">
        <v>33504</v>
      </c>
      <c r="B702" s="8" t="s">
        <v>8549</v>
      </c>
    </row>
    <row r="703" spans="1:2">
      <c r="A703" s="8">
        <v>33505</v>
      </c>
      <c r="B703" s="8" t="s">
        <v>8550</v>
      </c>
    </row>
    <row r="704" spans="1:2">
      <c r="A704" s="8">
        <v>33506</v>
      </c>
      <c r="B704" s="8" t="s">
        <v>8551</v>
      </c>
    </row>
    <row r="705" spans="1:2">
      <c r="A705" s="8">
        <v>33507</v>
      </c>
      <c r="B705" s="8" t="s">
        <v>8552</v>
      </c>
    </row>
    <row r="706" spans="1:2">
      <c r="A706" s="8">
        <v>33508</v>
      </c>
      <c r="B706" s="8" t="s">
        <v>8553</v>
      </c>
    </row>
    <row r="707" spans="1:2">
      <c r="A707" s="8">
        <v>33600</v>
      </c>
      <c r="B707" s="8" t="s">
        <v>8554</v>
      </c>
    </row>
    <row r="708" spans="1:2">
      <c r="A708" s="8">
        <v>33601</v>
      </c>
      <c r="B708" s="8" t="s">
        <v>8555</v>
      </c>
    </row>
    <row r="709" spans="1:2">
      <c r="A709" s="8">
        <v>33602</v>
      </c>
      <c r="B709" s="8" t="s">
        <v>8556</v>
      </c>
    </row>
    <row r="710" spans="1:2">
      <c r="A710" s="8">
        <v>33603</v>
      </c>
      <c r="B710" s="8" t="s">
        <v>8557</v>
      </c>
    </row>
    <row r="711" spans="1:2">
      <c r="A711" s="8">
        <v>33604</v>
      </c>
      <c r="B711" s="8" t="s">
        <v>7325</v>
      </c>
    </row>
    <row r="712" spans="1:2">
      <c r="A712" s="8">
        <v>33605</v>
      </c>
      <c r="B712" s="8" t="s">
        <v>7326</v>
      </c>
    </row>
    <row r="713" spans="1:2">
      <c r="A713" s="8">
        <v>33606</v>
      </c>
      <c r="B713" s="8" t="s">
        <v>7327</v>
      </c>
    </row>
    <row r="714" spans="1:2">
      <c r="A714" s="8">
        <v>33621</v>
      </c>
      <c r="B714" s="8" t="s">
        <v>8558</v>
      </c>
    </row>
    <row r="715" spans="1:2">
      <c r="A715" s="8">
        <v>33622</v>
      </c>
      <c r="B715" s="8" t="s">
        <v>8559</v>
      </c>
    </row>
    <row r="716" spans="1:2">
      <c r="A716" s="8">
        <v>33623</v>
      </c>
      <c r="B716" s="8" t="s">
        <v>8560</v>
      </c>
    </row>
    <row r="717" spans="1:2">
      <c r="A717" s="8">
        <v>33624</v>
      </c>
      <c r="B717" s="8" t="s">
        <v>8561</v>
      </c>
    </row>
    <row r="718" spans="1:2">
      <c r="A718" s="8">
        <v>33625</v>
      </c>
      <c r="B718" s="8" t="s">
        <v>8562</v>
      </c>
    </row>
    <row r="719" spans="1:2">
      <c r="A719" s="8">
        <v>33626</v>
      </c>
      <c r="B719" s="8" t="s">
        <v>8563</v>
      </c>
    </row>
    <row r="720" spans="1:2">
      <c r="A720" s="8">
        <v>33627</v>
      </c>
      <c r="B720" s="8" t="s">
        <v>8564</v>
      </c>
    </row>
    <row r="721" spans="1:2">
      <c r="A721" s="8">
        <v>33628</v>
      </c>
      <c r="B721" s="8" t="s">
        <v>8565</v>
      </c>
    </row>
    <row r="722" spans="1:2">
      <c r="A722" s="8">
        <v>33629</v>
      </c>
      <c r="B722" s="8" t="s">
        <v>8566</v>
      </c>
    </row>
    <row r="723" spans="1:2">
      <c r="A723" s="8">
        <v>33630</v>
      </c>
      <c r="B723" s="8" t="s">
        <v>8567</v>
      </c>
    </row>
    <row r="724" spans="1:2">
      <c r="A724" s="8">
        <v>33631</v>
      </c>
      <c r="B724" s="8" t="s">
        <v>8568</v>
      </c>
    </row>
    <row r="725" spans="1:2">
      <c r="A725" s="8">
        <v>33632</v>
      </c>
      <c r="B725" s="8" t="s">
        <v>8569</v>
      </c>
    </row>
    <row r="726" spans="1:2">
      <c r="A726" s="8">
        <v>33633</v>
      </c>
      <c r="B726" s="8" t="s">
        <v>8570</v>
      </c>
    </row>
    <row r="727" spans="1:2">
      <c r="A727" s="8">
        <v>33634</v>
      </c>
      <c r="B727" s="8" t="s">
        <v>8571</v>
      </c>
    </row>
    <row r="728" spans="1:2">
      <c r="A728" s="8">
        <v>33990</v>
      </c>
      <c r="B728" s="8" t="s">
        <v>2436</v>
      </c>
    </row>
    <row r="729" spans="1:2">
      <c r="A729" s="8">
        <v>33999</v>
      </c>
      <c r="B729" s="8" t="s">
        <v>2437</v>
      </c>
    </row>
    <row r="730" spans="1:2">
      <c r="A730" s="8">
        <v>33998</v>
      </c>
      <c r="B730" s="8" t="s">
        <v>2438</v>
      </c>
    </row>
    <row r="731" spans="1:2">
      <c r="A731" s="8">
        <v>33997</v>
      </c>
      <c r="B731" s="8" t="s">
        <v>2439</v>
      </c>
    </row>
    <row r="732" spans="1:2">
      <c r="A732" s="8">
        <v>34001</v>
      </c>
      <c r="B732" s="8" t="s">
        <v>2440</v>
      </c>
    </row>
    <row r="733" spans="1:2">
      <c r="A733" s="8">
        <v>34002</v>
      </c>
      <c r="B733" s="8" t="s">
        <v>2441</v>
      </c>
    </row>
    <row r="734" spans="1:2">
      <c r="A734" s="8">
        <v>34003</v>
      </c>
      <c r="B734" s="8" t="s">
        <v>2442</v>
      </c>
    </row>
    <row r="735" spans="1:2">
      <c r="A735" s="8">
        <v>34004</v>
      </c>
      <c r="B735" s="8" t="s">
        <v>2443</v>
      </c>
    </row>
    <row r="736" spans="1:2">
      <c r="A736" s="8">
        <v>34005</v>
      </c>
      <c r="B736" s="8" t="s">
        <v>2444</v>
      </c>
    </row>
    <row r="737" spans="1:2">
      <c r="A737" s="8">
        <v>34006</v>
      </c>
      <c r="B737" s="8" t="s">
        <v>2445</v>
      </c>
    </row>
    <row r="738" spans="1:2">
      <c r="A738" s="8">
        <v>34007</v>
      </c>
      <c r="B738" s="8" t="s">
        <v>2446</v>
      </c>
    </row>
    <row r="739" spans="1:2">
      <c r="A739" s="8">
        <v>34008</v>
      </c>
      <c r="B739" s="8" t="s">
        <v>2447</v>
      </c>
    </row>
    <row r="740" spans="1:2">
      <c r="A740" s="8">
        <v>34009</v>
      </c>
      <c r="B740" s="8" t="s">
        <v>2448</v>
      </c>
    </row>
    <row r="741" spans="1:2">
      <c r="A741" s="8">
        <v>34010</v>
      </c>
      <c r="B741" s="8" t="s">
        <v>2449</v>
      </c>
    </row>
    <row r="742" spans="1:2">
      <c r="A742" s="8">
        <v>34011</v>
      </c>
      <c r="B742" s="8" t="s">
        <v>2450</v>
      </c>
    </row>
    <row r="743" spans="1:2">
      <c r="A743" s="8">
        <v>34012</v>
      </c>
      <c r="B743" s="8" t="s">
        <v>2451</v>
      </c>
    </row>
    <row r="744" spans="1:2">
      <c r="A744" s="8">
        <v>34013</v>
      </c>
      <c r="B744" s="8" t="s">
        <v>2452</v>
      </c>
    </row>
    <row r="745" spans="1:2">
      <c r="A745" s="8">
        <v>34014</v>
      </c>
      <c r="B745" s="8" t="s">
        <v>2453</v>
      </c>
    </row>
    <row r="746" spans="1:2">
      <c r="A746" s="8">
        <v>34015</v>
      </c>
      <c r="B746" s="8" t="s">
        <v>8572</v>
      </c>
    </row>
    <row r="747" spans="1:2">
      <c r="A747" s="8">
        <v>34091</v>
      </c>
      <c r="B747" s="8" t="s">
        <v>2454</v>
      </c>
    </row>
    <row r="748" spans="1:2">
      <c r="A748" s="8">
        <v>34092</v>
      </c>
      <c r="B748" s="8" t="s">
        <v>2455</v>
      </c>
    </row>
    <row r="749" spans="1:2">
      <c r="A749" s="8">
        <v>34093</v>
      </c>
      <c r="B749" s="8" t="s">
        <v>2456</v>
      </c>
    </row>
    <row r="750" spans="1:2">
      <c r="A750" s="8">
        <v>34094</v>
      </c>
      <c r="B750" s="8" t="s">
        <v>8573</v>
      </c>
    </row>
    <row r="751" spans="1:2">
      <c r="A751" s="8">
        <v>34095</v>
      </c>
      <c r="B751" s="8" t="s">
        <v>8574</v>
      </c>
    </row>
    <row r="752" spans="1:2">
      <c r="A752" s="8">
        <v>34096</v>
      </c>
      <c r="B752" s="8" t="s">
        <v>8575</v>
      </c>
    </row>
    <row r="753" spans="1:2">
      <c r="A753" s="8">
        <v>34097</v>
      </c>
      <c r="B753" s="8" t="s">
        <v>8576</v>
      </c>
    </row>
    <row r="754" spans="1:2">
      <c r="A754" s="8">
        <v>34098</v>
      </c>
      <c r="B754" s="8" t="s">
        <v>8577</v>
      </c>
    </row>
    <row r="755" spans="1:2">
      <c r="A755" s="8">
        <v>34099</v>
      </c>
      <c r="B755" s="8" t="s">
        <v>8578</v>
      </c>
    </row>
    <row r="756" spans="1:2">
      <c r="A756" s="8">
        <v>34101</v>
      </c>
      <c r="B756" s="8" t="s">
        <v>2457</v>
      </c>
    </row>
    <row r="757" spans="1:2">
      <c r="A757" s="8">
        <v>34102</v>
      </c>
      <c r="B757" s="8" t="s">
        <v>8579</v>
      </c>
    </row>
    <row r="758" spans="1:2">
      <c r="A758" s="8">
        <v>34103</v>
      </c>
      <c r="B758" s="8" t="s">
        <v>8580</v>
      </c>
    </row>
    <row r="759" spans="1:2">
      <c r="A759" s="8">
        <v>34104</v>
      </c>
      <c r="B759" s="8" t="s">
        <v>8581</v>
      </c>
    </row>
    <row r="760" spans="1:2">
      <c r="A760" s="8">
        <v>34105</v>
      </c>
      <c r="B760" s="8" t="s">
        <v>8582</v>
      </c>
    </row>
    <row r="761" spans="1:2">
      <c r="A761" s="8">
        <v>34106</v>
      </c>
      <c r="B761" s="8" t="s">
        <v>8583</v>
      </c>
    </row>
    <row r="762" spans="1:2">
      <c r="A762" s="8">
        <v>34107</v>
      </c>
      <c r="B762" s="8" t="s">
        <v>8584</v>
      </c>
    </row>
    <row r="763" spans="1:2">
      <c r="A763" s="8">
        <v>34108</v>
      </c>
      <c r="B763" s="8" t="s">
        <v>8585</v>
      </c>
    </row>
    <row r="764" spans="1:2">
      <c r="A764" s="8">
        <v>34109</v>
      </c>
      <c r="B764" s="8" t="s">
        <v>8586</v>
      </c>
    </row>
    <row r="765" spans="1:2">
      <c r="A765" s="8">
        <v>34110</v>
      </c>
      <c r="B765" s="8" t="s">
        <v>8587</v>
      </c>
    </row>
    <row r="766" spans="1:2">
      <c r="A766" s="8">
        <v>34111</v>
      </c>
      <c r="B766" s="8" t="s">
        <v>8588</v>
      </c>
    </row>
    <row r="767" spans="1:2">
      <c r="A767" s="8">
        <v>34112</v>
      </c>
      <c r="B767" s="8" t="s">
        <v>8589</v>
      </c>
    </row>
    <row r="768" spans="1:2">
      <c r="A768" s="8">
        <v>34113</v>
      </c>
      <c r="B768" s="8" t="s">
        <v>8590</v>
      </c>
    </row>
    <row r="769" spans="1:2">
      <c r="A769" s="8">
        <v>34114</v>
      </c>
      <c r="B769" s="8" t="s">
        <v>8591</v>
      </c>
    </row>
    <row r="770" spans="1:2">
      <c r="A770" s="8">
        <v>34201</v>
      </c>
      <c r="B770" s="8" t="s">
        <v>2458</v>
      </c>
    </row>
    <row r="771" spans="1:2">
      <c r="A771" s="8">
        <v>34202</v>
      </c>
      <c r="B771" s="8" t="s">
        <v>2459</v>
      </c>
    </row>
    <row r="772" spans="1:2">
      <c r="A772" s="8">
        <v>34203</v>
      </c>
      <c r="B772" s="8" t="s">
        <v>8592</v>
      </c>
    </row>
    <row r="773" spans="1:2">
      <c r="A773" s="8">
        <v>34204</v>
      </c>
      <c r="B773" s="8" t="s">
        <v>8593</v>
      </c>
    </row>
    <row r="774" spans="1:2">
      <c r="A774" s="8">
        <v>34205</v>
      </c>
      <c r="B774" s="8" t="s">
        <v>8594</v>
      </c>
    </row>
    <row r="775" spans="1:2">
      <c r="A775" s="8">
        <v>34206</v>
      </c>
      <c r="B775" s="8" t="s">
        <v>8595</v>
      </c>
    </row>
    <row r="776" spans="1:2">
      <c r="A776" s="8">
        <v>34207</v>
      </c>
      <c r="B776" s="8" t="s">
        <v>8596</v>
      </c>
    </row>
    <row r="777" spans="1:2">
      <c r="A777" s="8">
        <v>34208</v>
      </c>
      <c r="B777" s="8" t="s">
        <v>8597</v>
      </c>
    </row>
    <row r="778" spans="1:2">
      <c r="A778" s="8">
        <v>34209</v>
      </c>
      <c r="B778" s="8" t="s">
        <v>2460</v>
      </c>
    </row>
    <row r="779" spans="1:2">
      <c r="A779" s="8">
        <v>34210</v>
      </c>
      <c r="B779" s="8" t="s">
        <v>2461</v>
      </c>
    </row>
    <row r="780" spans="1:2">
      <c r="A780" s="8">
        <v>34211</v>
      </c>
      <c r="B780" s="8" t="s">
        <v>8598</v>
      </c>
    </row>
    <row r="781" spans="1:2">
      <c r="A781" s="8">
        <v>34212</v>
      </c>
      <c r="B781" s="8" t="s">
        <v>8599</v>
      </c>
    </row>
    <row r="782" spans="1:2">
      <c r="A782" s="8">
        <v>34213</v>
      </c>
      <c r="B782" s="8" t="s">
        <v>8600</v>
      </c>
    </row>
    <row r="783" spans="1:2">
      <c r="A783" s="8">
        <v>34214</v>
      </c>
      <c r="B783" s="8" t="s">
        <v>8601</v>
      </c>
    </row>
    <row r="784" spans="1:2">
      <c r="A784" s="8">
        <v>34215</v>
      </c>
      <c r="B784" s="8" t="s">
        <v>8602</v>
      </c>
    </row>
    <row r="785" spans="1:2">
      <c r="A785" s="8">
        <v>34216</v>
      </c>
      <c r="B785" s="8" t="s">
        <v>8603</v>
      </c>
    </row>
    <row r="786" spans="1:2">
      <c r="A786" s="8">
        <v>34217</v>
      </c>
      <c r="B786" s="8" t="s">
        <v>8604</v>
      </c>
    </row>
    <row r="787" spans="1:2">
      <c r="A787" s="8">
        <v>34218</v>
      </c>
      <c r="B787" s="8" t="s">
        <v>8605</v>
      </c>
    </row>
    <row r="788" spans="1:2">
      <c r="A788" s="8">
        <v>34219</v>
      </c>
      <c r="B788" s="8" t="s">
        <v>8606</v>
      </c>
    </row>
    <row r="789" spans="1:2">
      <c r="A789" s="8">
        <v>34220</v>
      </c>
      <c r="B789" s="8" t="s">
        <v>8607</v>
      </c>
    </row>
    <row r="790" spans="1:2">
      <c r="A790" s="8">
        <v>34221</v>
      </c>
      <c r="B790" s="8" t="s">
        <v>8608</v>
      </c>
    </row>
    <row r="791" spans="1:2">
      <c r="A791" s="8">
        <v>34222</v>
      </c>
      <c r="B791" s="8" t="s">
        <v>8609</v>
      </c>
    </row>
    <row r="792" spans="1:2">
      <c r="A792" s="8">
        <v>34223</v>
      </c>
      <c r="B792" s="8" t="s">
        <v>8610</v>
      </c>
    </row>
    <row r="793" spans="1:2">
      <c r="A793" s="8">
        <v>34224</v>
      </c>
      <c r="B793" s="8" t="s">
        <v>8611</v>
      </c>
    </row>
    <row r="794" spans="1:2">
      <c r="A794" s="8">
        <v>34225</v>
      </c>
      <c r="B794" s="8" t="s">
        <v>8612</v>
      </c>
    </row>
    <row r="795" spans="1:2">
      <c r="A795" s="8">
        <v>34226</v>
      </c>
      <c r="B795" s="8" t="s">
        <v>8613</v>
      </c>
    </row>
    <row r="796" spans="1:2">
      <c r="A796" s="8">
        <v>34227</v>
      </c>
      <c r="B796" s="8" t="s">
        <v>8614</v>
      </c>
    </row>
    <row r="797" spans="1:2">
      <c r="A797" s="8">
        <v>34228</v>
      </c>
      <c r="B797" s="8" t="s">
        <v>8615</v>
      </c>
    </row>
    <row r="798" spans="1:2">
      <c r="A798" s="8">
        <v>34229</v>
      </c>
      <c r="B798" s="8" t="s">
        <v>8616</v>
      </c>
    </row>
    <row r="799" spans="1:2">
      <c r="A799" s="8">
        <v>34230</v>
      </c>
      <c r="B799" s="8" t="s">
        <v>8617</v>
      </c>
    </row>
    <row r="800" spans="1:2">
      <c r="A800" s="8">
        <v>34231</v>
      </c>
      <c r="B800" s="8" t="s">
        <v>8618</v>
      </c>
    </row>
    <row r="801" spans="1:2">
      <c r="A801" s="8">
        <v>34232</v>
      </c>
      <c r="B801" s="8" t="s">
        <v>8619</v>
      </c>
    </row>
    <row r="802" spans="1:2">
      <c r="A802" s="8">
        <v>34233</v>
      </c>
      <c r="B802" s="8" t="s">
        <v>8620</v>
      </c>
    </row>
    <row r="803" spans="1:2">
      <c r="A803" s="8">
        <v>34234</v>
      </c>
      <c r="B803" s="8" t="s">
        <v>8621</v>
      </c>
    </row>
    <row r="804" spans="1:2">
      <c r="A804" s="8">
        <v>34235</v>
      </c>
      <c r="B804" s="8" t="s">
        <v>8622</v>
      </c>
    </row>
    <row r="805" spans="1:2">
      <c r="A805" s="8">
        <v>34236</v>
      </c>
      <c r="B805" s="8" t="s">
        <v>8623</v>
      </c>
    </row>
    <row r="806" spans="1:2">
      <c r="A806" s="8">
        <v>34237</v>
      </c>
      <c r="B806" s="8" t="s">
        <v>8624</v>
      </c>
    </row>
    <row r="807" spans="1:2">
      <c r="A807" s="8">
        <v>34238</v>
      </c>
      <c r="B807" s="8" t="s">
        <v>8625</v>
      </c>
    </row>
    <row r="808" spans="1:2">
      <c r="A808" s="8">
        <v>35001</v>
      </c>
      <c r="B808" s="8" t="s">
        <v>2462</v>
      </c>
    </row>
    <row r="809" spans="1:2">
      <c r="A809" s="8">
        <v>35002</v>
      </c>
      <c r="B809" s="8" t="s">
        <v>2463</v>
      </c>
    </row>
    <row r="810" spans="1:2">
      <c r="A810" s="8">
        <v>35003</v>
      </c>
      <c r="B810" s="8" t="s">
        <v>2464</v>
      </c>
    </row>
    <row r="811" spans="1:2">
      <c r="A811" s="8">
        <v>35107</v>
      </c>
      <c r="B811" s="8" t="s">
        <v>8626</v>
      </c>
    </row>
    <row r="812" spans="1:2">
      <c r="A812" s="8">
        <v>35108</v>
      </c>
      <c r="B812" s="8" t="s">
        <v>2465</v>
      </c>
    </row>
    <row r="813" spans="1:2">
      <c r="A813" s="8">
        <v>35201</v>
      </c>
      <c r="B813" s="8" t="s">
        <v>8627</v>
      </c>
    </row>
    <row r="814" spans="1:2">
      <c r="A814" s="8">
        <v>35202</v>
      </c>
      <c r="B814" s="8" t="s">
        <v>8628</v>
      </c>
    </row>
    <row r="815" spans="1:2">
      <c r="A815" s="8">
        <v>35203</v>
      </c>
      <c r="B815" s="8" t="s">
        <v>8629</v>
      </c>
    </row>
    <row r="816" spans="1:2">
      <c r="A816" s="8">
        <v>35204</v>
      </c>
      <c r="B816" s="8" t="s">
        <v>8630</v>
      </c>
    </row>
    <row r="817" spans="1:2">
      <c r="A817" s="8">
        <v>35205</v>
      </c>
      <c r="B817" s="8" t="s">
        <v>8631</v>
      </c>
    </row>
    <row r="818" spans="1:2">
      <c r="A818" s="8">
        <v>35206</v>
      </c>
      <c r="B818" s="8" t="s">
        <v>8632</v>
      </c>
    </row>
    <row r="819" spans="1:2">
      <c r="A819" s="8">
        <v>35207</v>
      </c>
      <c r="B819" s="8" t="s">
        <v>8633</v>
      </c>
    </row>
    <row r="820" spans="1:2">
      <c r="A820" s="8">
        <v>35208</v>
      </c>
      <c r="B820" s="8" t="s">
        <v>8634</v>
      </c>
    </row>
    <row r="821" spans="1:2">
      <c r="A821" s="8">
        <v>35209</v>
      </c>
      <c r="B821" s="8" t="s">
        <v>8635</v>
      </c>
    </row>
    <row r="822" spans="1:2">
      <c r="A822" s="8">
        <v>35210</v>
      </c>
      <c r="B822" s="8" t="s">
        <v>8636</v>
      </c>
    </row>
    <row r="823" spans="1:2">
      <c r="A823" s="8">
        <v>35211</v>
      </c>
      <c r="B823" s="8" t="s">
        <v>8637</v>
      </c>
    </row>
    <row r="824" spans="1:2">
      <c r="A824" s="8">
        <v>35212</v>
      </c>
      <c r="B824" s="8" t="s">
        <v>8638</v>
      </c>
    </row>
    <row r="825" spans="1:2">
      <c r="A825" s="8">
        <v>35213</v>
      </c>
      <c r="B825" s="8" t="s">
        <v>8639</v>
      </c>
    </row>
    <row r="826" spans="1:2">
      <c r="A826" s="8">
        <v>35214</v>
      </c>
      <c r="B826" s="8" t="s">
        <v>8640</v>
      </c>
    </row>
    <row r="827" spans="1:2">
      <c r="A827" s="8">
        <v>35215</v>
      </c>
      <c r="B827" s="8" t="s">
        <v>8641</v>
      </c>
    </row>
    <row r="828" spans="1:2">
      <c r="A828" s="8">
        <v>35216</v>
      </c>
      <c r="B828" s="8" t="s">
        <v>8642</v>
      </c>
    </row>
    <row r="829" spans="1:2">
      <c r="A829" s="8">
        <v>35217</v>
      </c>
      <c r="B829" s="8" t="s">
        <v>8643</v>
      </c>
    </row>
    <row r="830" spans="1:2">
      <c r="A830" s="8">
        <v>35301</v>
      </c>
      <c r="B830" s="8" t="s">
        <v>8644</v>
      </c>
    </row>
    <row r="831" spans="1:2">
      <c r="A831" s="8">
        <v>35302</v>
      </c>
      <c r="B831" s="8" t="s">
        <v>8645</v>
      </c>
    </row>
    <row r="832" spans="1:2">
      <c r="A832" s="8">
        <v>35303</v>
      </c>
      <c r="B832" s="8" t="s">
        <v>8646</v>
      </c>
    </row>
    <row r="833" spans="1:2">
      <c r="A833" s="8">
        <v>35304</v>
      </c>
      <c r="B833" s="8" t="s">
        <v>8647</v>
      </c>
    </row>
    <row r="834" spans="1:2">
      <c r="A834" s="8">
        <v>35305</v>
      </c>
      <c r="B834" s="8" t="s">
        <v>8648</v>
      </c>
    </row>
    <row r="835" spans="1:2">
      <c r="A835" s="8">
        <v>35306</v>
      </c>
      <c r="B835" s="8" t="s">
        <v>8649</v>
      </c>
    </row>
    <row r="836" spans="1:2">
      <c r="A836" s="8">
        <v>35307</v>
      </c>
      <c r="B836" s="8" t="s">
        <v>8650</v>
      </c>
    </row>
    <row r="837" spans="1:2">
      <c r="A837" s="8">
        <v>35308</v>
      </c>
      <c r="B837" s="8" t="s">
        <v>8651</v>
      </c>
    </row>
    <row r="838" spans="1:2">
      <c r="A838" s="8">
        <v>35309</v>
      </c>
      <c r="B838" s="8" t="s">
        <v>8652</v>
      </c>
    </row>
    <row r="839" spans="1:2">
      <c r="A839" s="8">
        <v>35310</v>
      </c>
      <c r="B839" s="8" t="s">
        <v>8653</v>
      </c>
    </row>
    <row r="840" spans="1:2">
      <c r="A840" s="8">
        <v>35311</v>
      </c>
      <c r="B840" s="8" t="s">
        <v>8654</v>
      </c>
    </row>
    <row r="841" spans="1:2">
      <c r="A841" s="8">
        <v>35312</v>
      </c>
      <c r="B841" s="8" t="s">
        <v>8655</v>
      </c>
    </row>
    <row r="842" spans="1:2">
      <c r="A842" s="8">
        <v>36002</v>
      </c>
      <c r="B842" s="8" t="s">
        <v>8656</v>
      </c>
    </row>
    <row r="843" spans="1:2">
      <c r="A843" s="8">
        <v>36007</v>
      </c>
      <c r="B843" s="8" t="s">
        <v>8657</v>
      </c>
    </row>
    <row r="844" spans="1:2">
      <c r="A844" s="8">
        <v>36008</v>
      </c>
      <c r="B844" s="8" t="s">
        <v>8658</v>
      </c>
    </row>
    <row r="845" spans="1:2">
      <c r="A845" s="8">
        <v>36009</v>
      </c>
      <c r="B845" s="8" t="s">
        <v>2466</v>
      </c>
    </row>
    <row r="846" spans="1:2">
      <c r="A846" s="8">
        <v>36010</v>
      </c>
      <c r="B846" s="8" t="s">
        <v>8659</v>
      </c>
    </row>
    <row r="847" spans="1:2">
      <c r="A847" s="8">
        <v>36011</v>
      </c>
      <c r="B847" s="8" t="s">
        <v>2467</v>
      </c>
    </row>
    <row r="848" spans="1:2">
      <c r="A848" s="8">
        <v>36012</v>
      </c>
      <c r="B848" s="8" t="s">
        <v>2468</v>
      </c>
    </row>
    <row r="849" spans="1:2">
      <c r="A849" s="8">
        <v>36013</v>
      </c>
      <c r="B849" s="8" t="s">
        <v>2469</v>
      </c>
    </row>
    <row r="850" spans="1:2">
      <c r="A850" s="8">
        <v>36014</v>
      </c>
      <c r="B850" s="8" t="s">
        <v>8660</v>
      </c>
    </row>
    <row r="851" spans="1:2">
      <c r="A851" s="8">
        <v>36501</v>
      </c>
      <c r="B851" s="8" t="s">
        <v>2470</v>
      </c>
    </row>
    <row r="852" spans="1:2">
      <c r="A852" s="8">
        <v>36502</v>
      </c>
      <c r="B852" s="8" t="s">
        <v>2471</v>
      </c>
    </row>
    <row r="853" spans="1:2">
      <c r="A853" s="8">
        <v>36503</v>
      </c>
      <c r="B853" s="8" t="s">
        <v>2472</v>
      </c>
    </row>
    <row r="854" spans="1:2">
      <c r="A854" s="8">
        <v>36504</v>
      </c>
      <c r="B854" s="8" t="s">
        <v>8661</v>
      </c>
    </row>
    <row r="855" spans="1:2">
      <c r="A855" s="8">
        <v>36505</v>
      </c>
      <c r="B855" s="8" t="s">
        <v>8952</v>
      </c>
    </row>
    <row r="856" spans="1:2">
      <c r="A856" s="8">
        <v>36506</v>
      </c>
      <c r="B856" s="8" t="s">
        <v>8953</v>
      </c>
    </row>
    <row r="857" spans="1:2">
      <c r="A857" s="8">
        <v>36507</v>
      </c>
      <c r="B857" s="8" t="s">
        <v>8954</v>
      </c>
    </row>
    <row r="858" spans="1:2">
      <c r="A858" s="8">
        <v>36601</v>
      </c>
      <c r="B858" s="8" t="s">
        <v>8955</v>
      </c>
    </row>
    <row r="859" spans="1:2">
      <c r="A859" s="8">
        <v>36602</v>
      </c>
      <c r="B859" s="8" t="s">
        <v>8956</v>
      </c>
    </row>
    <row r="860" spans="1:2">
      <c r="A860" s="8">
        <v>36603</v>
      </c>
      <c r="B860" s="8" t="s">
        <v>8957</v>
      </c>
    </row>
    <row r="861" spans="1:2">
      <c r="A861" s="8">
        <v>37001</v>
      </c>
      <c r="B861" s="8" t="s">
        <v>8662</v>
      </c>
    </row>
    <row r="862" spans="1:2">
      <c r="A862" s="8">
        <v>39001</v>
      </c>
      <c r="B862" s="8" t="s">
        <v>2473</v>
      </c>
    </row>
    <row r="863" spans="1:2">
      <c r="A863" s="8">
        <v>39002</v>
      </c>
      <c r="B863" s="8" t="s">
        <v>2474</v>
      </c>
    </row>
    <row r="864" spans="1:2">
      <c r="A864" s="12">
        <v>39003</v>
      </c>
      <c r="B864" s="8" t="s">
        <v>2475</v>
      </c>
    </row>
    <row r="865" spans="1:2">
      <c r="A865" s="8">
        <v>39004</v>
      </c>
      <c r="B865" s="8" t="s">
        <v>2476</v>
      </c>
    </row>
    <row r="866" spans="1:2">
      <c r="A866" s="8">
        <v>39005</v>
      </c>
      <c r="B866" s="8" t="s">
        <v>2477</v>
      </c>
    </row>
    <row r="867" spans="1:2">
      <c r="A867" s="8">
        <v>39006</v>
      </c>
      <c r="B867" s="8" t="s">
        <v>2478</v>
      </c>
    </row>
    <row r="868" spans="1:2">
      <c r="A868" s="8">
        <v>39007</v>
      </c>
      <c r="B868" s="8" t="s">
        <v>2479</v>
      </c>
    </row>
    <row r="869" spans="1:2">
      <c r="A869" s="8">
        <v>39008</v>
      </c>
      <c r="B869" s="8" t="s">
        <v>2480</v>
      </c>
    </row>
    <row r="870" spans="1:2">
      <c r="A870" s="8">
        <v>39009</v>
      </c>
      <c r="B870" s="8" t="s">
        <v>2481</v>
      </c>
    </row>
    <row r="871" spans="1:2">
      <c r="A871" s="8">
        <v>39010</v>
      </c>
      <c r="B871" s="8" t="s">
        <v>2165</v>
      </c>
    </row>
    <row r="872" spans="1:2">
      <c r="A872" s="8">
        <v>39011</v>
      </c>
      <c r="B872" s="8" t="s">
        <v>2482</v>
      </c>
    </row>
    <row r="873" spans="1:2">
      <c r="A873" s="8">
        <v>39012</v>
      </c>
      <c r="B873" s="8" t="s">
        <v>8663</v>
      </c>
    </row>
    <row r="874" spans="1:2">
      <c r="A874" s="8">
        <v>39013</v>
      </c>
      <c r="B874" s="8" t="s">
        <v>8664</v>
      </c>
    </row>
    <row r="875" spans="1:2">
      <c r="A875" s="8">
        <v>39014</v>
      </c>
      <c r="B875" s="8" t="s">
        <v>8665</v>
      </c>
    </row>
    <row r="876" spans="1:2">
      <c r="A876" s="8">
        <v>39015</v>
      </c>
      <c r="B876" s="8" t="s">
        <v>8666</v>
      </c>
    </row>
    <row r="877" spans="1:2">
      <c r="A877" s="8">
        <v>39016</v>
      </c>
      <c r="B877" s="8" t="s">
        <v>8667</v>
      </c>
    </row>
    <row r="878" spans="1:2">
      <c r="A878" s="8">
        <v>39017</v>
      </c>
      <c r="B878" s="8" t="s">
        <v>8668</v>
      </c>
    </row>
    <row r="879" spans="1:2">
      <c r="A879" s="23">
        <v>39018</v>
      </c>
      <c r="B879" s="8" t="s">
        <v>8669</v>
      </c>
    </row>
    <row r="880" spans="1:2">
      <c r="A880">
        <v>39019</v>
      </c>
      <c r="B880" s="8" t="s">
        <v>8670</v>
      </c>
    </row>
    <row r="881" spans="1:2">
      <c r="A881">
        <v>39020</v>
      </c>
      <c r="B881" s="8" t="s">
        <v>8671</v>
      </c>
    </row>
    <row r="882" spans="1:2">
      <c r="A882">
        <v>39021</v>
      </c>
      <c r="B882" s="8" t="s">
        <v>8672</v>
      </c>
    </row>
    <row r="883" spans="1:2">
      <c r="A883">
        <v>39022</v>
      </c>
      <c r="B883" s="8" t="s">
        <v>8673</v>
      </c>
    </row>
    <row r="884" spans="1:2">
      <c r="A884">
        <v>39023</v>
      </c>
      <c r="B884" s="8" t="s">
        <v>8674</v>
      </c>
    </row>
    <row r="885" spans="1:2">
      <c r="A885">
        <v>39024</v>
      </c>
      <c r="B885" s="8" t="s">
        <v>8675</v>
      </c>
    </row>
    <row r="886" spans="1:2">
      <c r="A886">
        <v>39025</v>
      </c>
      <c r="B886" s="8" t="s">
        <v>8676</v>
      </c>
    </row>
    <row r="887" spans="1:2">
      <c r="A887">
        <v>39026</v>
      </c>
      <c r="B887" s="8" t="s">
        <v>8677</v>
      </c>
    </row>
    <row r="888" spans="1:2">
      <c r="A888">
        <v>39027</v>
      </c>
      <c r="B888" s="8" t="s">
        <v>8678</v>
      </c>
    </row>
    <row r="889" spans="1:2">
      <c r="A889">
        <v>39101</v>
      </c>
      <c r="B889" s="8" t="s">
        <v>8679</v>
      </c>
    </row>
    <row r="890" spans="1:2">
      <c r="A890">
        <v>39102</v>
      </c>
      <c r="B890" s="8" t="s">
        <v>8680</v>
      </c>
    </row>
    <row r="891" spans="1:2">
      <c r="A891">
        <v>39103</v>
      </c>
      <c r="B891" s="8" t="s">
        <v>8681</v>
      </c>
    </row>
    <row r="892" spans="1:2">
      <c r="A892">
        <v>39104</v>
      </c>
      <c r="B892" s="8" t="s">
        <v>8682</v>
      </c>
    </row>
    <row r="893" spans="1:2">
      <c r="A893">
        <v>39105</v>
      </c>
      <c r="B893" s="8" t="s">
        <v>8683</v>
      </c>
    </row>
    <row r="894" spans="1:2">
      <c r="A894">
        <v>39501</v>
      </c>
      <c r="B894" s="8" t="s">
        <v>8684</v>
      </c>
    </row>
    <row r="895" spans="1:2">
      <c r="A895">
        <v>39502</v>
      </c>
      <c r="B895" s="8" t="s">
        <v>8685</v>
      </c>
    </row>
    <row r="896" spans="1:2">
      <c r="A896"/>
    </row>
    <row r="897" spans="1:2">
      <c r="A897">
        <v>1000</v>
      </c>
      <c r="B897" s="8" t="s">
        <v>2147</v>
      </c>
    </row>
    <row r="898" spans="1:2">
      <c r="A898">
        <v>1001</v>
      </c>
      <c r="B898" s="8" t="s">
        <v>2148</v>
      </c>
    </row>
    <row r="899" spans="1:2">
      <c r="A899">
        <v>1002</v>
      </c>
      <c r="B899" s="8" t="s">
        <v>2149</v>
      </c>
    </row>
    <row r="900" spans="1:2">
      <c r="A900">
        <v>1003</v>
      </c>
      <c r="B900" s="8" t="s">
        <v>2150</v>
      </c>
    </row>
    <row r="901" spans="1:2">
      <c r="A901">
        <v>1004</v>
      </c>
      <c r="B901" s="8" t="s">
        <v>2151</v>
      </c>
    </row>
    <row r="902" spans="1:2">
      <c r="A902">
        <v>1005</v>
      </c>
      <c r="B902" s="8" t="s">
        <v>2152</v>
      </c>
    </row>
    <row r="903" spans="1:2">
      <c r="A903">
        <v>1006</v>
      </c>
      <c r="B903" s="8" t="s">
        <v>2153</v>
      </c>
    </row>
    <row r="904" spans="1:2">
      <c r="A904">
        <v>1007</v>
      </c>
      <c r="B904" s="8" t="s">
        <v>2154</v>
      </c>
    </row>
    <row r="905" spans="1:2">
      <c r="A905">
        <v>1008</v>
      </c>
      <c r="B905" s="8" t="s">
        <v>2155</v>
      </c>
    </row>
    <row r="906" spans="1:2">
      <c r="A906">
        <v>1009</v>
      </c>
      <c r="B906" s="8" t="s">
        <v>2156</v>
      </c>
    </row>
    <row r="907" spans="1:2">
      <c r="A907">
        <v>1010</v>
      </c>
      <c r="B907" s="8" t="s">
        <v>2157</v>
      </c>
    </row>
    <row r="908" spans="1:2">
      <c r="A908">
        <v>1011</v>
      </c>
      <c r="B908" s="8" t="s">
        <v>8686</v>
      </c>
    </row>
    <row r="909" spans="1:2">
      <c r="A909">
        <v>1012</v>
      </c>
      <c r="B909" s="8" t="s">
        <v>8687</v>
      </c>
    </row>
    <row r="910" spans="1:2">
      <c r="A910">
        <v>1013</v>
      </c>
      <c r="B910" s="8" t="s">
        <v>8688</v>
      </c>
    </row>
    <row r="911" spans="1:2">
      <c r="A911"/>
    </row>
    <row r="912" spans="1:2">
      <c r="A912">
        <v>10001</v>
      </c>
      <c r="B912" s="8" t="s">
        <v>2483</v>
      </c>
    </row>
    <row r="913" spans="1:2">
      <c r="A913">
        <v>10002</v>
      </c>
      <c r="B913" s="8" t="s">
        <v>2484</v>
      </c>
    </row>
    <row r="914" spans="1:2">
      <c r="A914">
        <v>10003</v>
      </c>
      <c r="B914" s="8" t="s">
        <v>2485</v>
      </c>
    </row>
    <row r="915" spans="1:2">
      <c r="A915">
        <v>10004</v>
      </c>
      <c r="B915" s="8" t="s">
        <v>2486</v>
      </c>
    </row>
    <row r="916" spans="1:2">
      <c r="A916">
        <v>10005</v>
      </c>
      <c r="B916" s="8" t="s">
        <v>2487</v>
      </c>
    </row>
    <row r="917" spans="1:2">
      <c r="A917">
        <v>10006</v>
      </c>
      <c r="B917" s="8" t="s">
        <v>2488</v>
      </c>
    </row>
    <row r="918" spans="1:2">
      <c r="A918">
        <v>10007</v>
      </c>
      <c r="B918" s="8" t="s">
        <v>2489</v>
      </c>
    </row>
    <row r="919" spans="1:2">
      <c r="A919">
        <v>10008</v>
      </c>
      <c r="B919" s="8" t="s">
        <v>2490</v>
      </c>
    </row>
    <row r="920" spans="1:2">
      <c r="A920">
        <v>10010</v>
      </c>
      <c r="B920" s="8" t="s">
        <v>2491</v>
      </c>
    </row>
    <row r="921" spans="1:2">
      <c r="A921">
        <v>10013</v>
      </c>
      <c r="B921" s="8" t="s">
        <v>2492</v>
      </c>
    </row>
    <row r="922" spans="1:2">
      <c r="A922">
        <v>10014</v>
      </c>
      <c r="B922" s="8" t="s">
        <v>2493</v>
      </c>
    </row>
    <row r="923" spans="1:2">
      <c r="A923">
        <v>10015</v>
      </c>
      <c r="B923" s="8" t="s">
        <v>2494</v>
      </c>
    </row>
    <row r="924" spans="1:2">
      <c r="A924">
        <v>10016</v>
      </c>
      <c r="B924" s="8" t="s">
        <v>2495</v>
      </c>
    </row>
    <row r="925" spans="1:2">
      <c r="A925">
        <v>10017</v>
      </c>
      <c r="B925" s="8" t="s">
        <v>2496</v>
      </c>
    </row>
    <row r="926" spans="1:2">
      <c r="A926">
        <v>10018</v>
      </c>
      <c r="B926" s="8" t="s">
        <v>2497</v>
      </c>
    </row>
    <row r="927" spans="1:2">
      <c r="A927">
        <v>10019</v>
      </c>
      <c r="B927" s="8" t="s">
        <v>2498</v>
      </c>
    </row>
    <row r="928" spans="1:2">
      <c r="A928">
        <v>10020</v>
      </c>
      <c r="B928" s="8" t="s">
        <v>2499</v>
      </c>
    </row>
    <row r="929" spans="1:2">
      <c r="A929">
        <v>10021</v>
      </c>
      <c r="B929" s="8" t="s">
        <v>2500</v>
      </c>
    </row>
    <row r="930" spans="1:2">
      <c r="A930">
        <v>10022</v>
      </c>
      <c r="B930" s="8" t="s">
        <v>2501</v>
      </c>
    </row>
    <row r="931" spans="1:2">
      <c r="A931">
        <v>10023</v>
      </c>
      <c r="B931" s="8" t="s">
        <v>2502</v>
      </c>
    </row>
    <row r="932" spans="1:2">
      <c r="A932">
        <v>10024</v>
      </c>
      <c r="B932" s="8" t="s">
        <v>2503</v>
      </c>
    </row>
    <row r="933" spans="1:2">
      <c r="A933">
        <v>10026</v>
      </c>
      <c r="B933" s="8" t="s">
        <v>2504</v>
      </c>
    </row>
    <row r="934" spans="1:2">
      <c r="A934">
        <v>10027</v>
      </c>
      <c r="B934" s="8" t="s">
        <v>2505</v>
      </c>
    </row>
    <row r="935" spans="1:2">
      <c r="A935">
        <v>10028</v>
      </c>
      <c r="B935" s="8" t="s">
        <v>2506</v>
      </c>
    </row>
    <row r="936" spans="1:2">
      <c r="A936">
        <v>10029</v>
      </c>
      <c r="B936" s="8" t="s">
        <v>2507</v>
      </c>
    </row>
    <row r="937" spans="1:2">
      <c r="A937">
        <v>10030</v>
      </c>
      <c r="B937" s="8" t="s">
        <v>2508</v>
      </c>
    </row>
    <row r="938" spans="1:2">
      <c r="A938">
        <v>10031</v>
      </c>
      <c r="B938" s="8" t="s">
        <v>2509</v>
      </c>
    </row>
    <row r="939" spans="1:2">
      <c r="A939">
        <v>10032</v>
      </c>
      <c r="B939" s="8" t="s">
        <v>2510</v>
      </c>
    </row>
    <row r="940" spans="1:2">
      <c r="A940">
        <v>10033</v>
      </c>
      <c r="B940" s="8" t="s">
        <v>2511</v>
      </c>
    </row>
    <row r="941" spans="1:2">
      <c r="A941">
        <v>10034</v>
      </c>
      <c r="B941" s="8" t="s">
        <v>2512</v>
      </c>
    </row>
    <row r="942" spans="1:2">
      <c r="A942">
        <v>10035</v>
      </c>
      <c r="B942" s="8" t="s">
        <v>2513</v>
      </c>
    </row>
    <row r="943" spans="1:2">
      <c r="A943">
        <v>10036</v>
      </c>
      <c r="B943" s="8" t="s">
        <v>2514</v>
      </c>
    </row>
    <row r="944" spans="1:2">
      <c r="A944">
        <v>10037</v>
      </c>
      <c r="B944" s="8" t="s">
        <v>2515</v>
      </c>
    </row>
    <row r="945" spans="1:2">
      <c r="A945">
        <v>10038</v>
      </c>
      <c r="B945" s="8" t="s">
        <v>2516</v>
      </c>
    </row>
    <row r="946" spans="1:2">
      <c r="A946">
        <v>10039</v>
      </c>
      <c r="B946" s="8" t="s">
        <v>2517</v>
      </c>
    </row>
    <row r="947" spans="1:2">
      <c r="A947">
        <v>10040</v>
      </c>
      <c r="B947" s="8" t="s">
        <v>2518</v>
      </c>
    </row>
    <row r="948" spans="1:2">
      <c r="A948">
        <v>10041</v>
      </c>
      <c r="B948" s="8" t="s">
        <v>2519</v>
      </c>
    </row>
    <row r="949" spans="1:2">
      <c r="A949">
        <v>10042</v>
      </c>
      <c r="B949" s="8" t="s">
        <v>2520</v>
      </c>
    </row>
    <row r="950" spans="1:2">
      <c r="A950">
        <v>10043</v>
      </c>
      <c r="B950" s="8" t="s">
        <v>8689</v>
      </c>
    </row>
    <row r="951" spans="1:2">
      <c r="A951">
        <v>10044</v>
      </c>
      <c r="B951" s="8" t="s">
        <v>4220</v>
      </c>
    </row>
    <row r="952" spans="1:2">
      <c r="A952">
        <v>10045</v>
      </c>
      <c r="B952" s="8" t="s">
        <v>7567</v>
      </c>
    </row>
    <row r="953" spans="1:2">
      <c r="A953">
        <v>10046</v>
      </c>
      <c r="B953" s="8" t="s">
        <v>8690</v>
      </c>
    </row>
    <row r="954" spans="1:2">
      <c r="A954">
        <v>10047</v>
      </c>
      <c r="B954" s="8" t="s">
        <v>8691</v>
      </c>
    </row>
    <row r="955" spans="1:2">
      <c r="A955">
        <v>10048</v>
      </c>
      <c r="B955" s="8" t="s">
        <v>8692</v>
      </c>
    </row>
    <row r="956" spans="1:2">
      <c r="A956">
        <v>10049</v>
      </c>
      <c r="B956" s="8" t="s">
        <v>8693</v>
      </c>
    </row>
    <row r="957" spans="1:2">
      <c r="A957">
        <v>10050</v>
      </c>
      <c r="B957" s="8" t="s">
        <v>8694</v>
      </c>
    </row>
    <row r="958" spans="1:2">
      <c r="A958">
        <v>10051</v>
      </c>
      <c r="B958" s="8" t="s">
        <v>8695</v>
      </c>
    </row>
    <row r="959" spans="1:2">
      <c r="A959">
        <v>10052</v>
      </c>
      <c r="B959" s="8" t="s">
        <v>8696</v>
      </c>
    </row>
    <row r="960" spans="1:2">
      <c r="A960">
        <v>10053</v>
      </c>
      <c r="B960" s="8" t="s">
        <v>8697</v>
      </c>
    </row>
    <row r="961" spans="1:2">
      <c r="A961">
        <v>10054</v>
      </c>
      <c r="B961" s="8" t="s">
        <v>8958</v>
      </c>
    </row>
    <row r="962" spans="1:2">
      <c r="A962">
        <v>10055</v>
      </c>
      <c r="B962" s="8" t="s">
        <v>8959</v>
      </c>
    </row>
    <row r="963" spans="1:2">
      <c r="A963">
        <v>10056</v>
      </c>
      <c r="B963" s="8" t="s">
        <v>8960</v>
      </c>
    </row>
    <row r="964" spans="1:2">
      <c r="A964">
        <v>10057</v>
      </c>
      <c r="B964" s="8" t="s">
        <v>8985</v>
      </c>
    </row>
    <row r="965" spans="1:2">
      <c r="A965">
        <v>10058</v>
      </c>
      <c r="B965" s="8" t="s">
        <v>8986</v>
      </c>
    </row>
    <row r="966" spans="1:2">
      <c r="A966">
        <v>10081</v>
      </c>
      <c r="B966" s="8" t="s">
        <v>2521</v>
      </c>
    </row>
    <row r="967" spans="1:2">
      <c r="A967">
        <v>10082</v>
      </c>
      <c r="B967" s="8" t="s">
        <v>2522</v>
      </c>
    </row>
    <row r="968" spans="1:2">
      <c r="A968">
        <v>10083</v>
      </c>
      <c r="B968" s="8" t="s">
        <v>2523</v>
      </c>
    </row>
    <row r="969" spans="1:2">
      <c r="A969">
        <v>10084</v>
      </c>
      <c r="B969" s="8" t="s">
        <v>8698</v>
      </c>
    </row>
    <row r="970" spans="1:2">
      <c r="A970">
        <v>10085</v>
      </c>
      <c r="B970" s="8" t="s">
        <v>2524</v>
      </c>
    </row>
    <row r="971" spans="1:2">
      <c r="A971">
        <v>10086</v>
      </c>
      <c r="B971" s="8" t="s">
        <v>2525</v>
      </c>
    </row>
    <row r="972" spans="1:2">
      <c r="A972">
        <v>10087</v>
      </c>
      <c r="B972" s="8" t="s">
        <v>2526</v>
      </c>
    </row>
    <row r="973" spans="1:2">
      <c r="A973">
        <v>10088</v>
      </c>
      <c r="B973" s="8" t="s">
        <v>2527</v>
      </c>
    </row>
    <row r="974" spans="1:2">
      <c r="A974">
        <v>10089</v>
      </c>
      <c r="B974" s="8" t="s">
        <v>8699</v>
      </c>
    </row>
    <row r="975" spans="1:2">
      <c r="A975">
        <v>10090</v>
      </c>
      <c r="B975" s="8" t="s">
        <v>2528</v>
      </c>
    </row>
    <row r="976" spans="1:2">
      <c r="A976">
        <v>10091</v>
      </c>
      <c r="B976" s="8" t="s">
        <v>8700</v>
      </c>
    </row>
    <row r="977" spans="1:2">
      <c r="A977">
        <v>10092</v>
      </c>
      <c r="B977" s="8" t="s">
        <v>2529</v>
      </c>
    </row>
    <row r="978" spans="1:2">
      <c r="A978">
        <v>10093</v>
      </c>
      <c r="B978" s="8" t="s">
        <v>2530</v>
      </c>
    </row>
    <row r="979" spans="1:2">
      <c r="A979">
        <v>10094</v>
      </c>
      <c r="B979" s="8" t="s">
        <v>2531</v>
      </c>
    </row>
    <row r="980" spans="1:2">
      <c r="A980">
        <v>10095</v>
      </c>
      <c r="B980" s="8" t="s">
        <v>2532</v>
      </c>
    </row>
    <row r="981" spans="1:2">
      <c r="A981">
        <v>10096</v>
      </c>
      <c r="B981" s="8" t="s">
        <v>2533</v>
      </c>
    </row>
    <row r="982" spans="1:2">
      <c r="A982">
        <v>10097</v>
      </c>
      <c r="B982" s="8" t="s">
        <v>8701</v>
      </c>
    </row>
    <row r="983" spans="1:2">
      <c r="A983">
        <v>10098</v>
      </c>
      <c r="B983" s="8" t="s">
        <v>8702</v>
      </c>
    </row>
    <row r="984" spans="1:2">
      <c r="A984">
        <v>10099</v>
      </c>
      <c r="B984" s="8" t="s">
        <v>8703</v>
      </c>
    </row>
    <row r="985" spans="1:2">
      <c r="A985">
        <v>10100</v>
      </c>
      <c r="B985" s="8" t="s">
        <v>8961</v>
      </c>
    </row>
    <row r="986" spans="1:2">
      <c r="A986">
        <v>10101</v>
      </c>
      <c r="B986" s="8" t="s">
        <v>2534</v>
      </c>
    </row>
    <row r="987" spans="1:2">
      <c r="A987">
        <v>10102</v>
      </c>
      <c r="B987" s="8" t="s">
        <v>8704</v>
      </c>
    </row>
    <row r="988" spans="1:2">
      <c r="A988">
        <v>10103</v>
      </c>
      <c r="B988" s="8" t="s">
        <v>8705</v>
      </c>
    </row>
    <row r="989" spans="1:2">
      <c r="A989">
        <v>10104</v>
      </c>
      <c r="B989" s="8" t="s">
        <v>8706</v>
      </c>
    </row>
    <row r="990" spans="1:2">
      <c r="A990">
        <v>10105</v>
      </c>
      <c r="B990" s="8" t="s">
        <v>8707</v>
      </c>
    </row>
    <row r="991" spans="1:2">
      <c r="A991">
        <v>10106</v>
      </c>
      <c r="B991" s="8" t="s">
        <v>8708</v>
      </c>
    </row>
    <row r="992" spans="1:2">
      <c r="A992">
        <v>10107</v>
      </c>
      <c r="B992" s="8" t="s">
        <v>8962</v>
      </c>
    </row>
    <row r="993" spans="1:2">
      <c r="A993">
        <v>10999</v>
      </c>
      <c r="B993" s="8" t="s">
        <v>2535</v>
      </c>
    </row>
    <row r="994" spans="1:2">
      <c r="A994">
        <v>11000</v>
      </c>
      <c r="B994" s="8" t="s">
        <v>2536</v>
      </c>
    </row>
    <row r="995" spans="1:2">
      <c r="A995">
        <v>11999</v>
      </c>
      <c r="B995" s="8" t="s">
        <v>2573</v>
      </c>
    </row>
    <row r="996" spans="1:2">
      <c r="A996">
        <v>12001</v>
      </c>
      <c r="B996" s="8" t="s">
        <v>2537</v>
      </c>
    </row>
    <row r="997" spans="1:2">
      <c r="A997" s="8">
        <v>12002</v>
      </c>
      <c r="B997" s="8" t="s">
        <v>2538</v>
      </c>
    </row>
    <row r="998" spans="1:2">
      <c r="A998" s="12">
        <v>12003</v>
      </c>
      <c r="B998" s="8" t="s">
        <v>2539</v>
      </c>
    </row>
    <row r="999" spans="1:2">
      <c r="A999" s="8">
        <v>12004</v>
      </c>
      <c r="B999" s="8" t="s">
        <v>2540</v>
      </c>
    </row>
    <row r="1000" spans="1:2">
      <c r="A1000" s="8">
        <v>12005</v>
      </c>
      <c r="B1000" s="8" t="s">
        <v>2541</v>
      </c>
    </row>
    <row r="1001" spans="1:2">
      <c r="A1001" s="8">
        <v>12006</v>
      </c>
      <c r="B1001" s="8" t="s">
        <v>2542</v>
      </c>
    </row>
    <row r="1002" spans="1:2">
      <c r="A1002" s="8">
        <v>12007</v>
      </c>
      <c r="B1002" s="8" t="s">
        <v>2543</v>
      </c>
    </row>
    <row r="1003" spans="1:2">
      <c r="A1003" s="8">
        <v>12008</v>
      </c>
      <c r="B1003" s="8" t="s">
        <v>2544</v>
      </c>
    </row>
    <row r="1004" spans="1:2">
      <c r="A1004" s="8">
        <v>12009</v>
      </c>
      <c r="B1004" s="8" t="s">
        <v>2545</v>
      </c>
    </row>
    <row r="1005" spans="1:2">
      <c r="A1005" s="8">
        <v>12010</v>
      </c>
      <c r="B1005" s="8" t="s">
        <v>2546</v>
      </c>
    </row>
    <row r="1006" spans="1:2">
      <c r="A1006" s="8">
        <v>12011</v>
      </c>
      <c r="B1006" s="8" t="s">
        <v>2547</v>
      </c>
    </row>
    <row r="1007" spans="1:2">
      <c r="A1007" s="8">
        <v>12012</v>
      </c>
      <c r="B1007" s="8" t="s">
        <v>2548</v>
      </c>
    </row>
    <row r="1008" spans="1:2">
      <c r="A1008" s="8">
        <v>12013</v>
      </c>
      <c r="B1008" s="8" t="s">
        <v>2549</v>
      </c>
    </row>
    <row r="1009" spans="1:2">
      <c r="A1009" s="8">
        <v>12014</v>
      </c>
      <c r="B1009" s="8" t="s">
        <v>2550</v>
      </c>
    </row>
    <row r="1010" spans="1:2">
      <c r="A1010" s="8">
        <v>12015</v>
      </c>
      <c r="B1010" s="8" t="s">
        <v>2551</v>
      </c>
    </row>
    <row r="1011" spans="1:2">
      <c r="A1011" s="8">
        <v>12016</v>
      </c>
      <c r="B1011" s="8" t="s">
        <v>2552</v>
      </c>
    </row>
    <row r="1012" spans="1:2">
      <c r="A1012" s="8">
        <v>12017</v>
      </c>
      <c r="B1012" s="8" t="s">
        <v>2553</v>
      </c>
    </row>
    <row r="1013" spans="1:2">
      <c r="A1013" s="8">
        <v>12018</v>
      </c>
      <c r="B1013" s="8" t="s">
        <v>412</v>
      </c>
    </row>
    <row r="1014" spans="1:2">
      <c r="A1014" s="8">
        <v>12019</v>
      </c>
      <c r="B1014" s="8" t="s">
        <v>2554</v>
      </c>
    </row>
    <row r="1015" spans="1:2">
      <c r="A1015" s="8">
        <v>12020</v>
      </c>
      <c r="B1015" s="8" t="s">
        <v>2555</v>
      </c>
    </row>
    <row r="1016" spans="1:2">
      <c r="A1016" s="8">
        <v>12021</v>
      </c>
      <c r="B1016" s="8" t="s">
        <v>2556</v>
      </c>
    </row>
    <row r="1017" spans="1:2">
      <c r="A1017" s="8">
        <v>12022</v>
      </c>
      <c r="B1017" s="8" t="s">
        <v>2557</v>
      </c>
    </row>
    <row r="1018" spans="1:2">
      <c r="A1018" s="8">
        <v>12023</v>
      </c>
      <c r="B1018" s="8" t="s">
        <v>2558</v>
      </c>
    </row>
    <row r="1019" spans="1:2">
      <c r="A1019" s="8">
        <v>12024</v>
      </c>
      <c r="B1019" s="8" t="s">
        <v>2559</v>
      </c>
    </row>
    <row r="1020" spans="1:2">
      <c r="A1020" s="8">
        <v>12025</v>
      </c>
      <c r="B1020" s="8" t="s">
        <v>2560</v>
      </c>
    </row>
    <row r="1021" spans="1:2">
      <c r="A1021" s="8">
        <v>12026</v>
      </c>
      <c r="B1021" s="8" t="s">
        <v>2561</v>
      </c>
    </row>
    <row r="1022" spans="1:2">
      <c r="A1022" s="8">
        <v>12027</v>
      </c>
      <c r="B1022" s="8" t="s">
        <v>2562</v>
      </c>
    </row>
    <row r="1023" spans="1:2">
      <c r="A1023" s="8">
        <v>12028</v>
      </c>
      <c r="B1023" s="8" t="s">
        <v>2563</v>
      </c>
    </row>
    <row r="1024" spans="1:2">
      <c r="A1024" s="8">
        <v>12029</v>
      </c>
      <c r="B1024" s="8" t="s">
        <v>2564</v>
      </c>
    </row>
    <row r="1025" spans="1:2">
      <c r="A1025" s="8">
        <v>12030</v>
      </c>
      <c r="B1025" s="8" t="s">
        <v>2565</v>
      </c>
    </row>
    <row r="1026" spans="1:2">
      <c r="A1026" s="8">
        <v>12101</v>
      </c>
      <c r="B1026" s="8" t="s">
        <v>2566</v>
      </c>
    </row>
    <row r="1027" spans="1:2">
      <c r="A1027" s="8">
        <v>12102</v>
      </c>
      <c r="B1027" s="8" t="s">
        <v>2567</v>
      </c>
    </row>
    <row r="1028" spans="1:2">
      <c r="A1028" s="8">
        <v>12103</v>
      </c>
      <c r="B1028" s="8" t="s">
        <v>2568</v>
      </c>
    </row>
    <row r="1029" spans="1:2">
      <c r="A1029" s="8">
        <v>12104</v>
      </c>
      <c r="B1029" s="8" t="s">
        <v>2569</v>
      </c>
    </row>
    <row r="1030" spans="1:2">
      <c r="A1030" s="8">
        <v>12105</v>
      </c>
      <c r="B1030" s="8" t="s">
        <v>2570</v>
      </c>
    </row>
    <row r="1031" spans="1:2">
      <c r="A1031" s="8">
        <v>12106</v>
      </c>
      <c r="B1031" s="8" t="s">
        <v>2571</v>
      </c>
    </row>
    <row r="1032" spans="1:2">
      <c r="A1032" s="8">
        <v>12107</v>
      </c>
      <c r="B1032" s="8" t="s">
        <v>2572</v>
      </c>
    </row>
    <row r="1033" spans="1:2">
      <c r="A1033" s="8">
        <v>13001</v>
      </c>
      <c r="B1033" s="8" t="s">
        <v>8709</v>
      </c>
    </row>
    <row r="1034" spans="1:2">
      <c r="A1034" s="8">
        <v>13002</v>
      </c>
      <c r="B1034" s="8" t="s">
        <v>8710</v>
      </c>
    </row>
    <row r="1036" spans="1:2">
      <c r="A1036" s="8">
        <v>15001</v>
      </c>
      <c r="B1036" s="8" t="s">
        <v>2574</v>
      </c>
    </row>
    <row r="1037" spans="1:2">
      <c r="A1037" s="8">
        <v>15002</v>
      </c>
      <c r="B1037" s="8" t="s">
        <v>2575</v>
      </c>
    </row>
    <row r="1038" spans="1:2">
      <c r="A1038" s="8">
        <v>15003</v>
      </c>
      <c r="B1038" s="8" t="s">
        <v>2576</v>
      </c>
    </row>
    <row r="1039" spans="1:2">
      <c r="A1039" s="8">
        <v>15004</v>
      </c>
      <c r="B1039" s="8" t="s">
        <v>2577</v>
      </c>
    </row>
    <row r="1040" spans="1:2">
      <c r="A1040" s="8">
        <v>15005</v>
      </c>
      <c r="B1040" s="8" t="s">
        <v>2578</v>
      </c>
    </row>
    <row r="1041" spans="1:2">
      <c r="A1041" s="8">
        <v>15006</v>
      </c>
      <c r="B1041" s="8" t="s">
        <v>2579</v>
      </c>
    </row>
    <row r="1042" spans="1:2">
      <c r="A1042" s="8">
        <v>15007</v>
      </c>
      <c r="B1042" s="8" t="s">
        <v>2580</v>
      </c>
    </row>
    <row r="1043" spans="1:2">
      <c r="A1043" s="8">
        <v>15008</v>
      </c>
      <c r="B1043" s="8" t="s">
        <v>2581</v>
      </c>
    </row>
    <row r="1044" spans="1:2">
      <c r="A1044" s="8">
        <v>15009</v>
      </c>
      <c r="B1044" s="8" t="s">
        <v>2582</v>
      </c>
    </row>
    <row r="1045" spans="1:2">
      <c r="A1045" s="8">
        <v>15010</v>
      </c>
      <c r="B1045" s="8" t="s">
        <v>2583</v>
      </c>
    </row>
    <row r="1046" spans="1:2">
      <c r="A1046" s="8">
        <v>15011</v>
      </c>
      <c r="B1046" s="8" t="s">
        <v>2584</v>
      </c>
    </row>
    <row r="1047" spans="1:2">
      <c r="A1047" s="8">
        <v>15012</v>
      </c>
      <c r="B1047" s="8" t="s">
        <v>2585</v>
      </c>
    </row>
    <row r="1048" spans="1:2">
      <c r="A1048" s="8">
        <v>15013</v>
      </c>
      <c r="B1048" s="8" t="s">
        <v>2586</v>
      </c>
    </row>
    <row r="1049" spans="1:2">
      <c r="A1049" s="8">
        <v>15014</v>
      </c>
      <c r="B1049" s="8" t="s">
        <v>2587</v>
      </c>
    </row>
    <row r="1050" spans="1:2">
      <c r="A1050" s="8">
        <v>15015</v>
      </c>
      <c r="B1050" s="8" t="s">
        <v>2588</v>
      </c>
    </row>
    <row r="1051" spans="1:2">
      <c r="A1051" s="8">
        <v>15016</v>
      </c>
      <c r="B1051" s="8" t="s">
        <v>2589</v>
      </c>
    </row>
    <row r="1052" spans="1:2">
      <c r="A1052" s="8">
        <v>15017</v>
      </c>
      <c r="B1052" s="8" t="s">
        <v>2590</v>
      </c>
    </row>
    <row r="1053" spans="1:2">
      <c r="A1053" s="8">
        <v>15018</v>
      </c>
      <c r="B1053" s="8" t="s">
        <v>2591</v>
      </c>
    </row>
    <row r="1054" spans="1:2">
      <c r="A1054" s="8">
        <v>15019</v>
      </c>
      <c r="B1054" s="8" t="s">
        <v>2592</v>
      </c>
    </row>
    <row r="1055" spans="1:2">
      <c r="A1055" s="8">
        <v>15020</v>
      </c>
      <c r="B1055" s="8" t="s">
        <v>2593</v>
      </c>
    </row>
    <row r="1056" spans="1:2">
      <c r="A1056" s="8">
        <v>15021</v>
      </c>
      <c r="B1056" s="8" t="s">
        <v>2594</v>
      </c>
    </row>
    <row r="1057" spans="1:2">
      <c r="A1057" s="8">
        <v>15022</v>
      </c>
      <c r="B1057" s="8" t="s">
        <v>2595</v>
      </c>
    </row>
    <row r="1058" spans="1:2">
      <c r="A1058" s="8">
        <v>15023</v>
      </c>
      <c r="B1058" s="8" t="s">
        <v>2596</v>
      </c>
    </row>
    <row r="1059" spans="1:2">
      <c r="A1059" s="8">
        <v>15024</v>
      </c>
      <c r="B1059" s="8" t="s">
        <v>2597</v>
      </c>
    </row>
    <row r="1060" spans="1:2">
      <c r="A1060" s="8">
        <v>15025</v>
      </c>
      <c r="B1060" s="8" t="s">
        <v>2598</v>
      </c>
    </row>
    <row r="1061" spans="1:2">
      <c r="A1061" s="8">
        <v>15026</v>
      </c>
      <c r="B1061" s="8" t="s">
        <v>8711</v>
      </c>
    </row>
    <row r="1062" spans="1:2">
      <c r="A1062" s="8">
        <v>15027</v>
      </c>
      <c r="B1062" s="8" t="s">
        <v>8712</v>
      </c>
    </row>
    <row r="1063" spans="1:2">
      <c r="A1063" s="8">
        <v>15028</v>
      </c>
      <c r="B1063" s="8" t="s">
        <v>8713</v>
      </c>
    </row>
    <row r="1064" spans="1:2">
      <c r="A1064" s="8">
        <v>15029</v>
      </c>
      <c r="B1064" s="8" t="s">
        <v>8714</v>
      </c>
    </row>
    <row r="1065" spans="1:2">
      <c r="A1065" s="8">
        <v>15030</v>
      </c>
      <c r="B1065" s="8" t="s">
        <v>8715</v>
      </c>
    </row>
    <row r="1066" spans="1:2">
      <c r="A1066" s="8">
        <v>15031</v>
      </c>
      <c r="B1066" s="8" t="s">
        <v>8716</v>
      </c>
    </row>
    <row r="1067" spans="1:2">
      <c r="A1067" s="8">
        <v>15032</v>
      </c>
      <c r="B1067" s="8" t="s">
        <v>8717</v>
      </c>
    </row>
    <row r="1068" spans="1:2">
      <c r="A1068" s="8">
        <v>15033</v>
      </c>
      <c r="B1068" s="8" t="s">
        <v>8718</v>
      </c>
    </row>
    <row r="1069" spans="1:2">
      <c r="A1069" s="8">
        <v>15034</v>
      </c>
      <c r="B1069" s="8" t="s">
        <v>2599</v>
      </c>
    </row>
    <row r="1070" spans="1:2">
      <c r="A1070" s="8">
        <v>15035</v>
      </c>
      <c r="B1070" s="8" t="s">
        <v>2600</v>
      </c>
    </row>
    <row r="1071" spans="1:2">
      <c r="A1071" s="8">
        <v>15036</v>
      </c>
      <c r="B1071" s="8" t="s">
        <v>2601</v>
      </c>
    </row>
    <row r="1072" spans="1:2">
      <c r="A1072" s="8">
        <v>15037</v>
      </c>
      <c r="B1072" s="8" t="s">
        <v>2602</v>
      </c>
    </row>
    <row r="1073" spans="1:2">
      <c r="A1073" s="8">
        <v>15038</v>
      </c>
      <c r="B1073" s="8" t="s">
        <v>2603</v>
      </c>
    </row>
    <row r="1074" spans="1:2">
      <c r="A1074" s="8">
        <v>15039</v>
      </c>
      <c r="B1074" s="8" t="s">
        <v>2604</v>
      </c>
    </row>
    <row r="1075" spans="1:2">
      <c r="A1075" s="8">
        <v>15040</v>
      </c>
      <c r="B1075" s="8" t="s">
        <v>2605</v>
      </c>
    </row>
    <row r="1076" spans="1:2">
      <c r="A1076" s="8">
        <v>15041</v>
      </c>
      <c r="B1076" s="8" t="s">
        <v>2606</v>
      </c>
    </row>
    <row r="1077" spans="1:2">
      <c r="A1077" s="8">
        <v>15042</v>
      </c>
      <c r="B1077" s="8" t="s">
        <v>2607</v>
      </c>
    </row>
    <row r="1078" spans="1:2">
      <c r="A1078" s="8">
        <v>15043</v>
      </c>
      <c r="B1078" s="8" t="s">
        <v>2608</v>
      </c>
    </row>
    <row r="1079" spans="1:2">
      <c r="A1079" s="8">
        <v>15044</v>
      </c>
      <c r="B1079" s="8" t="s">
        <v>2609</v>
      </c>
    </row>
    <row r="1080" spans="1:2">
      <c r="A1080" s="8">
        <v>15045</v>
      </c>
      <c r="B1080" s="8" t="s">
        <v>2610</v>
      </c>
    </row>
    <row r="1081" spans="1:2">
      <c r="A1081" s="8">
        <v>15046</v>
      </c>
      <c r="B1081" s="8" t="s">
        <v>2611</v>
      </c>
    </row>
    <row r="1082" spans="1:2">
      <c r="A1082" s="8">
        <v>15047</v>
      </c>
      <c r="B1082" s="8" t="s">
        <v>2612</v>
      </c>
    </row>
    <row r="1083" spans="1:2">
      <c r="A1083" s="8">
        <v>15048</v>
      </c>
      <c r="B1083" s="8" t="s">
        <v>2888</v>
      </c>
    </row>
    <row r="1084" spans="1:2">
      <c r="A1084" s="8">
        <v>15049</v>
      </c>
      <c r="B1084" s="8" t="s">
        <v>2889</v>
      </c>
    </row>
    <row r="1085" spans="1:2">
      <c r="A1085" s="8">
        <v>15050</v>
      </c>
      <c r="B1085" s="8" t="s">
        <v>2890</v>
      </c>
    </row>
    <row r="1086" spans="1:2">
      <c r="A1086" s="8">
        <v>15051</v>
      </c>
      <c r="B1086" s="8" t="s">
        <v>2891</v>
      </c>
    </row>
    <row r="1087" spans="1:2">
      <c r="A1087" s="8">
        <v>15052</v>
      </c>
      <c r="B1087" s="8" t="s">
        <v>2892</v>
      </c>
    </row>
    <row r="1088" spans="1:2">
      <c r="A1088" s="8">
        <v>15053</v>
      </c>
      <c r="B1088" s="8" t="s">
        <v>2893</v>
      </c>
    </row>
    <row r="1089" spans="1:2">
      <c r="A1089" s="8">
        <v>15054</v>
      </c>
      <c r="B1089" s="8" t="s">
        <v>8719</v>
      </c>
    </row>
    <row r="1090" spans="1:2">
      <c r="A1090" s="8">
        <v>15055</v>
      </c>
      <c r="B1090" s="8" t="s">
        <v>8720</v>
      </c>
    </row>
    <row r="1091" spans="1:2">
      <c r="A1091" s="8">
        <v>15056</v>
      </c>
      <c r="B1091" s="8" t="s">
        <v>8721</v>
      </c>
    </row>
    <row r="1092" spans="1:2">
      <c r="A1092" s="8">
        <v>15057</v>
      </c>
      <c r="B1092" s="8" t="s">
        <v>8722</v>
      </c>
    </row>
    <row r="1093" spans="1:2">
      <c r="A1093" s="8">
        <v>15058</v>
      </c>
      <c r="B1093" s="8" t="s">
        <v>8723</v>
      </c>
    </row>
    <row r="1094" spans="1:2">
      <c r="A1094" s="8">
        <v>15059</v>
      </c>
      <c r="B1094" s="8" t="s">
        <v>8724</v>
      </c>
    </row>
    <row r="1095" spans="1:2">
      <c r="A1095" s="8">
        <v>15060</v>
      </c>
      <c r="B1095" s="8" t="s">
        <v>8725</v>
      </c>
    </row>
    <row r="1096" spans="1:2">
      <c r="A1096" s="8">
        <v>15061</v>
      </c>
      <c r="B1096" s="8" t="s">
        <v>8726</v>
      </c>
    </row>
    <row r="1097" spans="1:2">
      <c r="A1097" s="8">
        <v>15062</v>
      </c>
      <c r="B1097" s="8" t="s">
        <v>8727</v>
      </c>
    </row>
    <row r="1098" spans="1:2">
      <c r="A1098" s="8">
        <v>15063</v>
      </c>
      <c r="B1098" s="8" t="s">
        <v>8728</v>
      </c>
    </row>
    <row r="1099" spans="1:2">
      <c r="A1099" s="8">
        <v>15064</v>
      </c>
      <c r="B1099" s="8" t="s">
        <v>8729</v>
      </c>
    </row>
    <row r="1100" spans="1:2">
      <c r="A1100" s="8">
        <v>15065</v>
      </c>
      <c r="B1100" s="8" t="s">
        <v>8730</v>
      </c>
    </row>
    <row r="1101" spans="1:2">
      <c r="A1101" s="8">
        <v>15066</v>
      </c>
      <c r="B1101" s="8" t="s">
        <v>8731</v>
      </c>
    </row>
    <row r="1102" spans="1:2">
      <c r="A1102" s="8">
        <v>15067</v>
      </c>
      <c r="B1102" s="8" t="s">
        <v>8732</v>
      </c>
    </row>
    <row r="1103" spans="1:2">
      <c r="A1103" s="8">
        <v>15068</v>
      </c>
      <c r="B1103" s="8" t="s">
        <v>8733</v>
      </c>
    </row>
    <row r="1104" spans="1:2">
      <c r="A1104" s="8">
        <v>15069</v>
      </c>
      <c r="B1104" s="8" t="s">
        <v>8734</v>
      </c>
    </row>
    <row r="1105" spans="1:2">
      <c r="A1105" s="8">
        <v>15070</v>
      </c>
      <c r="B1105" s="8" t="s">
        <v>8735</v>
      </c>
    </row>
    <row r="1106" spans="1:2">
      <c r="A1106" s="8">
        <v>15071</v>
      </c>
      <c r="B1106" s="8" t="s">
        <v>8736</v>
      </c>
    </row>
    <row r="1107" spans="1:2">
      <c r="A1107" s="8">
        <v>15072</v>
      </c>
      <c r="B1107" s="8" t="s">
        <v>8737</v>
      </c>
    </row>
    <row r="1108" spans="1:2">
      <c r="A1108" s="8">
        <v>15073</v>
      </c>
      <c r="B1108" s="8" t="s">
        <v>8738</v>
      </c>
    </row>
    <row r="1109" spans="1:2">
      <c r="A1109" s="8">
        <v>15074</v>
      </c>
      <c r="B1109" s="8" t="s">
        <v>8739</v>
      </c>
    </row>
    <row r="1110" spans="1:2">
      <c r="A1110" s="8">
        <v>15075</v>
      </c>
      <c r="B1110" s="8" t="s">
        <v>8740</v>
      </c>
    </row>
    <row r="1111" spans="1:2">
      <c r="A1111" s="8">
        <v>15076</v>
      </c>
      <c r="B1111" s="8" t="s">
        <v>8741</v>
      </c>
    </row>
    <row r="1112" spans="1:2">
      <c r="A1112" s="8">
        <v>15077</v>
      </c>
      <c r="B1112" s="8" t="s">
        <v>8742</v>
      </c>
    </row>
    <row r="1113" spans="1:2">
      <c r="A1113" s="8">
        <v>15078</v>
      </c>
      <c r="B1113" s="8" t="s">
        <v>8743</v>
      </c>
    </row>
    <row r="1114" spans="1:2">
      <c r="A1114" s="8">
        <v>15079</v>
      </c>
      <c r="B1114" s="8" t="s">
        <v>8744</v>
      </c>
    </row>
    <row r="1115" spans="1:2">
      <c r="A1115" s="8">
        <v>15080</v>
      </c>
      <c r="B1115" s="8" t="s">
        <v>8745</v>
      </c>
    </row>
    <row r="1116" spans="1:2">
      <c r="A1116" s="8">
        <v>15081</v>
      </c>
      <c r="B1116" s="8" t="s">
        <v>8746</v>
      </c>
    </row>
    <row r="1117" spans="1:2">
      <c r="A1117" s="8">
        <v>15082</v>
      </c>
      <c r="B1117" s="8" t="s">
        <v>8747</v>
      </c>
    </row>
    <row r="1118" spans="1:2">
      <c r="A1118" s="8">
        <v>15083</v>
      </c>
      <c r="B1118" s="8" t="s">
        <v>8748</v>
      </c>
    </row>
    <row r="1119" spans="1:2">
      <c r="A1119" s="8">
        <v>15084</v>
      </c>
      <c r="B1119" s="8" t="s">
        <v>8749</v>
      </c>
    </row>
    <row r="1120" spans="1:2">
      <c r="A1120" s="8">
        <v>15085</v>
      </c>
      <c r="B1120" s="8" t="s">
        <v>8750</v>
      </c>
    </row>
    <row r="1121" spans="1:2">
      <c r="A1121" s="8">
        <v>15086</v>
      </c>
      <c r="B1121" s="8" t="s">
        <v>3806</v>
      </c>
    </row>
    <row r="1122" spans="1:2">
      <c r="A1122" s="8">
        <v>15087</v>
      </c>
      <c r="B1122" s="8" t="s">
        <v>8751</v>
      </c>
    </row>
    <row r="1123" spans="1:2">
      <c r="A1123" s="8">
        <v>15088</v>
      </c>
      <c r="B1123" s="8" t="s">
        <v>8752</v>
      </c>
    </row>
    <row r="1124" spans="1:2">
      <c r="A1124" s="8">
        <v>15089</v>
      </c>
      <c r="B1124" s="8" t="s">
        <v>8753</v>
      </c>
    </row>
    <row r="1125" spans="1:2">
      <c r="A1125" s="8">
        <v>15090</v>
      </c>
      <c r="B1125" s="8" t="s">
        <v>2665</v>
      </c>
    </row>
    <row r="1126" spans="1:2">
      <c r="A1126" s="8">
        <v>15091</v>
      </c>
      <c r="B1126" s="8" t="s">
        <v>8963</v>
      </c>
    </row>
    <row r="1127" spans="1:2">
      <c r="A1127" s="8">
        <v>15092</v>
      </c>
      <c r="B1127" s="8" t="s">
        <v>8964</v>
      </c>
    </row>
    <row r="1128" spans="1:2">
      <c r="A1128" s="8">
        <v>15093</v>
      </c>
      <c r="B1128" s="8" t="s">
        <v>8965</v>
      </c>
    </row>
    <row r="1129" spans="1:2">
      <c r="A1129" s="8">
        <v>15094</v>
      </c>
      <c r="B1129" s="8" t="s">
        <v>8966</v>
      </c>
    </row>
    <row r="1130" spans="1:2">
      <c r="A1130" s="8">
        <v>15095</v>
      </c>
      <c r="B1130" s="8" t="s">
        <v>8967</v>
      </c>
    </row>
    <row r="1131" spans="1:2">
      <c r="A1131" s="8">
        <v>15096</v>
      </c>
      <c r="B1131" s="8" t="s">
        <v>8968</v>
      </c>
    </row>
    <row r="1132" spans="1:2">
      <c r="A1132" s="8">
        <v>15097</v>
      </c>
      <c r="B1132" s="8" t="s">
        <v>8969</v>
      </c>
    </row>
    <row r="1133" spans="1:2">
      <c r="A1133" s="8">
        <v>15101</v>
      </c>
      <c r="B1133" s="8" t="s">
        <v>2834</v>
      </c>
    </row>
    <row r="1134" spans="1:2">
      <c r="A1134" s="8">
        <v>15102</v>
      </c>
      <c r="B1134" s="8" t="s">
        <v>2835</v>
      </c>
    </row>
    <row r="1135" spans="1:2">
      <c r="A1135" s="8">
        <v>15103</v>
      </c>
      <c r="B1135" s="8" t="s">
        <v>2836</v>
      </c>
    </row>
    <row r="1136" spans="1:2">
      <c r="A1136" s="8">
        <v>15104</v>
      </c>
      <c r="B1136" s="8" t="s">
        <v>2837</v>
      </c>
    </row>
    <row r="1137" spans="1:2">
      <c r="A1137" s="8">
        <v>15105</v>
      </c>
      <c r="B1137" s="8" t="s">
        <v>2838</v>
      </c>
    </row>
    <row r="1138" spans="1:2">
      <c r="A1138" s="8">
        <v>15106</v>
      </c>
      <c r="B1138" s="8" t="s">
        <v>2839</v>
      </c>
    </row>
    <row r="1139" spans="1:2">
      <c r="A1139" s="8">
        <v>15107</v>
      </c>
      <c r="B1139" s="8" t="s">
        <v>2840</v>
      </c>
    </row>
    <row r="1140" spans="1:2">
      <c r="A1140" s="8">
        <v>15108</v>
      </c>
      <c r="B1140" s="8" t="s">
        <v>2841</v>
      </c>
    </row>
    <row r="1141" spans="1:2">
      <c r="A1141" s="8">
        <v>15109</v>
      </c>
      <c r="B1141" s="8" t="s">
        <v>2842</v>
      </c>
    </row>
    <row r="1142" spans="1:2">
      <c r="A1142" s="8">
        <v>15110</v>
      </c>
      <c r="B1142" s="8" t="s">
        <v>2843</v>
      </c>
    </row>
    <row r="1143" spans="1:2">
      <c r="A1143" s="8">
        <v>15111</v>
      </c>
      <c r="B1143" s="8" t="s">
        <v>2844</v>
      </c>
    </row>
    <row r="1144" spans="1:2">
      <c r="A1144" s="8">
        <v>15112</v>
      </c>
      <c r="B1144" s="8" t="s">
        <v>2845</v>
      </c>
    </row>
    <row r="1145" spans="1:2">
      <c r="A1145" s="8">
        <v>15113</v>
      </c>
      <c r="B1145" s="8" t="s">
        <v>2846</v>
      </c>
    </row>
    <row r="1146" spans="1:2">
      <c r="A1146" s="8">
        <v>15114</v>
      </c>
      <c r="B1146" s="8" t="s">
        <v>2847</v>
      </c>
    </row>
    <row r="1147" spans="1:2">
      <c r="A1147" s="8">
        <v>15115</v>
      </c>
      <c r="B1147" s="8" t="s">
        <v>2848</v>
      </c>
    </row>
    <row r="1148" spans="1:2">
      <c r="A1148" s="8">
        <v>15116</v>
      </c>
      <c r="B1148" s="8" t="s">
        <v>2849</v>
      </c>
    </row>
    <row r="1149" spans="1:2">
      <c r="A1149" s="8">
        <v>15117</v>
      </c>
      <c r="B1149" s="8" t="s">
        <v>2850</v>
      </c>
    </row>
    <row r="1150" spans="1:2">
      <c r="A1150" s="8">
        <v>15118</v>
      </c>
      <c r="B1150" s="8" t="s">
        <v>8754</v>
      </c>
    </row>
    <row r="1151" spans="1:2">
      <c r="A1151" s="8">
        <v>15119</v>
      </c>
      <c r="B1151" s="8" t="s">
        <v>8755</v>
      </c>
    </row>
    <row r="1152" spans="1:2">
      <c r="A1152" s="8">
        <v>15120</v>
      </c>
      <c r="B1152" s="8" t="s">
        <v>2851</v>
      </c>
    </row>
    <row r="1153" spans="1:2">
      <c r="A1153" s="8">
        <v>15121</v>
      </c>
      <c r="B1153" s="8" t="s">
        <v>2852</v>
      </c>
    </row>
    <row r="1154" spans="1:2">
      <c r="A1154" s="8">
        <v>15122</v>
      </c>
      <c r="B1154" s="8" t="s">
        <v>2853</v>
      </c>
    </row>
    <row r="1155" spans="1:2">
      <c r="A1155" s="8">
        <v>15123</v>
      </c>
      <c r="B1155" s="8" t="s">
        <v>2854</v>
      </c>
    </row>
    <row r="1156" spans="1:2">
      <c r="A1156" s="8">
        <v>15124</v>
      </c>
      <c r="B1156" s="8" t="s">
        <v>2855</v>
      </c>
    </row>
    <row r="1157" spans="1:2">
      <c r="A1157" s="8">
        <v>15125</v>
      </c>
      <c r="B1157" s="8" t="s">
        <v>2856</v>
      </c>
    </row>
    <row r="1158" spans="1:2">
      <c r="A1158" s="8">
        <v>15126</v>
      </c>
      <c r="B1158" s="8" t="s">
        <v>2857</v>
      </c>
    </row>
    <row r="1159" spans="1:2">
      <c r="A1159" s="8">
        <v>15127</v>
      </c>
      <c r="B1159" s="8" t="s">
        <v>2858</v>
      </c>
    </row>
    <row r="1160" spans="1:2">
      <c r="A1160" s="8">
        <v>15128</v>
      </c>
      <c r="B1160" s="8" t="s">
        <v>2859</v>
      </c>
    </row>
    <row r="1161" spans="1:2">
      <c r="A1161" s="8">
        <v>15129</v>
      </c>
      <c r="B1161" s="8" t="s">
        <v>2860</v>
      </c>
    </row>
    <row r="1162" spans="1:2">
      <c r="A1162" s="8">
        <v>15130</v>
      </c>
      <c r="B1162" s="8" t="s">
        <v>2861</v>
      </c>
    </row>
    <row r="1163" spans="1:2">
      <c r="A1163" s="8">
        <v>15131</v>
      </c>
      <c r="B1163" s="8" t="s">
        <v>2862</v>
      </c>
    </row>
    <row r="1164" spans="1:2">
      <c r="A1164" s="8">
        <v>15132</v>
      </c>
      <c r="B1164" s="8" t="s">
        <v>2863</v>
      </c>
    </row>
    <row r="1165" spans="1:2">
      <c r="A1165" s="8">
        <v>15133</v>
      </c>
      <c r="B1165" s="8" t="s">
        <v>2864</v>
      </c>
    </row>
    <row r="1166" spans="1:2">
      <c r="A1166" s="8">
        <v>15134</v>
      </c>
      <c r="B1166" s="8" t="s">
        <v>2865</v>
      </c>
    </row>
    <row r="1167" spans="1:2">
      <c r="A1167" s="8">
        <v>15135</v>
      </c>
      <c r="B1167" s="8" t="s">
        <v>2866</v>
      </c>
    </row>
    <row r="1168" spans="1:2">
      <c r="A1168" s="8">
        <v>15136</v>
      </c>
      <c r="B1168" s="8" t="s">
        <v>2867</v>
      </c>
    </row>
    <row r="1169" spans="1:2">
      <c r="A1169" s="8">
        <v>15137</v>
      </c>
      <c r="B1169" s="8" t="s">
        <v>2868</v>
      </c>
    </row>
    <row r="1170" spans="1:2">
      <c r="A1170" s="8">
        <v>15138</v>
      </c>
      <c r="B1170" s="8" t="s">
        <v>2869</v>
      </c>
    </row>
    <row r="1171" spans="1:2">
      <c r="A1171" s="8">
        <v>15139</v>
      </c>
      <c r="B1171" s="8" t="s">
        <v>2870</v>
      </c>
    </row>
    <row r="1172" spans="1:2">
      <c r="A1172" s="8">
        <v>15140</v>
      </c>
      <c r="B1172" s="8" t="s">
        <v>2871</v>
      </c>
    </row>
    <row r="1173" spans="1:2">
      <c r="A1173" s="8">
        <v>15141</v>
      </c>
      <c r="B1173" s="8" t="s">
        <v>2872</v>
      </c>
    </row>
    <row r="1174" spans="1:2">
      <c r="A1174" s="8">
        <v>15142</v>
      </c>
      <c r="B1174" s="8" t="s">
        <v>2873</v>
      </c>
    </row>
    <row r="1175" spans="1:2">
      <c r="A1175" s="8">
        <v>15143</v>
      </c>
      <c r="B1175" s="8" t="s">
        <v>2874</v>
      </c>
    </row>
    <row r="1176" spans="1:2">
      <c r="A1176" s="8">
        <v>15144</v>
      </c>
      <c r="B1176" s="8" t="s">
        <v>2875</v>
      </c>
    </row>
    <row r="1177" spans="1:2">
      <c r="A1177" s="8">
        <v>15145</v>
      </c>
      <c r="B1177" s="8" t="s">
        <v>8756</v>
      </c>
    </row>
    <row r="1178" spans="1:2">
      <c r="A1178" s="8">
        <v>15146</v>
      </c>
      <c r="B1178" s="8" t="s">
        <v>8757</v>
      </c>
    </row>
    <row r="1179" spans="1:2">
      <c r="A1179" s="8">
        <v>15147</v>
      </c>
      <c r="B1179" s="8" t="s">
        <v>8758</v>
      </c>
    </row>
    <row r="1180" spans="1:2">
      <c r="A1180" s="8">
        <v>15148</v>
      </c>
      <c r="B1180" s="8" t="s">
        <v>8759</v>
      </c>
    </row>
    <row r="1181" spans="1:2">
      <c r="A1181" s="8">
        <v>15149</v>
      </c>
      <c r="B1181" s="8" t="s">
        <v>8760</v>
      </c>
    </row>
    <row r="1182" spans="1:2">
      <c r="A1182" s="8">
        <v>15150</v>
      </c>
      <c r="B1182" s="8" t="s">
        <v>8761</v>
      </c>
    </row>
    <row r="1183" spans="1:2">
      <c r="A1183" s="8">
        <v>15151</v>
      </c>
      <c r="B1183" s="8" t="s">
        <v>2876</v>
      </c>
    </row>
    <row r="1184" spans="1:2">
      <c r="A1184" s="8">
        <v>15152</v>
      </c>
      <c r="B1184" s="8" t="s">
        <v>2877</v>
      </c>
    </row>
    <row r="1185" spans="1:2">
      <c r="A1185" s="8">
        <v>15153</v>
      </c>
      <c r="B1185" s="8" t="s">
        <v>2878</v>
      </c>
    </row>
    <row r="1186" spans="1:2">
      <c r="A1186" s="8">
        <v>15154</v>
      </c>
      <c r="B1186" s="8" t="s">
        <v>2879</v>
      </c>
    </row>
    <row r="1187" spans="1:2">
      <c r="A1187" s="8">
        <v>15155</v>
      </c>
      <c r="B1187" s="8" t="s">
        <v>2880</v>
      </c>
    </row>
    <row r="1188" spans="1:2">
      <c r="A1188" s="8">
        <v>15156</v>
      </c>
      <c r="B1188" s="8" t="s">
        <v>2881</v>
      </c>
    </row>
    <row r="1189" spans="1:2">
      <c r="A1189" s="8">
        <v>15157</v>
      </c>
      <c r="B1189" s="8" t="s">
        <v>2882</v>
      </c>
    </row>
    <row r="1190" spans="1:2">
      <c r="A1190" s="8">
        <v>15158</v>
      </c>
      <c r="B1190" s="8" t="s">
        <v>2883</v>
      </c>
    </row>
    <row r="1191" spans="1:2">
      <c r="A1191" s="8">
        <v>15159</v>
      </c>
      <c r="B1191" s="8" t="s">
        <v>2884</v>
      </c>
    </row>
    <row r="1192" spans="1:2">
      <c r="A1192" s="8">
        <v>15160</v>
      </c>
      <c r="B1192" s="8" t="s">
        <v>2885</v>
      </c>
    </row>
    <row r="1193" spans="1:2">
      <c r="A1193" s="8">
        <v>15161</v>
      </c>
      <c r="B1193" s="8" t="s">
        <v>2886</v>
      </c>
    </row>
    <row r="1194" spans="1:2">
      <c r="A1194" s="8">
        <v>15162</v>
      </c>
      <c r="B1194" s="8" t="s">
        <v>2887</v>
      </c>
    </row>
    <row r="1195" spans="1:2">
      <c r="A1195" s="8">
        <v>15163</v>
      </c>
      <c r="B1195" s="8" t="s">
        <v>8762</v>
      </c>
    </row>
    <row r="1196" spans="1:2">
      <c r="A1196" s="8">
        <v>15164</v>
      </c>
      <c r="B1196" s="8" t="s">
        <v>8763</v>
      </c>
    </row>
    <row r="1197" spans="1:2">
      <c r="A1197" s="8">
        <v>15165</v>
      </c>
      <c r="B1197" s="8" t="s">
        <v>8764</v>
      </c>
    </row>
    <row r="1198" spans="1:2">
      <c r="A1198" s="8">
        <v>15166</v>
      </c>
      <c r="B1198" s="8" t="s">
        <v>8765</v>
      </c>
    </row>
    <row r="1199" spans="1:2">
      <c r="A1199" s="8">
        <v>15167</v>
      </c>
      <c r="B1199" s="8" t="s">
        <v>8766</v>
      </c>
    </row>
    <row r="1200" spans="1:2">
      <c r="A1200" s="8">
        <v>15168</v>
      </c>
      <c r="B1200" s="8" t="s">
        <v>8767</v>
      </c>
    </row>
    <row r="1201" spans="1:2">
      <c r="A1201" s="8">
        <v>15169</v>
      </c>
      <c r="B1201" s="8" t="s">
        <v>8768</v>
      </c>
    </row>
    <row r="1202" spans="1:2">
      <c r="A1202" s="8">
        <v>15170</v>
      </c>
      <c r="B1202" s="8" t="s">
        <v>8769</v>
      </c>
    </row>
    <row r="1203" spans="1:2">
      <c r="A1203" s="8">
        <v>15171</v>
      </c>
      <c r="B1203" s="8" t="s">
        <v>8770</v>
      </c>
    </row>
    <row r="1204" spans="1:2">
      <c r="A1204" s="8">
        <v>15172</v>
      </c>
      <c r="B1204" s="8" t="s">
        <v>8771</v>
      </c>
    </row>
    <row r="1205" spans="1:2">
      <c r="A1205" s="8">
        <v>15173</v>
      </c>
      <c r="B1205" s="8" t="s">
        <v>8772</v>
      </c>
    </row>
    <row r="1206" spans="1:2">
      <c r="A1206" s="8">
        <v>15174</v>
      </c>
      <c r="B1206" s="8" t="s">
        <v>8773</v>
      </c>
    </row>
    <row r="1207" spans="1:2">
      <c r="A1207" s="8">
        <v>15175</v>
      </c>
      <c r="B1207" s="8" t="s">
        <v>8774</v>
      </c>
    </row>
    <row r="1208" spans="1:2">
      <c r="A1208" s="8">
        <v>15176</v>
      </c>
      <c r="B1208" s="8" t="s">
        <v>8775</v>
      </c>
    </row>
    <row r="1209" spans="1:2">
      <c r="A1209" s="8">
        <v>15177</v>
      </c>
      <c r="B1209" s="8" t="s">
        <v>8776</v>
      </c>
    </row>
    <row r="1210" spans="1:2">
      <c r="A1210" s="8">
        <v>15178</v>
      </c>
      <c r="B1210" s="8" t="s">
        <v>8777</v>
      </c>
    </row>
    <row r="1211" spans="1:2">
      <c r="A1211" s="8">
        <v>15179</v>
      </c>
      <c r="B1211" s="8" t="s">
        <v>8778</v>
      </c>
    </row>
    <row r="1212" spans="1:2">
      <c r="A1212" s="8">
        <v>15180</v>
      </c>
      <c r="B1212" s="8" t="s">
        <v>8779</v>
      </c>
    </row>
    <row r="1213" spans="1:2">
      <c r="A1213" s="8">
        <v>15181</v>
      </c>
      <c r="B1213" s="8" t="s">
        <v>8780</v>
      </c>
    </row>
    <row r="1214" spans="1:2">
      <c r="A1214" s="8">
        <v>15182</v>
      </c>
      <c r="B1214" s="8" t="s">
        <v>8781</v>
      </c>
    </row>
    <row r="1215" spans="1:2">
      <c r="A1215" s="8">
        <v>15183</v>
      </c>
      <c r="B1215" s="8" t="s">
        <v>8782</v>
      </c>
    </row>
    <row r="1216" spans="1:2">
      <c r="A1216" s="8">
        <v>15184</v>
      </c>
      <c r="B1216" s="8" t="s">
        <v>8783</v>
      </c>
    </row>
    <row r="1217" spans="1:2">
      <c r="A1217" s="8">
        <v>15185</v>
      </c>
      <c r="B1217" s="8" t="s">
        <v>8784</v>
      </c>
    </row>
    <row r="1218" spans="1:2">
      <c r="A1218" s="8">
        <v>15186</v>
      </c>
      <c r="B1218" s="8" t="s">
        <v>8785</v>
      </c>
    </row>
    <row r="1219" spans="1:2">
      <c r="A1219" s="8">
        <v>15187</v>
      </c>
      <c r="B1219" s="8" t="s">
        <v>8786</v>
      </c>
    </row>
    <row r="1220" spans="1:2">
      <c r="A1220" s="8">
        <v>15188</v>
      </c>
      <c r="B1220" s="8" t="s">
        <v>8787</v>
      </c>
    </row>
    <row r="1221" spans="1:2">
      <c r="A1221" s="8">
        <v>15189</v>
      </c>
      <c r="B1221" s="8" t="s">
        <v>8788</v>
      </c>
    </row>
    <row r="1222" spans="1:2">
      <c r="A1222" s="8">
        <v>15190</v>
      </c>
      <c r="B1222" s="8" t="s">
        <v>8789</v>
      </c>
    </row>
    <row r="1223" spans="1:2">
      <c r="A1223" s="8">
        <v>15191</v>
      </c>
      <c r="B1223" s="8" t="s">
        <v>8790</v>
      </c>
    </row>
    <row r="1224" spans="1:2">
      <c r="A1224" s="8">
        <v>15192</v>
      </c>
      <c r="B1224" s="8" t="s">
        <v>8791</v>
      </c>
    </row>
    <row r="1225" spans="1:2">
      <c r="A1225" s="8">
        <v>15193</v>
      </c>
      <c r="B1225" s="8" t="s">
        <v>8792</v>
      </c>
    </row>
    <row r="1226" spans="1:2">
      <c r="A1226" s="8">
        <v>15194</v>
      </c>
      <c r="B1226" s="8" t="s">
        <v>8793</v>
      </c>
    </row>
    <row r="1227" spans="1:2">
      <c r="A1227" s="8">
        <v>15195</v>
      </c>
      <c r="B1227" s="8" t="s">
        <v>8794</v>
      </c>
    </row>
    <row r="1228" spans="1:2">
      <c r="A1228" s="8">
        <v>15196</v>
      </c>
      <c r="B1228" s="8" t="s">
        <v>8795</v>
      </c>
    </row>
    <row r="1229" spans="1:2">
      <c r="A1229" s="8">
        <v>15197</v>
      </c>
      <c r="B1229" s="8" t="s">
        <v>8796</v>
      </c>
    </row>
    <row r="1230" spans="1:2">
      <c r="A1230" s="8">
        <v>16001</v>
      </c>
      <c r="B1230" s="8" t="s">
        <v>2613</v>
      </c>
    </row>
    <row r="1231" spans="1:2">
      <c r="A1231" s="8">
        <v>16002</v>
      </c>
      <c r="B1231" s="8" t="s">
        <v>2614</v>
      </c>
    </row>
    <row r="1232" spans="1:2">
      <c r="A1232" s="8">
        <v>16003</v>
      </c>
      <c r="B1232" s="8" t="s">
        <v>2615</v>
      </c>
    </row>
    <row r="1233" spans="1:2">
      <c r="A1233" s="8">
        <v>16004</v>
      </c>
      <c r="B1233" s="8" t="s">
        <v>2616</v>
      </c>
    </row>
    <row r="1234" spans="1:2">
      <c r="A1234" s="8">
        <v>16005</v>
      </c>
      <c r="B1234" s="8" t="s">
        <v>2617</v>
      </c>
    </row>
    <row r="1235" spans="1:2">
      <c r="A1235" s="8">
        <v>16006</v>
      </c>
      <c r="B1235" s="8" t="s">
        <v>2618</v>
      </c>
    </row>
    <row r="1236" spans="1:2">
      <c r="A1236" s="8">
        <v>16007</v>
      </c>
      <c r="B1236" s="8" t="s">
        <v>2619</v>
      </c>
    </row>
    <row r="1237" spans="1:2">
      <c r="A1237" s="8">
        <v>16008</v>
      </c>
      <c r="B1237" s="8" t="s">
        <v>2620</v>
      </c>
    </row>
    <row r="1238" spans="1:2">
      <c r="A1238" s="8">
        <v>16009</v>
      </c>
      <c r="B1238" s="8" t="s">
        <v>2621</v>
      </c>
    </row>
    <row r="1239" spans="1:2">
      <c r="A1239" s="8">
        <v>16010</v>
      </c>
      <c r="B1239" s="8" t="s">
        <v>2622</v>
      </c>
    </row>
    <row r="1240" spans="1:2">
      <c r="A1240" s="8">
        <v>16011</v>
      </c>
      <c r="B1240" s="8" t="s">
        <v>2623</v>
      </c>
    </row>
    <row r="1241" spans="1:2">
      <c r="A1241" s="8">
        <v>16012</v>
      </c>
      <c r="B1241" s="8" t="s">
        <v>2624</v>
      </c>
    </row>
    <row r="1242" spans="1:2">
      <c r="A1242" s="8">
        <v>16013</v>
      </c>
      <c r="B1242" s="8" t="s">
        <v>2625</v>
      </c>
    </row>
    <row r="1243" spans="1:2">
      <c r="A1243" s="8">
        <v>16014</v>
      </c>
      <c r="B1243" s="8" t="s">
        <v>2626</v>
      </c>
    </row>
    <row r="1244" spans="1:2">
      <c r="A1244" s="8">
        <v>16015</v>
      </c>
      <c r="B1244" s="8" t="s">
        <v>2627</v>
      </c>
    </row>
    <row r="1245" spans="1:2">
      <c r="A1245" s="8">
        <v>16016</v>
      </c>
      <c r="B1245" s="8" t="s">
        <v>2628</v>
      </c>
    </row>
    <row r="1246" spans="1:2">
      <c r="A1246" s="8">
        <v>16017</v>
      </c>
      <c r="B1246" s="8" t="s">
        <v>2629</v>
      </c>
    </row>
    <row r="1247" spans="1:2">
      <c r="A1247" s="8">
        <v>16018</v>
      </c>
      <c r="B1247" s="8" t="s">
        <v>2630</v>
      </c>
    </row>
    <row r="1248" spans="1:2">
      <c r="A1248" s="8">
        <v>16019</v>
      </c>
      <c r="B1248" s="8" t="s">
        <v>2631</v>
      </c>
    </row>
    <row r="1249" spans="1:2">
      <c r="A1249" s="8">
        <v>16020</v>
      </c>
      <c r="B1249" s="8" t="s">
        <v>2632</v>
      </c>
    </row>
    <row r="1250" spans="1:2">
      <c r="A1250" s="8">
        <v>16021</v>
      </c>
      <c r="B1250" s="8" t="s">
        <v>2633</v>
      </c>
    </row>
    <row r="1251" spans="1:2">
      <c r="A1251" s="8">
        <v>16022</v>
      </c>
      <c r="B1251" s="8" t="s">
        <v>2634</v>
      </c>
    </row>
    <row r="1252" spans="1:2">
      <c r="A1252" s="8">
        <v>16023</v>
      </c>
      <c r="B1252" s="8" t="s">
        <v>2635</v>
      </c>
    </row>
    <row r="1253" spans="1:2">
      <c r="A1253" s="8">
        <v>16024</v>
      </c>
      <c r="B1253" s="8" t="s">
        <v>2636</v>
      </c>
    </row>
    <row r="1254" spans="1:2">
      <c r="A1254" s="8">
        <v>16025</v>
      </c>
      <c r="B1254" s="8" t="s">
        <v>2637</v>
      </c>
    </row>
    <row r="1255" spans="1:2">
      <c r="A1255" s="8">
        <v>16026</v>
      </c>
      <c r="B1255" s="8" t="s">
        <v>2638</v>
      </c>
    </row>
    <row r="1256" spans="1:2">
      <c r="A1256" s="8">
        <v>16027</v>
      </c>
      <c r="B1256" s="8" t="s">
        <v>2639</v>
      </c>
    </row>
    <row r="1257" spans="1:2">
      <c r="A1257" s="8">
        <v>16028</v>
      </c>
      <c r="B1257" s="8" t="s">
        <v>2640</v>
      </c>
    </row>
    <row r="1258" spans="1:2">
      <c r="A1258" s="8">
        <v>16029</v>
      </c>
      <c r="B1258" s="8" t="s">
        <v>2641</v>
      </c>
    </row>
    <row r="1259" spans="1:2">
      <c r="A1259" s="8">
        <v>16030</v>
      </c>
      <c r="B1259" s="8" t="s">
        <v>2642</v>
      </c>
    </row>
    <row r="1260" spans="1:2">
      <c r="A1260" s="8">
        <v>16031</v>
      </c>
      <c r="B1260" s="8" t="s">
        <v>2643</v>
      </c>
    </row>
    <row r="1261" spans="1:2">
      <c r="A1261" s="8">
        <v>16032</v>
      </c>
      <c r="B1261" s="8" t="s">
        <v>2644</v>
      </c>
    </row>
    <row r="1262" spans="1:2">
      <c r="A1262" s="8">
        <v>16033</v>
      </c>
      <c r="B1262" s="8" t="s">
        <v>2645</v>
      </c>
    </row>
    <row r="1263" spans="1:2">
      <c r="A1263" s="8">
        <v>16034</v>
      </c>
      <c r="B1263" s="8" t="s">
        <v>2646</v>
      </c>
    </row>
    <row r="1264" spans="1:2">
      <c r="A1264" s="8">
        <v>16035</v>
      </c>
      <c r="B1264" s="8" t="s">
        <v>2647</v>
      </c>
    </row>
    <row r="1265" spans="1:2">
      <c r="A1265" s="8">
        <v>16036</v>
      </c>
      <c r="B1265" s="8" t="s">
        <v>2648</v>
      </c>
    </row>
    <row r="1266" spans="1:2">
      <c r="A1266" s="8">
        <v>16037</v>
      </c>
      <c r="B1266" s="8" t="s">
        <v>2649</v>
      </c>
    </row>
    <row r="1267" spans="1:2">
      <c r="A1267" s="8">
        <v>16038</v>
      </c>
      <c r="B1267" s="8" t="s">
        <v>2650</v>
      </c>
    </row>
    <row r="1268" spans="1:2">
      <c r="A1268" s="8">
        <v>16039</v>
      </c>
      <c r="B1268" s="8" t="s">
        <v>2651</v>
      </c>
    </row>
    <row r="1269" spans="1:2">
      <c r="A1269" s="8">
        <v>16040</v>
      </c>
      <c r="B1269" s="8" t="s">
        <v>2652</v>
      </c>
    </row>
    <row r="1270" spans="1:2">
      <c r="A1270" s="8">
        <v>16041</v>
      </c>
      <c r="B1270" s="8" t="s">
        <v>2653</v>
      </c>
    </row>
    <row r="1271" spans="1:2">
      <c r="A1271" s="8">
        <v>16042</v>
      </c>
      <c r="B1271" s="8" t="s">
        <v>2654</v>
      </c>
    </row>
    <row r="1272" spans="1:2">
      <c r="A1272" s="8">
        <v>16043</v>
      </c>
      <c r="B1272" s="8" t="s">
        <v>2655</v>
      </c>
    </row>
    <row r="1273" spans="1:2">
      <c r="A1273" s="8">
        <v>16044</v>
      </c>
      <c r="B1273" s="8" t="s">
        <v>2656</v>
      </c>
    </row>
    <row r="1274" spans="1:2">
      <c r="A1274" s="8">
        <v>16045</v>
      </c>
      <c r="B1274" s="8" t="s">
        <v>2657</v>
      </c>
    </row>
    <row r="1275" spans="1:2">
      <c r="A1275" s="8">
        <v>16046</v>
      </c>
      <c r="B1275" s="8" t="s">
        <v>2658</v>
      </c>
    </row>
    <row r="1276" spans="1:2">
      <c r="A1276" s="8">
        <v>16047</v>
      </c>
      <c r="B1276" s="8" t="s">
        <v>2659</v>
      </c>
    </row>
    <row r="1277" spans="1:2">
      <c r="A1277" s="8">
        <v>16048</v>
      </c>
      <c r="B1277" s="8" t="s">
        <v>2660</v>
      </c>
    </row>
    <row r="1278" spans="1:2">
      <c r="A1278" s="8">
        <v>16049</v>
      </c>
      <c r="B1278" s="8" t="s">
        <v>2661</v>
      </c>
    </row>
    <row r="1279" spans="1:2">
      <c r="A1279" s="8">
        <v>16050</v>
      </c>
      <c r="B1279" s="8" t="s">
        <v>2662</v>
      </c>
    </row>
    <row r="1280" spans="1:2">
      <c r="A1280" s="8">
        <v>16051</v>
      </c>
      <c r="B1280" s="8" t="s">
        <v>2663</v>
      </c>
    </row>
    <row r="1281" spans="1:2">
      <c r="A1281" s="8">
        <v>16052</v>
      </c>
      <c r="B1281" s="8" t="s">
        <v>2664</v>
      </c>
    </row>
    <row r="1282" spans="1:2">
      <c r="A1282" s="8">
        <v>16053</v>
      </c>
      <c r="B1282" s="8" t="s">
        <v>2665</v>
      </c>
    </row>
    <row r="1283" spans="1:2">
      <c r="A1283" s="8">
        <v>16054</v>
      </c>
      <c r="B1283" s="8" t="s">
        <v>2666</v>
      </c>
    </row>
    <row r="1284" spans="1:2">
      <c r="A1284" s="8">
        <v>16055</v>
      </c>
      <c r="B1284" s="8" t="s">
        <v>2667</v>
      </c>
    </row>
    <row r="1285" spans="1:2">
      <c r="A1285" s="8">
        <v>16056</v>
      </c>
      <c r="B1285" s="8" t="s">
        <v>2668</v>
      </c>
    </row>
    <row r="1286" spans="1:2">
      <c r="A1286" s="8">
        <v>16057</v>
      </c>
      <c r="B1286" s="8" t="s">
        <v>2669</v>
      </c>
    </row>
    <row r="1287" spans="1:2">
      <c r="A1287" s="8">
        <v>16058</v>
      </c>
      <c r="B1287" s="8" t="s">
        <v>2670</v>
      </c>
    </row>
    <row r="1288" spans="1:2">
      <c r="A1288" s="8">
        <v>16059</v>
      </c>
      <c r="B1288" s="8" t="s">
        <v>2671</v>
      </c>
    </row>
    <row r="1289" spans="1:2">
      <c r="A1289" s="8">
        <v>16060</v>
      </c>
      <c r="B1289" s="8" t="s">
        <v>2672</v>
      </c>
    </row>
    <row r="1290" spans="1:2">
      <c r="A1290" s="8">
        <v>16061</v>
      </c>
      <c r="B1290" s="8" t="s">
        <v>2673</v>
      </c>
    </row>
    <row r="1291" spans="1:2">
      <c r="A1291" s="8">
        <v>16062</v>
      </c>
      <c r="B1291" s="8" t="s">
        <v>2674</v>
      </c>
    </row>
    <row r="1292" spans="1:2">
      <c r="A1292" s="8">
        <v>16063</v>
      </c>
      <c r="B1292" s="8" t="s">
        <v>2675</v>
      </c>
    </row>
    <row r="1293" spans="1:2">
      <c r="A1293" s="8">
        <v>16064</v>
      </c>
      <c r="B1293" s="8" t="s">
        <v>2676</v>
      </c>
    </row>
    <row r="1294" spans="1:2">
      <c r="A1294" s="8">
        <v>16065</v>
      </c>
      <c r="B1294" s="8" t="s">
        <v>2677</v>
      </c>
    </row>
    <row r="1295" spans="1:2">
      <c r="A1295" s="8">
        <v>16066</v>
      </c>
      <c r="B1295" s="8" t="s">
        <v>2678</v>
      </c>
    </row>
    <row r="1296" spans="1:2">
      <c r="A1296" s="8">
        <v>16067</v>
      </c>
      <c r="B1296" s="8" t="s">
        <v>2679</v>
      </c>
    </row>
    <row r="1297" spans="1:2">
      <c r="A1297" s="8">
        <v>16068</v>
      </c>
      <c r="B1297" s="8" t="s">
        <v>2680</v>
      </c>
    </row>
    <row r="1298" spans="1:2">
      <c r="A1298" s="8">
        <v>16069</v>
      </c>
      <c r="B1298" s="8" t="s">
        <v>2681</v>
      </c>
    </row>
    <row r="1299" spans="1:2">
      <c r="A1299" s="8">
        <v>16070</v>
      </c>
      <c r="B1299" s="8" t="s">
        <v>2682</v>
      </c>
    </row>
    <row r="1300" spans="1:2">
      <c r="A1300" s="8">
        <v>16071</v>
      </c>
      <c r="B1300" s="8" t="s">
        <v>2683</v>
      </c>
    </row>
    <row r="1301" spans="1:2">
      <c r="A1301" s="8">
        <v>16072</v>
      </c>
      <c r="B1301" s="8" t="s">
        <v>2684</v>
      </c>
    </row>
    <row r="1302" spans="1:2">
      <c r="A1302" s="8">
        <v>16073</v>
      </c>
      <c r="B1302" s="8" t="s">
        <v>2685</v>
      </c>
    </row>
    <row r="1303" spans="1:2">
      <c r="A1303" s="8">
        <v>16074</v>
      </c>
      <c r="B1303" s="8" t="s">
        <v>2686</v>
      </c>
    </row>
    <row r="1304" spans="1:2">
      <c r="A1304" s="8">
        <v>16075</v>
      </c>
      <c r="B1304" s="8" t="s">
        <v>2687</v>
      </c>
    </row>
    <row r="1305" spans="1:2">
      <c r="A1305" s="8">
        <v>16076</v>
      </c>
      <c r="B1305" s="8" t="s">
        <v>2688</v>
      </c>
    </row>
    <row r="1306" spans="1:2">
      <c r="A1306" s="8">
        <v>16077</v>
      </c>
      <c r="B1306" s="8" t="s">
        <v>2689</v>
      </c>
    </row>
    <row r="1307" spans="1:2">
      <c r="A1307" s="8">
        <v>16078</v>
      </c>
      <c r="B1307" s="8" t="s">
        <v>2690</v>
      </c>
    </row>
    <row r="1308" spans="1:2">
      <c r="A1308" s="8">
        <v>16079</v>
      </c>
      <c r="B1308" s="8" t="s">
        <v>2691</v>
      </c>
    </row>
    <row r="1309" spans="1:2">
      <c r="A1309" s="8">
        <v>16080</v>
      </c>
      <c r="B1309" s="8" t="s">
        <v>2692</v>
      </c>
    </row>
    <row r="1310" spans="1:2">
      <c r="A1310" s="8">
        <v>16081</v>
      </c>
      <c r="B1310" s="8" t="s">
        <v>2693</v>
      </c>
    </row>
    <row r="1311" spans="1:2">
      <c r="A1311" s="8">
        <v>16082</v>
      </c>
      <c r="B1311" s="8" t="s">
        <v>2694</v>
      </c>
    </row>
    <row r="1312" spans="1:2">
      <c r="A1312" s="8">
        <v>16083</v>
      </c>
      <c r="B1312" s="8" t="s">
        <v>2695</v>
      </c>
    </row>
    <row r="1313" spans="1:2">
      <c r="A1313" s="8">
        <v>16084</v>
      </c>
      <c r="B1313" s="8" t="s">
        <v>2696</v>
      </c>
    </row>
    <row r="1314" spans="1:2">
      <c r="A1314" s="8">
        <v>16085</v>
      </c>
      <c r="B1314" s="8" t="s">
        <v>2697</v>
      </c>
    </row>
    <row r="1315" spans="1:2">
      <c r="A1315" s="8">
        <v>16086</v>
      </c>
      <c r="B1315" s="8" t="s">
        <v>2698</v>
      </c>
    </row>
    <row r="1316" spans="1:2">
      <c r="A1316" s="8">
        <v>16087</v>
      </c>
      <c r="B1316" s="8" t="s">
        <v>2699</v>
      </c>
    </row>
    <row r="1317" spans="1:2">
      <c r="A1317" s="8">
        <v>16088</v>
      </c>
      <c r="B1317" s="8" t="s">
        <v>2700</v>
      </c>
    </row>
    <row r="1318" spans="1:2">
      <c r="A1318" s="8">
        <v>16089</v>
      </c>
      <c r="B1318" s="8" t="s">
        <v>2701</v>
      </c>
    </row>
    <row r="1319" spans="1:2">
      <c r="A1319" s="8">
        <v>16090</v>
      </c>
      <c r="B1319" s="8" t="s">
        <v>2702</v>
      </c>
    </row>
    <row r="1320" spans="1:2">
      <c r="A1320" s="8">
        <v>16091</v>
      </c>
      <c r="B1320" s="8" t="s">
        <v>2703</v>
      </c>
    </row>
    <row r="1321" spans="1:2">
      <c r="A1321" s="8">
        <v>16092</v>
      </c>
      <c r="B1321" s="8" t="s">
        <v>2704</v>
      </c>
    </row>
    <row r="1322" spans="1:2">
      <c r="A1322" s="8">
        <v>16093</v>
      </c>
      <c r="B1322" s="8" t="s">
        <v>2705</v>
      </c>
    </row>
    <row r="1323" spans="1:2">
      <c r="A1323" s="8">
        <v>16094</v>
      </c>
      <c r="B1323" s="8" t="s">
        <v>2706</v>
      </c>
    </row>
    <row r="1324" spans="1:2">
      <c r="A1324" s="8">
        <v>16095</v>
      </c>
      <c r="B1324" s="8" t="s">
        <v>2707</v>
      </c>
    </row>
    <row r="1325" spans="1:2">
      <c r="A1325" s="8">
        <v>16096</v>
      </c>
      <c r="B1325" s="8" t="s">
        <v>2708</v>
      </c>
    </row>
    <row r="1326" spans="1:2">
      <c r="A1326" s="8">
        <v>16097</v>
      </c>
      <c r="B1326" s="8" t="s">
        <v>2709</v>
      </c>
    </row>
    <row r="1327" spans="1:2">
      <c r="A1327" s="8">
        <v>16098</v>
      </c>
      <c r="B1327" s="8" t="s">
        <v>2710</v>
      </c>
    </row>
    <row r="1328" spans="1:2">
      <c r="A1328" s="8">
        <v>16099</v>
      </c>
      <c r="B1328" s="8" t="s">
        <v>2711</v>
      </c>
    </row>
    <row r="1329" spans="1:2">
      <c r="A1329" s="8">
        <v>16100</v>
      </c>
      <c r="B1329" s="8" t="s">
        <v>2712</v>
      </c>
    </row>
    <row r="1330" spans="1:2">
      <c r="A1330" s="8">
        <v>16101</v>
      </c>
      <c r="B1330" s="8" t="s">
        <v>2713</v>
      </c>
    </row>
    <row r="1331" spans="1:2">
      <c r="A1331" s="8">
        <v>16102</v>
      </c>
      <c r="B1331" s="8" t="s">
        <v>2714</v>
      </c>
    </row>
    <row r="1332" spans="1:2">
      <c r="A1332" s="8">
        <v>16103</v>
      </c>
      <c r="B1332" s="8" t="s">
        <v>2715</v>
      </c>
    </row>
    <row r="1333" spans="1:2">
      <c r="A1333" s="8">
        <v>16104</v>
      </c>
      <c r="B1333" s="8" t="s">
        <v>2716</v>
      </c>
    </row>
    <row r="1334" spans="1:2">
      <c r="A1334" s="8">
        <v>16105</v>
      </c>
      <c r="B1334" s="8" t="s">
        <v>2717</v>
      </c>
    </row>
    <row r="1335" spans="1:2">
      <c r="A1335" s="8">
        <v>16106</v>
      </c>
      <c r="B1335" s="8" t="s">
        <v>2718</v>
      </c>
    </row>
    <row r="1336" spans="1:2">
      <c r="A1336" s="8">
        <v>16107</v>
      </c>
      <c r="B1336" s="8" t="s">
        <v>2719</v>
      </c>
    </row>
    <row r="1337" spans="1:2">
      <c r="A1337" s="8">
        <v>16108</v>
      </c>
      <c r="B1337" s="8" t="s">
        <v>2720</v>
      </c>
    </row>
    <row r="1338" spans="1:2">
      <c r="A1338" s="8">
        <v>16109</v>
      </c>
      <c r="B1338" s="8" t="s">
        <v>2721</v>
      </c>
    </row>
    <row r="1339" spans="1:2">
      <c r="A1339" s="8">
        <v>16110</v>
      </c>
      <c r="B1339" s="8" t="s">
        <v>2722</v>
      </c>
    </row>
    <row r="1340" spans="1:2">
      <c r="A1340" s="8">
        <v>16111</v>
      </c>
      <c r="B1340" s="8" t="s">
        <v>2723</v>
      </c>
    </row>
    <row r="1341" spans="1:2">
      <c r="A1341" s="8">
        <v>16112</v>
      </c>
      <c r="B1341" s="8" t="s">
        <v>2724</v>
      </c>
    </row>
    <row r="1342" spans="1:2">
      <c r="A1342" s="8">
        <v>16113</v>
      </c>
      <c r="B1342" s="8" t="s">
        <v>2725</v>
      </c>
    </row>
    <row r="1343" spans="1:2">
      <c r="A1343" s="8">
        <v>16114</v>
      </c>
      <c r="B1343" s="8" t="s">
        <v>2726</v>
      </c>
    </row>
    <row r="1344" spans="1:2">
      <c r="A1344" s="8">
        <v>16115</v>
      </c>
      <c r="B1344" s="8" t="s">
        <v>2646</v>
      </c>
    </row>
    <row r="1345" spans="1:2">
      <c r="A1345" s="8">
        <v>16116</v>
      </c>
      <c r="B1345" s="8" t="s">
        <v>2727</v>
      </c>
    </row>
    <row r="1346" spans="1:2">
      <c r="A1346" s="8">
        <v>16117</v>
      </c>
      <c r="B1346" s="8" t="s">
        <v>2728</v>
      </c>
    </row>
    <row r="1347" spans="1:2">
      <c r="A1347" s="8">
        <v>16118</v>
      </c>
      <c r="B1347" s="8" t="s">
        <v>2729</v>
      </c>
    </row>
    <row r="1348" spans="1:2">
      <c r="A1348" s="8">
        <v>16119</v>
      </c>
      <c r="B1348" s="8" t="s">
        <v>2730</v>
      </c>
    </row>
    <row r="1349" spans="1:2">
      <c r="A1349" s="8">
        <v>16120</v>
      </c>
      <c r="B1349" s="8" t="s">
        <v>2731</v>
      </c>
    </row>
    <row r="1350" spans="1:2">
      <c r="A1350" s="8">
        <v>16121</v>
      </c>
      <c r="B1350" s="8" t="s">
        <v>2732</v>
      </c>
    </row>
    <row r="1351" spans="1:2">
      <c r="A1351" s="8">
        <v>16122</v>
      </c>
      <c r="B1351" s="8" t="s">
        <v>2733</v>
      </c>
    </row>
    <row r="1352" spans="1:2">
      <c r="A1352" s="8">
        <v>16123</v>
      </c>
      <c r="B1352" s="8" t="s">
        <v>2734</v>
      </c>
    </row>
    <row r="1353" spans="1:2">
      <c r="A1353" s="8">
        <v>16124</v>
      </c>
      <c r="B1353" s="8" t="s">
        <v>2735</v>
      </c>
    </row>
    <row r="1354" spans="1:2">
      <c r="A1354" s="8">
        <v>16125</v>
      </c>
      <c r="B1354" s="8" t="s">
        <v>2736</v>
      </c>
    </row>
    <row r="1355" spans="1:2">
      <c r="A1355" s="8">
        <v>16126</v>
      </c>
      <c r="B1355" s="8" t="s">
        <v>2737</v>
      </c>
    </row>
    <row r="1356" spans="1:2">
      <c r="A1356" s="8">
        <v>16127</v>
      </c>
      <c r="B1356" s="8" t="s">
        <v>2738</v>
      </c>
    </row>
    <row r="1357" spans="1:2">
      <c r="A1357" s="8">
        <v>16128</v>
      </c>
      <c r="B1357" s="8" t="s">
        <v>2739</v>
      </c>
    </row>
    <row r="1358" spans="1:2">
      <c r="A1358" s="8">
        <v>16129</v>
      </c>
      <c r="B1358" s="8" t="s">
        <v>2740</v>
      </c>
    </row>
    <row r="1359" spans="1:2">
      <c r="A1359" s="8">
        <v>16130</v>
      </c>
      <c r="B1359" s="8" t="s">
        <v>2741</v>
      </c>
    </row>
    <row r="1360" spans="1:2">
      <c r="A1360" s="8">
        <v>16131</v>
      </c>
      <c r="B1360" s="8" t="s">
        <v>2742</v>
      </c>
    </row>
    <row r="1361" spans="1:2">
      <c r="A1361" s="8">
        <v>16132</v>
      </c>
      <c r="B1361" s="8" t="s">
        <v>2743</v>
      </c>
    </row>
    <row r="1362" spans="1:2">
      <c r="A1362" s="8">
        <v>16133</v>
      </c>
      <c r="B1362" s="8" t="s">
        <v>2744</v>
      </c>
    </row>
    <row r="1363" spans="1:2">
      <c r="A1363" s="8">
        <v>16134</v>
      </c>
      <c r="B1363" s="8" t="s">
        <v>2745</v>
      </c>
    </row>
    <row r="1364" spans="1:2">
      <c r="A1364" s="8">
        <v>16135</v>
      </c>
      <c r="B1364" s="8" t="s">
        <v>2746</v>
      </c>
    </row>
    <row r="1365" spans="1:2">
      <c r="A1365" s="8">
        <v>16136</v>
      </c>
      <c r="B1365" s="8" t="s">
        <v>2747</v>
      </c>
    </row>
    <row r="1366" spans="1:2">
      <c r="A1366" s="8">
        <v>16137</v>
      </c>
      <c r="B1366" s="8" t="s">
        <v>2748</v>
      </c>
    </row>
    <row r="1367" spans="1:2">
      <c r="A1367" s="8">
        <v>16138</v>
      </c>
      <c r="B1367" s="8" t="s">
        <v>2749</v>
      </c>
    </row>
    <row r="1368" spans="1:2">
      <c r="A1368" s="8">
        <v>16139</v>
      </c>
      <c r="B1368" s="8" t="s">
        <v>2750</v>
      </c>
    </row>
    <row r="1369" spans="1:2">
      <c r="A1369" s="8">
        <v>16140</v>
      </c>
      <c r="B1369" s="8" t="s">
        <v>2751</v>
      </c>
    </row>
    <row r="1370" spans="1:2">
      <c r="A1370" s="8">
        <v>16141</v>
      </c>
      <c r="B1370" s="8" t="s">
        <v>2752</v>
      </c>
    </row>
    <row r="1371" spans="1:2">
      <c r="A1371" s="8">
        <v>16142</v>
      </c>
      <c r="B1371" s="8" t="s">
        <v>2753</v>
      </c>
    </row>
    <row r="1372" spans="1:2">
      <c r="A1372" s="8">
        <v>16143</v>
      </c>
      <c r="B1372" s="8" t="s">
        <v>2754</v>
      </c>
    </row>
    <row r="1373" spans="1:2">
      <c r="A1373" s="8">
        <v>16144</v>
      </c>
      <c r="B1373" s="8" t="s">
        <v>2755</v>
      </c>
    </row>
    <row r="1374" spans="1:2">
      <c r="A1374" s="8">
        <v>16145</v>
      </c>
      <c r="B1374" s="8" t="s">
        <v>2756</v>
      </c>
    </row>
    <row r="1375" spans="1:2">
      <c r="A1375" s="8">
        <v>16146</v>
      </c>
      <c r="B1375" s="8" t="s">
        <v>2757</v>
      </c>
    </row>
    <row r="1376" spans="1:2">
      <c r="A1376" s="8">
        <v>16147</v>
      </c>
      <c r="B1376" s="8" t="s">
        <v>2758</v>
      </c>
    </row>
    <row r="1377" spans="1:2">
      <c r="A1377" s="8">
        <v>16148</v>
      </c>
      <c r="B1377" s="8" t="s">
        <v>2759</v>
      </c>
    </row>
    <row r="1378" spans="1:2">
      <c r="A1378" s="8">
        <v>16149</v>
      </c>
      <c r="B1378" s="8" t="s">
        <v>2760</v>
      </c>
    </row>
    <row r="1379" spans="1:2">
      <c r="A1379" s="8">
        <v>16150</v>
      </c>
      <c r="B1379" s="8" t="s">
        <v>2761</v>
      </c>
    </row>
    <row r="1380" spans="1:2">
      <c r="A1380" s="8">
        <v>16151</v>
      </c>
      <c r="B1380" s="8" t="s">
        <v>2762</v>
      </c>
    </row>
    <row r="1381" spans="1:2">
      <c r="A1381" s="8">
        <v>16152</v>
      </c>
      <c r="B1381" s="8" t="s">
        <v>2763</v>
      </c>
    </row>
    <row r="1382" spans="1:2">
      <c r="A1382" s="8">
        <v>16153</v>
      </c>
      <c r="B1382" s="8" t="s">
        <v>2764</v>
      </c>
    </row>
    <row r="1383" spans="1:2">
      <c r="A1383" s="8">
        <v>16154</v>
      </c>
      <c r="B1383" s="8" t="s">
        <v>2765</v>
      </c>
    </row>
    <row r="1384" spans="1:2">
      <c r="A1384" s="8">
        <v>16155</v>
      </c>
      <c r="B1384" s="8" t="s">
        <v>2766</v>
      </c>
    </row>
    <row r="1385" spans="1:2">
      <c r="A1385" s="8">
        <v>16156</v>
      </c>
      <c r="B1385" s="8" t="s">
        <v>2767</v>
      </c>
    </row>
    <row r="1386" spans="1:2">
      <c r="A1386" s="8">
        <v>16157</v>
      </c>
      <c r="B1386" s="8" t="s">
        <v>2768</v>
      </c>
    </row>
    <row r="1387" spans="1:2">
      <c r="A1387" s="8">
        <v>16158</v>
      </c>
      <c r="B1387" s="8" t="s">
        <v>2769</v>
      </c>
    </row>
    <row r="1388" spans="1:2">
      <c r="A1388" s="8">
        <v>16159</v>
      </c>
      <c r="B1388" s="8" t="s">
        <v>2770</v>
      </c>
    </row>
    <row r="1389" spans="1:2">
      <c r="A1389" s="8">
        <v>16160</v>
      </c>
      <c r="B1389" s="8" t="s">
        <v>2771</v>
      </c>
    </row>
    <row r="1390" spans="1:2">
      <c r="A1390" s="8">
        <v>16161</v>
      </c>
      <c r="B1390" s="8" t="s">
        <v>2772</v>
      </c>
    </row>
    <row r="1391" spans="1:2">
      <c r="A1391" s="8">
        <v>16162</v>
      </c>
      <c r="B1391" s="8" t="s">
        <v>2773</v>
      </c>
    </row>
    <row r="1392" spans="1:2">
      <c r="A1392" s="8">
        <v>16163</v>
      </c>
      <c r="B1392" s="8" t="s">
        <v>2774</v>
      </c>
    </row>
    <row r="1393" spans="1:2">
      <c r="A1393" s="8">
        <v>16164</v>
      </c>
      <c r="B1393" s="8" t="s">
        <v>2775</v>
      </c>
    </row>
    <row r="1394" spans="1:2">
      <c r="A1394" s="8">
        <v>16165</v>
      </c>
      <c r="B1394" s="8" t="s">
        <v>2776</v>
      </c>
    </row>
    <row r="1395" spans="1:2">
      <c r="A1395" s="8">
        <v>16166</v>
      </c>
      <c r="B1395" s="8" t="s">
        <v>2777</v>
      </c>
    </row>
    <row r="1396" spans="1:2">
      <c r="A1396" s="8">
        <v>16167</v>
      </c>
      <c r="B1396" s="8" t="s">
        <v>2778</v>
      </c>
    </row>
    <row r="1397" spans="1:2">
      <c r="A1397" s="8">
        <v>16168</v>
      </c>
      <c r="B1397" s="8" t="s">
        <v>2779</v>
      </c>
    </row>
    <row r="1398" spans="1:2">
      <c r="A1398" s="8">
        <v>16169</v>
      </c>
      <c r="B1398" s="8" t="s">
        <v>2780</v>
      </c>
    </row>
    <row r="1399" spans="1:2">
      <c r="A1399" s="8">
        <v>16170</v>
      </c>
      <c r="B1399" s="8" t="s">
        <v>2781</v>
      </c>
    </row>
    <row r="1400" spans="1:2">
      <c r="A1400" s="8">
        <v>16171</v>
      </c>
      <c r="B1400" s="8" t="s">
        <v>2782</v>
      </c>
    </row>
    <row r="1401" spans="1:2">
      <c r="A1401" s="8">
        <v>16172</v>
      </c>
      <c r="B1401" s="8" t="s">
        <v>2783</v>
      </c>
    </row>
    <row r="1402" spans="1:2">
      <c r="A1402" s="8">
        <v>16173</v>
      </c>
      <c r="B1402" s="8" t="s">
        <v>2784</v>
      </c>
    </row>
    <row r="1403" spans="1:2">
      <c r="A1403" s="8">
        <v>16174</v>
      </c>
      <c r="B1403" s="8" t="s">
        <v>2785</v>
      </c>
    </row>
    <row r="1404" spans="1:2">
      <c r="A1404" s="8">
        <v>16175</v>
      </c>
      <c r="B1404" s="8" t="s">
        <v>2786</v>
      </c>
    </row>
    <row r="1405" spans="1:2">
      <c r="A1405" s="8">
        <v>16176</v>
      </c>
      <c r="B1405" s="8" t="s">
        <v>2787</v>
      </c>
    </row>
    <row r="1406" spans="1:2">
      <c r="A1406" s="8">
        <v>16177</v>
      </c>
      <c r="B1406" s="8" t="s">
        <v>2788</v>
      </c>
    </row>
    <row r="1407" spans="1:2">
      <c r="A1407" s="8">
        <v>16178</v>
      </c>
      <c r="B1407" s="8" t="s">
        <v>2789</v>
      </c>
    </row>
    <row r="1408" spans="1:2">
      <c r="A1408" s="8">
        <v>16179</v>
      </c>
      <c r="B1408" s="8" t="s">
        <v>2790</v>
      </c>
    </row>
    <row r="1409" spans="1:2">
      <c r="A1409" s="12">
        <v>16180</v>
      </c>
      <c r="B1409" s="7" t="s">
        <v>2791</v>
      </c>
    </row>
    <row r="1410" spans="1:2">
      <c r="A1410" s="7">
        <v>16301</v>
      </c>
      <c r="B1410" s="7" t="s">
        <v>2792</v>
      </c>
    </row>
    <row r="1411" spans="1:2">
      <c r="A1411" s="7">
        <v>16302</v>
      </c>
      <c r="B1411" s="7" t="s">
        <v>2793</v>
      </c>
    </row>
    <row r="1412" spans="1:2">
      <c r="A1412" s="7">
        <v>16303</v>
      </c>
      <c r="B1412" s="7" t="s">
        <v>2794</v>
      </c>
    </row>
    <row r="1413" spans="1:2">
      <c r="A1413" s="7">
        <v>16304</v>
      </c>
      <c r="B1413" s="7" t="s">
        <v>2795</v>
      </c>
    </row>
    <row r="1414" spans="1:2">
      <c r="A1414" s="7">
        <v>16305</v>
      </c>
      <c r="B1414" s="7" t="s">
        <v>2796</v>
      </c>
    </row>
    <row r="1415" spans="1:2">
      <c r="A1415" s="7">
        <v>16306</v>
      </c>
      <c r="B1415" s="7" t="s">
        <v>2797</v>
      </c>
    </row>
    <row r="1416" spans="1:2">
      <c r="A1416" s="7">
        <v>16307</v>
      </c>
      <c r="B1416" s="7" t="s">
        <v>2798</v>
      </c>
    </row>
    <row r="1417" spans="1:2">
      <c r="A1417" s="7">
        <v>16308</v>
      </c>
      <c r="B1417" s="7" t="s">
        <v>2799</v>
      </c>
    </row>
    <row r="1418" spans="1:2">
      <c r="A1418" s="7">
        <v>16309</v>
      </c>
      <c r="B1418" s="7" t="s">
        <v>2800</v>
      </c>
    </row>
    <row r="1419" spans="1:2">
      <c r="A1419" s="7">
        <v>16310</v>
      </c>
      <c r="B1419" s="7" t="s">
        <v>2801</v>
      </c>
    </row>
    <row r="1420" spans="1:2">
      <c r="A1420" s="7">
        <v>16311</v>
      </c>
      <c r="B1420" s="7" t="s">
        <v>2802</v>
      </c>
    </row>
    <row r="1421" spans="1:2">
      <c r="A1421" s="7">
        <v>16312</v>
      </c>
      <c r="B1421" s="7" t="s">
        <v>2803</v>
      </c>
    </row>
    <row r="1422" spans="1:2">
      <c r="A1422" s="16">
        <v>16313</v>
      </c>
      <c r="B1422" s="7" t="s">
        <v>2804</v>
      </c>
    </row>
    <row r="1423" spans="1:2">
      <c r="A1423" s="16">
        <v>16314</v>
      </c>
      <c r="B1423" s="7" t="s">
        <v>2805</v>
      </c>
    </row>
    <row r="1424" spans="1:2">
      <c r="A1424" s="16">
        <v>16315</v>
      </c>
      <c r="B1424" s="7" t="s">
        <v>2806</v>
      </c>
    </row>
    <row r="1425" spans="1:2">
      <c r="A1425" s="16">
        <v>16316</v>
      </c>
      <c r="B1425" s="7" t="s">
        <v>2807</v>
      </c>
    </row>
    <row r="1426" spans="1:2">
      <c r="A1426" s="16">
        <v>16317</v>
      </c>
      <c r="B1426" s="7" t="s">
        <v>2808</v>
      </c>
    </row>
    <row r="1427" spans="1:2">
      <c r="A1427" s="16">
        <v>16318</v>
      </c>
      <c r="B1427" s="7" t="s">
        <v>2809</v>
      </c>
    </row>
    <row r="1428" spans="1:2">
      <c r="A1428" s="16">
        <v>16319</v>
      </c>
      <c r="B1428" s="7" t="s">
        <v>2810</v>
      </c>
    </row>
    <row r="1429" spans="1:2">
      <c r="A1429" s="16">
        <v>16320</v>
      </c>
      <c r="B1429" s="7" t="s">
        <v>2811</v>
      </c>
    </row>
    <row r="1430" spans="1:2">
      <c r="A1430" s="8">
        <v>16321</v>
      </c>
      <c r="B1430" s="8" t="s">
        <v>2812</v>
      </c>
    </row>
    <row r="1431" spans="1:2">
      <c r="A1431" s="12">
        <v>16322</v>
      </c>
      <c r="B1431" s="8" t="s">
        <v>2813</v>
      </c>
    </row>
    <row r="1432" spans="1:2">
      <c r="A1432" s="8">
        <v>16323</v>
      </c>
      <c r="B1432" s="8" t="s">
        <v>2814</v>
      </c>
    </row>
    <row r="1433" spans="1:2">
      <c r="A1433" s="8">
        <v>16324</v>
      </c>
      <c r="B1433" s="8" t="s">
        <v>2815</v>
      </c>
    </row>
    <row r="1434" spans="1:2">
      <c r="A1434" s="8">
        <v>16325</v>
      </c>
      <c r="B1434" s="8" t="s">
        <v>2816</v>
      </c>
    </row>
    <row r="1435" spans="1:2">
      <c r="A1435" s="8">
        <v>16326</v>
      </c>
      <c r="B1435" s="8" t="s">
        <v>2817</v>
      </c>
    </row>
    <row r="1436" spans="1:2">
      <c r="A1436" s="8">
        <v>16327</v>
      </c>
      <c r="B1436" s="8" t="s">
        <v>2818</v>
      </c>
    </row>
    <row r="1437" spans="1:2">
      <c r="A1437" s="8">
        <v>16328</v>
      </c>
      <c r="B1437" s="8" t="s">
        <v>2819</v>
      </c>
    </row>
    <row r="1438" spans="1:2">
      <c r="A1438" s="8">
        <v>16329</v>
      </c>
      <c r="B1438" s="8" t="s">
        <v>2820</v>
      </c>
    </row>
    <row r="1439" spans="1:2">
      <c r="A1439" s="8">
        <v>16330</v>
      </c>
      <c r="B1439" s="8" t="s">
        <v>2821</v>
      </c>
    </row>
    <row r="1440" spans="1:2">
      <c r="A1440" s="8">
        <v>16331</v>
      </c>
      <c r="B1440" s="8" t="s">
        <v>2822</v>
      </c>
    </row>
    <row r="1441" spans="1:2">
      <c r="A1441" s="8">
        <v>16332</v>
      </c>
      <c r="B1441" s="8" t="s">
        <v>2823</v>
      </c>
    </row>
    <row r="1442" spans="1:2">
      <c r="A1442" s="8">
        <v>16333</v>
      </c>
      <c r="B1442" s="8" t="s">
        <v>2824</v>
      </c>
    </row>
    <row r="1443" spans="1:2">
      <c r="A1443" s="8">
        <v>16334</v>
      </c>
      <c r="B1443" s="8" t="s">
        <v>2825</v>
      </c>
    </row>
    <row r="1444" spans="1:2">
      <c r="A1444" s="8">
        <v>16335</v>
      </c>
      <c r="B1444" s="8" t="s">
        <v>2826</v>
      </c>
    </row>
    <row r="1445" spans="1:2">
      <c r="A1445" s="8">
        <v>16336</v>
      </c>
      <c r="B1445" s="8" t="s">
        <v>2827</v>
      </c>
    </row>
    <row r="1446" spans="1:2">
      <c r="A1446" s="8">
        <v>16337</v>
      </c>
      <c r="B1446" s="8" t="s">
        <v>2828</v>
      </c>
    </row>
    <row r="1447" spans="1:2">
      <c r="A1447" s="8">
        <v>16338</v>
      </c>
      <c r="B1447" s="8" t="s">
        <v>2829</v>
      </c>
    </row>
    <row r="1448" spans="1:2">
      <c r="A1448" s="8">
        <v>16339</v>
      </c>
      <c r="B1448" s="8" t="s">
        <v>2830</v>
      </c>
    </row>
    <row r="1449" spans="1:2">
      <c r="A1449" s="8">
        <v>16340</v>
      </c>
      <c r="B1449" s="8" t="s">
        <v>2831</v>
      </c>
    </row>
    <row r="1450" spans="1:2">
      <c r="A1450" s="8">
        <v>16341</v>
      </c>
      <c r="B1450" s="8" t="s">
        <v>2832</v>
      </c>
    </row>
    <row r="1451" spans="1:2">
      <c r="A1451" s="8">
        <v>16342</v>
      </c>
      <c r="B1451" s="8" t="s">
        <v>2833</v>
      </c>
    </row>
    <row r="1453" spans="1:2">
      <c r="A1453" s="8">
        <v>18001</v>
      </c>
      <c r="B1453" s="8" t="s">
        <v>8797</v>
      </c>
    </row>
    <row r="1454" spans="1:2">
      <c r="A1454" s="8">
        <v>18002</v>
      </c>
      <c r="B1454" s="8" t="s">
        <v>8798</v>
      </c>
    </row>
    <row r="1455" spans="1:2">
      <c r="A1455" s="8">
        <v>18003</v>
      </c>
      <c r="B1455" s="8" t="s">
        <v>8799</v>
      </c>
    </row>
    <row r="1456" spans="1:2">
      <c r="A1456" s="8">
        <v>18004</v>
      </c>
      <c r="B1456" s="8" t="s">
        <v>8800</v>
      </c>
    </row>
    <row r="1457" spans="1:2">
      <c r="A1457" s="8">
        <v>18005</v>
      </c>
      <c r="B1457" s="8" t="s">
        <v>8801</v>
      </c>
    </row>
    <row r="1458" spans="1:2">
      <c r="A1458" s="8">
        <v>18006</v>
      </c>
      <c r="B1458" s="8" t="s">
        <v>8802</v>
      </c>
    </row>
    <row r="1459" spans="1:2">
      <c r="A1459" s="8">
        <v>18007</v>
      </c>
      <c r="B1459" s="8" t="s">
        <v>8803</v>
      </c>
    </row>
    <row r="1460" spans="1:2">
      <c r="A1460" s="8">
        <v>18008</v>
      </c>
      <c r="B1460" s="8" t="s">
        <v>8804</v>
      </c>
    </row>
    <row r="1461" spans="1:2">
      <c r="A1461" s="8">
        <v>18009</v>
      </c>
      <c r="B1461" s="8" t="s">
        <v>8805</v>
      </c>
    </row>
    <row r="1462" spans="1:2">
      <c r="A1462" s="8">
        <v>18010</v>
      </c>
      <c r="B1462" s="8" t="s">
        <v>8806</v>
      </c>
    </row>
    <row r="1463" spans="1:2">
      <c r="A1463" s="8">
        <v>18011</v>
      </c>
      <c r="B1463" s="8" t="s">
        <v>8807</v>
      </c>
    </row>
    <row r="1464" spans="1:2">
      <c r="A1464" s="8">
        <v>18012</v>
      </c>
      <c r="B1464" s="8" t="s">
        <v>8808</v>
      </c>
    </row>
    <row r="1465" spans="1:2">
      <c r="A1465" s="8">
        <v>18013</v>
      </c>
      <c r="B1465" s="8" t="s">
        <v>8809</v>
      </c>
    </row>
    <row r="1466" spans="1:2">
      <c r="A1466" s="8">
        <v>18014</v>
      </c>
      <c r="B1466" s="8" t="s">
        <v>8810</v>
      </c>
    </row>
    <row r="1467" spans="1:2">
      <c r="A1467" s="8">
        <v>18015</v>
      </c>
      <c r="B1467" s="8" t="s">
        <v>8811</v>
      </c>
    </row>
    <row r="1468" spans="1:2">
      <c r="A1468" s="8">
        <v>18016</v>
      </c>
      <c r="B1468" s="8" t="s">
        <v>8812</v>
      </c>
    </row>
    <row r="1469" spans="1:2">
      <c r="A1469" s="8">
        <v>18017</v>
      </c>
      <c r="B1469" s="8" t="s">
        <v>8813</v>
      </c>
    </row>
    <row r="1470" spans="1:2">
      <c r="A1470" s="8">
        <v>18018</v>
      </c>
      <c r="B1470" s="8" t="s">
        <v>8814</v>
      </c>
    </row>
    <row r="1471" spans="1:2">
      <c r="A1471" s="8">
        <v>18019</v>
      </c>
      <c r="B1471" s="8" t="s">
        <v>8815</v>
      </c>
    </row>
    <row r="1472" spans="1:2">
      <c r="A1472" s="8">
        <v>18020</v>
      </c>
      <c r="B1472" s="8" t="s">
        <v>8816</v>
      </c>
    </row>
    <row r="1473" spans="1:2">
      <c r="A1473" s="8">
        <v>18021</v>
      </c>
      <c r="B1473" s="8" t="s">
        <v>8817</v>
      </c>
    </row>
    <row r="1475" spans="1:2">
      <c r="A1475" s="8">
        <v>51001</v>
      </c>
      <c r="B1475" s="8" t="s">
        <v>2894</v>
      </c>
    </row>
    <row r="1476" spans="1:2">
      <c r="A1476" s="8">
        <v>51002</v>
      </c>
      <c r="B1476" s="8" t="s">
        <v>2895</v>
      </c>
    </row>
    <row r="1477" spans="1:2">
      <c r="A1477" s="8">
        <v>51003</v>
      </c>
      <c r="B1477" s="8" t="s">
        <v>2896</v>
      </c>
    </row>
    <row r="1478" spans="1:2">
      <c r="A1478" s="8">
        <v>51004</v>
      </c>
      <c r="B1478" s="8" t="s">
        <v>2897</v>
      </c>
    </row>
    <row r="1479" spans="1:2">
      <c r="A1479" s="8">
        <v>51005</v>
      </c>
      <c r="B1479" s="8" t="s">
        <v>2898</v>
      </c>
    </row>
    <row r="1480" spans="1:2">
      <c r="A1480" s="8">
        <v>51006</v>
      </c>
      <c r="B1480" s="8" t="s">
        <v>2899</v>
      </c>
    </row>
    <row r="1481" spans="1:2">
      <c r="A1481" s="8">
        <v>51007</v>
      </c>
      <c r="B1481" s="8" t="s">
        <v>2900</v>
      </c>
    </row>
    <row r="1482" spans="1:2">
      <c r="A1482" s="8">
        <v>51008</v>
      </c>
      <c r="B1482" s="8" t="s">
        <v>2901</v>
      </c>
    </row>
    <row r="1483" spans="1:2">
      <c r="A1483" s="8">
        <v>51009</v>
      </c>
      <c r="B1483" s="8" t="s">
        <v>2902</v>
      </c>
    </row>
    <row r="1484" spans="1:2">
      <c r="A1484" s="8">
        <v>51010</v>
      </c>
      <c r="B1484" s="8" t="s">
        <v>2903</v>
      </c>
    </row>
    <row r="1485" spans="1:2">
      <c r="A1485" s="8">
        <v>51011</v>
      </c>
      <c r="B1485" s="8" t="s">
        <v>2904</v>
      </c>
    </row>
    <row r="1486" spans="1:2">
      <c r="A1486" s="8">
        <v>51012</v>
      </c>
      <c r="B1486" s="8" t="s">
        <v>2905</v>
      </c>
    </row>
    <row r="1487" spans="1:2">
      <c r="A1487" s="8">
        <v>51013</v>
      </c>
      <c r="B1487" s="8" t="s">
        <v>2906</v>
      </c>
    </row>
    <row r="1488" spans="1:2">
      <c r="A1488" s="8">
        <v>51014</v>
      </c>
      <c r="B1488" s="8" t="s">
        <v>2907</v>
      </c>
    </row>
    <row r="1489" spans="1:2">
      <c r="A1489" s="8">
        <v>51015</v>
      </c>
      <c r="B1489" s="8" t="s">
        <v>2908</v>
      </c>
    </row>
    <row r="1490" spans="1:2">
      <c r="A1490" s="8">
        <v>51016</v>
      </c>
      <c r="B1490" s="8" t="s">
        <v>2909</v>
      </c>
    </row>
    <row r="1491" spans="1:2">
      <c r="A1491" s="8">
        <v>51017</v>
      </c>
      <c r="B1491" s="8" t="s">
        <v>2910</v>
      </c>
    </row>
    <row r="1492" spans="1:2">
      <c r="A1492" s="8">
        <v>51018</v>
      </c>
      <c r="B1492" s="8" t="s">
        <v>2911</v>
      </c>
    </row>
    <row r="1493" spans="1:2">
      <c r="A1493" s="8">
        <v>51019</v>
      </c>
      <c r="B1493" s="8" t="s">
        <v>2912</v>
      </c>
    </row>
    <row r="1494" spans="1:2">
      <c r="A1494" s="8">
        <v>51020</v>
      </c>
      <c r="B1494" s="8" t="s">
        <v>2913</v>
      </c>
    </row>
    <row r="1495" spans="1:2">
      <c r="A1495" s="8">
        <v>51021</v>
      </c>
      <c r="B1495" s="8" t="s">
        <v>2914</v>
      </c>
    </row>
    <row r="1496" spans="1:2">
      <c r="A1496" s="8">
        <v>51022</v>
      </c>
      <c r="B1496" s="8" t="s">
        <v>2915</v>
      </c>
    </row>
    <row r="1497" spans="1:2">
      <c r="A1497" s="8">
        <v>51023</v>
      </c>
      <c r="B1497" s="8" t="s">
        <v>2916</v>
      </c>
    </row>
    <row r="1498" spans="1:2">
      <c r="A1498" s="8">
        <v>51024</v>
      </c>
      <c r="B1498" s="8" t="s">
        <v>2917</v>
      </c>
    </row>
    <row r="1499" spans="1:2">
      <c r="A1499" s="8">
        <v>51025</v>
      </c>
      <c r="B1499" s="8" t="s">
        <v>2918</v>
      </c>
    </row>
    <row r="1500" spans="1:2">
      <c r="A1500" s="8">
        <v>51026</v>
      </c>
      <c r="B1500" s="8" t="s">
        <v>2919</v>
      </c>
    </row>
    <row r="1501" spans="1:2">
      <c r="A1501" s="8">
        <v>51027</v>
      </c>
      <c r="B1501" s="8" t="s">
        <v>2920</v>
      </c>
    </row>
    <row r="1502" spans="1:2">
      <c r="A1502" s="8">
        <v>51028</v>
      </c>
      <c r="B1502" s="8" t="s">
        <v>2921</v>
      </c>
    </row>
    <row r="1503" spans="1:2">
      <c r="A1503" s="8">
        <v>51029</v>
      </c>
      <c r="B1503" s="8" t="s">
        <v>2922</v>
      </c>
    </row>
    <row r="1504" spans="1:2">
      <c r="A1504" s="8">
        <v>51030</v>
      </c>
      <c r="B1504" s="8" t="s">
        <v>2923</v>
      </c>
    </row>
    <row r="1505" spans="1:2">
      <c r="A1505" s="8">
        <v>51031</v>
      </c>
      <c r="B1505" s="8" t="s">
        <v>2924</v>
      </c>
    </row>
    <row r="1506" spans="1:2">
      <c r="A1506" s="8">
        <v>51032</v>
      </c>
      <c r="B1506" s="8" t="s">
        <v>2925</v>
      </c>
    </row>
    <row r="1507" spans="1:2">
      <c r="A1507" s="8">
        <v>51033</v>
      </c>
      <c r="B1507" s="8" t="s">
        <v>2926</v>
      </c>
    </row>
    <row r="1508" spans="1:2">
      <c r="A1508" s="8">
        <v>51034</v>
      </c>
      <c r="B1508" s="8" t="s">
        <v>2927</v>
      </c>
    </row>
    <row r="1509" spans="1:2">
      <c r="A1509" s="8">
        <v>51035</v>
      </c>
      <c r="B1509" s="8" t="s">
        <v>2928</v>
      </c>
    </row>
    <row r="1510" spans="1:2">
      <c r="A1510" s="8">
        <v>51036</v>
      </c>
      <c r="B1510" s="8" t="s">
        <v>2929</v>
      </c>
    </row>
    <row r="1511" spans="1:2">
      <c r="A1511" s="8">
        <v>51037</v>
      </c>
      <c r="B1511" s="8" t="s">
        <v>2930</v>
      </c>
    </row>
    <row r="1512" spans="1:2">
      <c r="A1512" s="8">
        <v>51038</v>
      </c>
      <c r="B1512" s="8" t="s">
        <v>2931</v>
      </c>
    </row>
    <row r="1513" spans="1:2">
      <c r="A1513" s="8">
        <v>51039</v>
      </c>
      <c r="B1513" s="8" t="s">
        <v>2932</v>
      </c>
    </row>
    <row r="1514" spans="1:2">
      <c r="A1514" s="8">
        <v>51040</v>
      </c>
      <c r="B1514" s="8" t="s">
        <v>2933</v>
      </c>
    </row>
    <row r="1515" spans="1:2">
      <c r="A1515" s="8">
        <v>51041</v>
      </c>
      <c r="B1515" s="8" t="s">
        <v>2934</v>
      </c>
    </row>
    <row r="1516" spans="1:2">
      <c r="A1516" s="8">
        <v>51042</v>
      </c>
      <c r="B1516" s="8" t="s">
        <v>2935</v>
      </c>
    </row>
    <row r="1517" spans="1:2">
      <c r="A1517" s="8">
        <v>51043</v>
      </c>
      <c r="B1517" s="8" t="s">
        <v>2936</v>
      </c>
    </row>
    <row r="1518" spans="1:2">
      <c r="A1518" s="8">
        <v>51044</v>
      </c>
      <c r="B1518" s="8" t="s">
        <v>2937</v>
      </c>
    </row>
    <row r="1519" spans="1:2">
      <c r="A1519" s="8">
        <v>51045</v>
      </c>
      <c r="B1519" s="8" t="s">
        <v>2938</v>
      </c>
    </row>
    <row r="1520" spans="1:2">
      <c r="A1520" s="8">
        <v>51046</v>
      </c>
      <c r="B1520" s="8" t="s">
        <v>2939</v>
      </c>
    </row>
    <row r="1521" spans="1:2">
      <c r="A1521" s="8">
        <v>51047</v>
      </c>
      <c r="B1521" s="8" t="s">
        <v>2940</v>
      </c>
    </row>
    <row r="1522" spans="1:2">
      <c r="A1522" s="8">
        <v>51048</v>
      </c>
      <c r="B1522" s="8" t="s">
        <v>2941</v>
      </c>
    </row>
    <row r="1523" spans="1:2">
      <c r="A1523" s="8">
        <v>51049</v>
      </c>
      <c r="B1523" s="8" t="s">
        <v>2942</v>
      </c>
    </row>
    <row r="1524" spans="1:2">
      <c r="A1524" s="8">
        <v>51050</v>
      </c>
      <c r="B1524" s="8" t="s">
        <v>2943</v>
      </c>
    </row>
    <row r="1525" spans="1:2">
      <c r="A1525" s="8">
        <v>51051</v>
      </c>
      <c r="B1525" s="8" t="s">
        <v>2944</v>
      </c>
    </row>
    <row r="1526" spans="1:2">
      <c r="A1526" s="8">
        <v>51052</v>
      </c>
      <c r="B1526" s="8" t="s">
        <v>2945</v>
      </c>
    </row>
    <row r="1527" spans="1:2">
      <c r="A1527" s="8">
        <v>51053</v>
      </c>
      <c r="B1527" s="8" t="s">
        <v>2946</v>
      </c>
    </row>
    <row r="1528" spans="1:2">
      <c r="A1528" s="8">
        <v>51054</v>
      </c>
      <c r="B1528" s="8" t="s">
        <v>2947</v>
      </c>
    </row>
    <row r="1529" spans="1:2">
      <c r="A1529" s="8">
        <v>51055</v>
      </c>
      <c r="B1529" s="8" t="s">
        <v>2948</v>
      </c>
    </row>
    <row r="1530" spans="1:2">
      <c r="A1530" s="8">
        <v>51056</v>
      </c>
      <c r="B1530" s="8" t="s">
        <v>2949</v>
      </c>
    </row>
    <row r="1531" spans="1:2">
      <c r="A1531" s="8">
        <v>51057</v>
      </c>
      <c r="B1531" s="8" t="s">
        <v>2950</v>
      </c>
    </row>
    <row r="1532" spans="1:2">
      <c r="A1532" s="8">
        <v>51058</v>
      </c>
      <c r="B1532" s="8" t="s">
        <v>2951</v>
      </c>
    </row>
    <row r="1533" spans="1:2">
      <c r="A1533" s="8">
        <v>51059</v>
      </c>
      <c r="B1533" s="8" t="s">
        <v>2952</v>
      </c>
    </row>
    <row r="1534" spans="1:2">
      <c r="A1534" s="8">
        <v>51060</v>
      </c>
      <c r="B1534" s="8" t="s">
        <v>2953</v>
      </c>
    </row>
    <row r="1535" spans="1:2">
      <c r="A1535" s="8">
        <v>51061</v>
      </c>
      <c r="B1535" s="8" t="s">
        <v>2954</v>
      </c>
    </row>
    <row r="1536" spans="1:2">
      <c r="A1536" s="8">
        <v>51062</v>
      </c>
      <c r="B1536" s="8" t="s">
        <v>2955</v>
      </c>
    </row>
    <row r="1537" spans="1:2">
      <c r="A1537" s="8">
        <v>51063</v>
      </c>
      <c r="B1537" s="8" t="s">
        <v>2956</v>
      </c>
    </row>
    <row r="1538" spans="1:2">
      <c r="A1538" s="8">
        <v>51064</v>
      </c>
      <c r="B1538" s="8" t="s">
        <v>2957</v>
      </c>
    </row>
    <row r="1539" spans="1:2">
      <c r="A1539" s="8">
        <v>51201</v>
      </c>
      <c r="B1539" s="8" t="s">
        <v>2958</v>
      </c>
    </row>
    <row r="1540" spans="1:2">
      <c r="A1540" s="8">
        <v>51202</v>
      </c>
      <c r="B1540" s="8" t="s">
        <v>2959</v>
      </c>
    </row>
    <row r="1541" spans="1:2">
      <c r="A1541" s="8">
        <v>51203</v>
      </c>
      <c r="B1541" s="8" t="s">
        <v>2960</v>
      </c>
    </row>
    <row r="1542" spans="1:2">
      <c r="A1542" s="8">
        <v>51204</v>
      </c>
      <c r="B1542" s="8" t="s">
        <v>2961</v>
      </c>
    </row>
    <row r="1543" spans="1:2">
      <c r="A1543" s="8">
        <v>51205</v>
      </c>
      <c r="B1543" s="8" t="s">
        <v>2962</v>
      </c>
    </row>
    <row r="1544" spans="1:2">
      <c r="A1544" s="8">
        <v>51206</v>
      </c>
      <c r="B1544" s="8" t="s">
        <v>2963</v>
      </c>
    </row>
    <row r="1545" spans="1:2">
      <c r="A1545" s="8">
        <v>51207</v>
      </c>
      <c r="B1545" s="8" t="s">
        <v>2964</v>
      </c>
    </row>
    <row r="1546" spans="1:2">
      <c r="A1546" s="8">
        <v>51208</v>
      </c>
      <c r="B1546" s="8" t="s">
        <v>2965</v>
      </c>
    </row>
    <row r="1547" spans="1:2">
      <c r="A1547" s="8">
        <v>51209</v>
      </c>
      <c r="B1547" s="8" t="s">
        <v>2966</v>
      </c>
    </row>
    <row r="1548" spans="1:2">
      <c r="A1548" s="8">
        <v>51210</v>
      </c>
      <c r="B1548" s="8" t="s">
        <v>2967</v>
      </c>
    </row>
    <row r="1549" spans="1:2">
      <c r="A1549" s="8">
        <v>51211</v>
      </c>
      <c r="B1549" s="8" t="s">
        <v>2968</v>
      </c>
    </row>
    <row r="1550" spans="1:2">
      <c r="A1550" s="8">
        <v>51212</v>
      </c>
      <c r="B1550" s="8" t="s">
        <v>2969</v>
      </c>
    </row>
    <row r="1551" spans="1:2">
      <c r="A1551" s="8">
        <v>51213</v>
      </c>
      <c r="B1551" s="8" t="s">
        <v>2970</v>
      </c>
    </row>
    <row r="1552" spans="1:2">
      <c r="A1552" s="8">
        <v>51214</v>
      </c>
      <c r="B1552" s="8" t="s">
        <v>2971</v>
      </c>
    </row>
    <row r="1553" spans="1:2">
      <c r="A1553" s="8">
        <v>51215</v>
      </c>
      <c r="B1553" s="8" t="s">
        <v>2972</v>
      </c>
    </row>
    <row r="1554" spans="1:2">
      <c r="A1554" s="8">
        <v>51216</v>
      </c>
      <c r="B1554" s="8" t="s">
        <v>2973</v>
      </c>
    </row>
    <row r="1555" spans="1:2">
      <c r="A1555" s="8">
        <v>51217</v>
      </c>
      <c r="B1555" s="8" t="s">
        <v>2974</v>
      </c>
    </row>
    <row r="1556" spans="1:2">
      <c r="A1556" s="8">
        <v>51218</v>
      </c>
      <c r="B1556" s="8" t="s">
        <v>8818</v>
      </c>
    </row>
    <row r="1557" spans="1:2">
      <c r="A1557" s="8">
        <v>51219</v>
      </c>
      <c r="B1557" s="8" t="s">
        <v>2975</v>
      </c>
    </row>
    <row r="1558" spans="1:2">
      <c r="A1558" s="8">
        <v>51220</v>
      </c>
      <c r="B1558" s="8" t="s">
        <v>2976</v>
      </c>
    </row>
    <row r="1559" spans="1:2">
      <c r="A1559" s="8">
        <v>51221</v>
      </c>
      <c r="B1559" s="8" t="s">
        <v>2977</v>
      </c>
    </row>
    <row r="1560" spans="1:2">
      <c r="A1560" s="8">
        <v>51222</v>
      </c>
      <c r="B1560" s="8" t="s">
        <v>2978</v>
      </c>
    </row>
    <row r="1561" spans="1:2">
      <c r="A1561" s="8">
        <v>51223</v>
      </c>
      <c r="B1561" s="8" t="s">
        <v>2979</v>
      </c>
    </row>
    <row r="1562" spans="1:2">
      <c r="A1562" s="8">
        <v>51224</v>
      </c>
      <c r="B1562" s="8" t="s">
        <v>2980</v>
      </c>
    </row>
    <row r="1563" spans="1:2">
      <c r="A1563" s="8">
        <v>51225</v>
      </c>
      <c r="B1563" s="8" t="s">
        <v>2981</v>
      </c>
    </row>
    <row r="1564" spans="1:2">
      <c r="A1564" s="8">
        <v>51226</v>
      </c>
      <c r="B1564" s="8" t="s">
        <v>2982</v>
      </c>
    </row>
    <row r="1565" spans="1:2">
      <c r="A1565" s="8">
        <v>51227</v>
      </c>
      <c r="B1565" s="8" t="s">
        <v>2983</v>
      </c>
    </row>
    <row r="1566" spans="1:2">
      <c r="A1566" s="8">
        <v>51228</v>
      </c>
      <c r="B1566" s="8" t="s">
        <v>2984</v>
      </c>
    </row>
    <row r="1567" spans="1:2">
      <c r="A1567" s="8">
        <v>51229</v>
      </c>
      <c r="B1567" s="8" t="s">
        <v>2985</v>
      </c>
    </row>
    <row r="1568" spans="1:2">
      <c r="A1568" s="8">
        <v>51230</v>
      </c>
      <c r="B1568" s="8" t="s">
        <v>2986</v>
      </c>
    </row>
    <row r="1569" spans="1:2">
      <c r="A1569" s="8">
        <v>51231</v>
      </c>
      <c r="B1569" s="8" t="s">
        <v>2987</v>
      </c>
    </row>
    <row r="1570" spans="1:2">
      <c r="A1570" s="8">
        <v>51232</v>
      </c>
      <c r="B1570" s="8" t="s">
        <v>2988</v>
      </c>
    </row>
    <row r="1571" spans="1:2">
      <c r="A1571" s="8">
        <v>51233</v>
      </c>
      <c r="B1571" s="8" t="s">
        <v>2989</v>
      </c>
    </row>
    <row r="1572" spans="1:2">
      <c r="A1572" s="8">
        <v>51234</v>
      </c>
      <c r="B1572" s="8" t="s">
        <v>2990</v>
      </c>
    </row>
    <row r="1573" spans="1:2">
      <c r="A1573" s="8">
        <v>51235</v>
      </c>
      <c r="B1573" s="8" t="s">
        <v>2991</v>
      </c>
    </row>
    <row r="1574" spans="1:2">
      <c r="A1574" s="8">
        <v>51236</v>
      </c>
      <c r="B1574" s="8" t="s">
        <v>2992</v>
      </c>
    </row>
    <row r="1575" spans="1:2">
      <c r="A1575" s="8">
        <v>51237</v>
      </c>
      <c r="B1575" s="8" t="s">
        <v>2993</v>
      </c>
    </row>
    <row r="1576" spans="1:2">
      <c r="A1576" s="8">
        <v>51238</v>
      </c>
      <c r="B1576" s="8" t="s">
        <v>2994</v>
      </c>
    </row>
    <row r="1577" spans="1:2">
      <c r="A1577" s="8">
        <v>51239</v>
      </c>
      <c r="B1577" s="8" t="s">
        <v>2995</v>
      </c>
    </row>
    <row r="1578" spans="1:2">
      <c r="A1578" s="8">
        <v>51240</v>
      </c>
      <c r="B1578" s="8" t="s">
        <v>2996</v>
      </c>
    </row>
    <row r="1579" spans="1:2">
      <c r="A1579" s="8">
        <v>51241</v>
      </c>
      <c r="B1579" s="8" t="s">
        <v>2997</v>
      </c>
    </row>
    <row r="1580" spans="1:2">
      <c r="A1580" s="8">
        <v>51242</v>
      </c>
      <c r="B1580" s="8" t="s">
        <v>2998</v>
      </c>
    </row>
    <row r="1581" spans="1:2">
      <c r="A1581" s="8">
        <v>52001</v>
      </c>
      <c r="B1581" s="8" t="s">
        <v>2999</v>
      </c>
    </row>
    <row r="1582" spans="1:2">
      <c r="A1582" s="8">
        <v>52002</v>
      </c>
      <c r="B1582" s="8" t="s">
        <v>3000</v>
      </c>
    </row>
    <row r="1583" spans="1:2">
      <c r="A1583" s="8">
        <v>52003</v>
      </c>
      <c r="B1583" s="8" t="s">
        <v>3001</v>
      </c>
    </row>
    <row r="1584" spans="1:2">
      <c r="A1584" s="8">
        <v>52004</v>
      </c>
      <c r="B1584" s="8" t="s">
        <v>3002</v>
      </c>
    </row>
    <row r="1585" spans="1:2">
      <c r="A1585" s="8">
        <v>52005</v>
      </c>
      <c r="B1585" s="8" t="s">
        <v>3003</v>
      </c>
    </row>
    <row r="1586" spans="1:2">
      <c r="A1586" s="8">
        <v>52006</v>
      </c>
      <c r="B1586" s="8" t="s">
        <v>3004</v>
      </c>
    </row>
    <row r="1587" spans="1:2">
      <c r="A1587" s="8">
        <v>52007</v>
      </c>
      <c r="B1587" s="8" t="s">
        <v>3005</v>
      </c>
    </row>
    <row r="1588" spans="1:2">
      <c r="A1588" s="8">
        <v>52008</v>
      </c>
      <c r="B1588" s="8" t="s">
        <v>3006</v>
      </c>
    </row>
    <row r="1589" spans="1:2">
      <c r="A1589" s="8">
        <v>52009</v>
      </c>
      <c r="B1589" s="8" t="s">
        <v>3007</v>
      </c>
    </row>
    <row r="1590" spans="1:2">
      <c r="A1590" s="8">
        <v>52010</v>
      </c>
      <c r="B1590" s="8" t="s">
        <v>3008</v>
      </c>
    </row>
    <row r="1591" spans="1:2">
      <c r="A1591" s="8">
        <v>52011</v>
      </c>
      <c r="B1591" s="8" t="s">
        <v>3009</v>
      </c>
    </row>
    <row r="1592" spans="1:2">
      <c r="A1592" s="8">
        <v>52012</v>
      </c>
      <c r="B1592" s="8" t="s">
        <v>3010</v>
      </c>
    </row>
    <row r="1593" spans="1:2">
      <c r="A1593" s="8">
        <v>52013</v>
      </c>
      <c r="B1593" s="8" t="s">
        <v>3011</v>
      </c>
    </row>
    <row r="1594" spans="1:2">
      <c r="A1594" s="8">
        <v>52014</v>
      </c>
      <c r="B1594" s="8" t="s">
        <v>3012</v>
      </c>
    </row>
    <row r="1595" spans="1:2">
      <c r="A1595" s="8">
        <v>52015</v>
      </c>
      <c r="B1595" s="8" t="s">
        <v>3013</v>
      </c>
    </row>
    <row r="1596" spans="1:2">
      <c r="A1596" s="8">
        <v>52016</v>
      </c>
      <c r="B1596" s="8" t="s">
        <v>3014</v>
      </c>
    </row>
    <row r="1597" spans="1:2">
      <c r="A1597" s="8">
        <v>52017</v>
      </c>
      <c r="B1597" s="8" t="s">
        <v>3015</v>
      </c>
    </row>
    <row r="1598" spans="1:2">
      <c r="A1598" s="8">
        <v>52018</v>
      </c>
      <c r="B1598" s="8" t="s">
        <v>3016</v>
      </c>
    </row>
    <row r="1599" spans="1:2">
      <c r="A1599" s="8">
        <v>52019</v>
      </c>
      <c r="B1599" s="8" t="s">
        <v>3017</v>
      </c>
    </row>
    <row r="1600" spans="1:2">
      <c r="A1600" s="8">
        <v>52020</v>
      </c>
      <c r="B1600" s="8" t="s">
        <v>3018</v>
      </c>
    </row>
    <row r="1601" spans="1:2">
      <c r="A1601" s="8">
        <v>52021</v>
      </c>
      <c r="B1601" s="8" t="s">
        <v>3019</v>
      </c>
    </row>
    <row r="1602" spans="1:2">
      <c r="A1602" s="8">
        <v>52022</v>
      </c>
      <c r="B1602" s="8" t="s">
        <v>3020</v>
      </c>
    </row>
    <row r="1603" spans="1:2">
      <c r="A1603" s="8">
        <v>52023</v>
      </c>
      <c r="B1603" s="8" t="s">
        <v>3021</v>
      </c>
    </row>
    <row r="1604" spans="1:2">
      <c r="A1604" s="8">
        <v>52024</v>
      </c>
      <c r="B1604" s="8" t="s">
        <v>3022</v>
      </c>
    </row>
    <row r="1605" spans="1:2">
      <c r="A1605" s="8">
        <v>52025</v>
      </c>
      <c r="B1605" s="8" t="s">
        <v>3023</v>
      </c>
    </row>
    <row r="1606" spans="1:2">
      <c r="A1606" s="8">
        <v>52026</v>
      </c>
      <c r="B1606" s="8" t="s">
        <v>3024</v>
      </c>
    </row>
    <row r="1607" spans="1:2">
      <c r="A1607" s="8">
        <v>52027</v>
      </c>
      <c r="B1607" s="8" t="s">
        <v>3025</v>
      </c>
    </row>
    <row r="1608" spans="1:2">
      <c r="A1608" s="8">
        <v>52028</v>
      </c>
      <c r="B1608" s="8" t="s">
        <v>3026</v>
      </c>
    </row>
    <row r="1609" spans="1:2">
      <c r="A1609" s="8">
        <v>52029</v>
      </c>
      <c r="B1609" s="8" t="s">
        <v>3027</v>
      </c>
    </row>
    <row r="1610" spans="1:2">
      <c r="A1610" s="8">
        <v>52030</v>
      </c>
      <c r="B1610" s="8" t="s">
        <v>3028</v>
      </c>
    </row>
    <row r="1611" spans="1:2">
      <c r="A1611" s="8">
        <v>52031</v>
      </c>
      <c r="B1611" s="8" t="s">
        <v>3029</v>
      </c>
    </row>
    <row r="1612" spans="1:2">
      <c r="A1612" s="8">
        <v>52032</v>
      </c>
      <c r="B1612" s="8" t="s">
        <v>3030</v>
      </c>
    </row>
    <row r="1613" spans="1:2">
      <c r="A1613" s="8">
        <v>52033</v>
      </c>
      <c r="B1613" s="8" t="s">
        <v>3031</v>
      </c>
    </row>
    <row r="1614" spans="1:2">
      <c r="A1614" s="8">
        <v>52034</v>
      </c>
      <c r="B1614" s="8" t="s">
        <v>3032</v>
      </c>
    </row>
    <row r="1615" spans="1:2">
      <c r="A1615" s="8">
        <v>52035</v>
      </c>
      <c r="B1615" s="8" t="s">
        <v>3033</v>
      </c>
    </row>
    <row r="1616" spans="1:2">
      <c r="A1616" s="8">
        <v>52036</v>
      </c>
      <c r="B1616" s="8" t="s">
        <v>3034</v>
      </c>
    </row>
    <row r="1617" spans="1:2">
      <c r="A1617" s="8">
        <v>52037</v>
      </c>
      <c r="B1617" s="8" t="s">
        <v>3035</v>
      </c>
    </row>
    <row r="1618" spans="1:2">
      <c r="A1618" s="8">
        <v>52038</v>
      </c>
      <c r="B1618" s="8" t="s">
        <v>3036</v>
      </c>
    </row>
    <row r="1619" spans="1:2">
      <c r="A1619" s="8">
        <v>52039</v>
      </c>
      <c r="B1619" s="8" t="s">
        <v>3037</v>
      </c>
    </row>
    <row r="1620" spans="1:2">
      <c r="A1620" s="8">
        <v>52040</v>
      </c>
      <c r="B1620" s="8" t="s">
        <v>3038</v>
      </c>
    </row>
    <row r="1621" spans="1:2">
      <c r="A1621" s="8">
        <v>52041</v>
      </c>
      <c r="B1621" s="8" t="s">
        <v>3039</v>
      </c>
    </row>
    <row r="1622" spans="1:2">
      <c r="A1622" s="8">
        <v>52042</v>
      </c>
      <c r="B1622" s="8" t="s">
        <v>3040</v>
      </c>
    </row>
    <row r="1623" spans="1:2">
      <c r="A1623" s="8">
        <v>52043</v>
      </c>
      <c r="B1623" s="8" t="s">
        <v>3041</v>
      </c>
    </row>
    <row r="1624" spans="1:2">
      <c r="A1624" s="8">
        <v>52044</v>
      </c>
      <c r="B1624" s="8" t="s">
        <v>3042</v>
      </c>
    </row>
    <row r="1625" spans="1:2">
      <c r="A1625" s="8">
        <v>52045</v>
      </c>
      <c r="B1625" s="8" t="s">
        <v>3043</v>
      </c>
    </row>
    <row r="1626" spans="1:2">
      <c r="A1626" s="8">
        <v>52046</v>
      </c>
      <c r="B1626" s="8" t="s">
        <v>3044</v>
      </c>
    </row>
    <row r="1627" spans="1:2">
      <c r="A1627" s="8">
        <v>52047</v>
      </c>
      <c r="B1627" s="8" t="s">
        <v>3045</v>
      </c>
    </row>
    <row r="1628" spans="1:2">
      <c r="A1628" s="8">
        <v>52048</v>
      </c>
      <c r="B1628" s="8" t="s">
        <v>3046</v>
      </c>
    </row>
    <row r="1629" spans="1:2">
      <c r="A1629" s="8">
        <v>52049</v>
      </c>
      <c r="B1629" s="8" t="s">
        <v>3047</v>
      </c>
    </row>
    <row r="1630" spans="1:2">
      <c r="A1630" s="8">
        <v>52050</v>
      </c>
      <c r="B1630" s="8" t="s">
        <v>3048</v>
      </c>
    </row>
    <row r="1631" spans="1:2">
      <c r="A1631" s="8">
        <v>52051</v>
      </c>
      <c r="B1631" s="8" t="s">
        <v>3049</v>
      </c>
    </row>
    <row r="1632" spans="1:2">
      <c r="A1632" s="8">
        <v>52052</v>
      </c>
      <c r="B1632" s="8" t="s">
        <v>3050</v>
      </c>
    </row>
    <row r="1633" spans="1:2">
      <c r="A1633" s="8">
        <v>52053</v>
      </c>
      <c r="B1633" s="8" t="s">
        <v>3051</v>
      </c>
    </row>
    <row r="1634" spans="1:2">
      <c r="A1634" s="8">
        <v>52054</v>
      </c>
      <c r="B1634" s="8" t="s">
        <v>3052</v>
      </c>
    </row>
    <row r="1635" spans="1:2">
      <c r="A1635" s="8">
        <v>52055</v>
      </c>
      <c r="B1635" s="8" t="s">
        <v>3053</v>
      </c>
    </row>
    <row r="1636" spans="1:2">
      <c r="A1636" s="8">
        <v>52056</v>
      </c>
      <c r="B1636" s="8" t="s">
        <v>3054</v>
      </c>
    </row>
    <row r="1637" spans="1:2">
      <c r="A1637" s="8">
        <v>52057</v>
      </c>
      <c r="B1637" s="8" t="s">
        <v>3055</v>
      </c>
    </row>
    <row r="1638" spans="1:2">
      <c r="A1638" s="8">
        <v>52058</v>
      </c>
      <c r="B1638" s="8" t="s">
        <v>3056</v>
      </c>
    </row>
    <row r="1639" spans="1:2">
      <c r="A1639" s="8">
        <v>52059</v>
      </c>
      <c r="B1639" s="8" t="s">
        <v>3057</v>
      </c>
    </row>
    <row r="1640" spans="1:2">
      <c r="A1640" s="8">
        <v>52060</v>
      </c>
      <c r="B1640" s="8" t="s">
        <v>3058</v>
      </c>
    </row>
    <row r="1641" spans="1:2">
      <c r="A1641" s="8">
        <v>52061</v>
      </c>
      <c r="B1641" s="8" t="s">
        <v>3059</v>
      </c>
    </row>
    <row r="1642" spans="1:2">
      <c r="A1642" s="8">
        <v>52062</v>
      </c>
      <c r="B1642" s="8" t="s">
        <v>3060</v>
      </c>
    </row>
    <row r="1643" spans="1:2">
      <c r="A1643" s="8">
        <v>52063</v>
      </c>
      <c r="B1643" s="8" t="s">
        <v>3061</v>
      </c>
    </row>
    <row r="1644" spans="1:2">
      <c r="A1644" s="8">
        <v>52064</v>
      </c>
      <c r="B1644" s="8" t="s">
        <v>3062</v>
      </c>
    </row>
    <row r="1645" spans="1:2">
      <c r="A1645" s="8">
        <v>52201</v>
      </c>
      <c r="B1645" s="8" t="s">
        <v>3063</v>
      </c>
    </row>
    <row r="1646" spans="1:2">
      <c r="A1646" s="8">
        <v>52202</v>
      </c>
      <c r="B1646" s="8" t="s">
        <v>3064</v>
      </c>
    </row>
    <row r="1647" spans="1:2">
      <c r="A1647" s="8">
        <v>52203</v>
      </c>
      <c r="B1647" s="8" t="s">
        <v>3065</v>
      </c>
    </row>
    <row r="1648" spans="1:2">
      <c r="A1648" s="8">
        <v>52204</v>
      </c>
      <c r="B1648" s="8" t="s">
        <v>3066</v>
      </c>
    </row>
    <row r="1649" spans="1:2">
      <c r="A1649" s="8">
        <v>52205</v>
      </c>
      <c r="B1649" s="8" t="s">
        <v>3067</v>
      </c>
    </row>
    <row r="1650" spans="1:2">
      <c r="A1650" s="8">
        <v>52206</v>
      </c>
      <c r="B1650" s="8" t="s">
        <v>3068</v>
      </c>
    </row>
    <row r="1651" spans="1:2">
      <c r="A1651" s="8">
        <v>52207</v>
      </c>
      <c r="B1651" s="8" t="s">
        <v>3069</v>
      </c>
    </row>
    <row r="1652" spans="1:2">
      <c r="A1652" s="8">
        <v>52208</v>
      </c>
      <c r="B1652" s="8" t="s">
        <v>3070</v>
      </c>
    </row>
    <row r="1653" spans="1:2">
      <c r="A1653" s="8">
        <v>52209</v>
      </c>
      <c r="B1653" s="8" t="s">
        <v>3071</v>
      </c>
    </row>
    <row r="1654" spans="1:2">
      <c r="A1654" s="8">
        <v>52210</v>
      </c>
      <c r="B1654" s="8" t="s">
        <v>3072</v>
      </c>
    </row>
    <row r="1655" spans="1:2">
      <c r="A1655" s="8">
        <v>52211</v>
      </c>
      <c r="B1655" s="8" t="s">
        <v>3073</v>
      </c>
    </row>
    <row r="1656" spans="1:2">
      <c r="A1656" s="8">
        <v>52212</v>
      </c>
      <c r="B1656" s="8" t="s">
        <v>3074</v>
      </c>
    </row>
    <row r="1657" spans="1:2">
      <c r="A1657" s="8">
        <v>52213</v>
      </c>
      <c r="B1657" s="8" t="s">
        <v>3075</v>
      </c>
    </row>
    <row r="1658" spans="1:2">
      <c r="A1658" s="8">
        <v>52214</v>
      </c>
      <c r="B1658" s="8" t="s">
        <v>3076</v>
      </c>
    </row>
    <row r="1659" spans="1:2">
      <c r="A1659" s="8">
        <v>52215</v>
      </c>
      <c r="B1659" s="8" t="s">
        <v>3077</v>
      </c>
    </row>
    <row r="1660" spans="1:2">
      <c r="A1660" s="8">
        <v>52216</v>
      </c>
      <c r="B1660" s="8" t="s">
        <v>3078</v>
      </c>
    </row>
    <row r="1661" spans="1:2">
      <c r="A1661" s="8">
        <v>52217</v>
      </c>
      <c r="B1661" s="8" t="s">
        <v>3079</v>
      </c>
    </row>
    <row r="1662" spans="1:2">
      <c r="A1662" s="8">
        <v>52218</v>
      </c>
      <c r="B1662" s="8" t="s">
        <v>8819</v>
      </c>
    </row>
    <row r="1663" spans="1:2">
      <c r="A1663" s="8">
        <v>52219</v>
      </c>
      <c r="B1663" s="8" t="s">
        <v>3080</v>
      </c>
    </row>
    <row r="1664" spans="1:2">
      <c r="A1664" s="8">
        <v>52220</v>
      </c>
      <c r="B1664" s="8" t="s">
        <v>3081</v>
      </c>
    </row>
    <row r="1665" spans="1:2">
      <c r="A1665" s="8">
        <v>52221</v>
      </c>
      <c r="B1665" s="8" t="s">
        <v>3082</v>
      </c>
    </row>
    <row r="1666" spans="1:2">
      <c r="A1666" s="8">
        <v>52222</v>
      </c>
      <c r="B1666" s="8" t="s">
        <v>3083</v>
      </c>
    </row>
    <row r="1667" spans="1:2">
      <c r="A1667" s="8">
        <v>52223</v>
      </c>
      <c r="B1667" s="8" t="s">
        <v>3084</v>
      </c>
    </row>
    <row r="1668" spans="1:2">
      <c r="A1668" s="8">
        <v>52224</v>
      </c>
      <c r="B1668" s="8" t="s">
        <v>3085</v>
      </c>
    </row>
    <row r="1669" spans="1:2">
      <c r="A1669" s="8">
        <v>52225</v>
      </c>
      <c r="B1669" s="8" t="s">
        <v>3086</v>
      </c>
    </row>
    <row r="1670" spans="1:2">
      <c r="A1670" s="8">
        <v>52226</v>
      </c>
      <c r="B1670" s="8" t="s">
        <v>3087</v>
      </c>
    </row>
    <row r="1671" spans="1:2">
      <c r="A1671" s="8">
        <v>52227</v>
      </c>
      <c r="B1671" s="8" t="s">
        <v>3088</v>
      </c>
    </row>
    <row r="1672" spans="1:2">
      <c r="A1672" s="8">
        <v>52228</v>
      </c>
      <c r="B1672" s="8" t="s">
        <v>3089</v>
      </c>
    </row>
    <row r="1673" spans="1:2">
      <c r="A1673" s="8">
        <v>52229</v>
      </c>
      <c r="B1673" s="8" t="s">
        <v>3090</v>
      </c>
    </row>
    <row r="1674" spans="1:2">
      <c r="A1674" s="8">
        <v>52230</v>
      </c>
      <c r="B1674" s="8" t="s">
        <v>3091</v>
      </c>
    </row>
    <row r="1675" spans="1:2">
      <c r="A1675" s="8">
        <v>52231</v>
      </c>
      <c r="B1675" s="8" t="s">
        <v>3092</v>
      </c>
    </row>
    <row r="1676" spans="1:2">
      <c r="A1676" s="8">
        <v>52232</v>
      </c>
      <c r="B1676" s="8" t="s">
        <v>3093</v>
      </c>
    </row>
    <row r="1677" spans="1:2">
      <c r="A1677" s="8">
        <v>52233</v>
      </c>
      <c r="B1677" s="8" t="s">
        <v>3094</v>
      </c>
    </row>
    <row r="1678" spans="1:2">
      <c r="A1678" s="8">
        <v>52234</v>
      </c>
      <c r="B1678" s="8" t="s">
        <v>3095</v>
      </c>
    </row>
    <row r="1679" spans="1:2">
      <c r="A1679" s="8">
        <v>52235</v>
      </c>
      <c r="B1679" s="8" t="s">
        <v>3096</v>
      </c>
    </row>
    <row r="1680" spans="1:2">
      <c r="A1680" s="8">
        <v>52236</v>
      </c>
      <c r="B1680" s="8" t="s">
        <v>3097</v>
      </c>
    </row>
    <row r="1681" spans="1:2">
      <c r="A1681" s="8">
        <v>52237</v>
      </c>
      <c r="B1681" s="8" t="s">
        <v>3098</v>
      </c>
    </row>
    <row r="1682" spans="1:2">
      <c r="A1682" s="8">
        <v>52238</v>
      </c>
      <c r="B1682" s="8" t="s">
        <v>3099</v>
      </c>
    </row>
    <row r="1683" spans="1:2">
      <c r="A1683" s="8">
        <v>52239</v>
      </c>
      <c r="B1683" s="8" t="s">
        <v>3100</v>
      </c>
    </row>
    <row r="1684" spans="1:2">
      <c r="A1684" s="8">
        <v>52240</v>
      </c>
      <c r="B1684" s="8" t="s">
        <v>3101</v>
      </c>
    </row>
    <row r="1685" spans="1:2">
      <c r="A1685" s="8">
        <v>52241</v>
      </c>
      <c r="B1685" s="8" t="s">
        <v>3102</v>
      </c>
    </row>
    <row r="1686" spans="1:2">
      <c r="A1686" s="8">
        <v>52242</v>
      </c>
      <c r="B1686" s="8" t="s">
        <v>3103</v>
      </c>
    </row>
    <row r="1687" spans="1:2">
      <c r="A1687" s="8">
        <v>53001</v>
      </c>
      <c r="B1687" s="8" t="s">
        <v>3104</v>
      </c>
    </row>
    <row r="1688" spans="1:2">
      <c r="A1688" s="8">
        <v>53002</v>
      </c>
      <c r="B1688" s="8" t="s">
        <v>3105</v>
      </c>
    </row>
    <row r="1689" spans="1:2">
      <c r="A1689" s="8">
        <v>53003</v>
      </c>
      <c r="B1689" s="8" t="s">
        <v>3106</v>
      </c>
    </row>
    <row r="1690" spans="1:2">
      <c r="A1690" s="8">
        <v>53004</v>
      </c>
      <c r="B1690" s="8" t="s">
        <v>3107</v>
      </c>
    </row>
    <row r="1691" spans="1:2">
      <c r="A1691" s="8">
        <v>53005</v>
      </c>
      <c r="B1691" s="8" t="s">
        <v>3108</v>
      </c>
    </row>
    <row r="1692" spans="1:2">
      <c r="A1692" s="8">
        <v>53006</v>
      </c>
      <c r="B1692" s="8" t="s">
        <v>3109</v>
      </c>
    </row>
    <row r="1693" spans="1:2">
      <c r="A1693" s="8">
        <v>53007</v>
      </c>
      <c r="B1693" s="8" t="s">
        <v>3110</v>
      </c>
    </row>
    <row r="1694" spans="1:2">
      <c r="A1694" s="8">
        <v>53008</v>
      </c>
      <c r="B1694" s="8" t="s">
        <v>3111</v>
      </c>
    </row>
    <row r="1695" spans="1:2">
      <c r="A1695" s="8">
        <v>53009</v>
      </c>
      <c r="B1695" s="8" t="s">
        <v>3112</v>
      </c>
    </row>
    <row r="1696" spans="1:2">
      <c r="A1696" s="8">
        <v>53010</v>
      </c>
      <c r="B1696" s="8" t="s">
        <v>3113</v>
      </c>
    </row>
    <row r="1697" spans="1:2">
      <c r="A1697" s="8">
        <v>53011</v>
      </c>
      <c r="B1697" s="8" t="s">
        <v>3114</v>
      </c>
    </row>
    <row r="1698" spans="1:2">
      <c r="A1698" s="8">
        <v>53012</v>
      </c>
      <c r="B1698" s="8" t="s">
        <v>3115</v>
      </c>
    </row>
    <row r="1699" spans="1:2">
      <c r="A1699" s="8">
        <v>53013</v>
      </c>
      <c r="B1699" s="8" t="s">
        <v>3116</v>
      </c>
    </row>
    <row r="1700" spans="1:2">
      <c r="A1700" s="8">
        <v>53014</v>
      </c>
      <c r="B1700" s="8" t="s">
        <v>3117</v>
      </c>
    </row>
    <row r="1701" spans="1:2">
      <c r="A1701" s="8">
        <v>53015</v>
      </c>
      <c r="B1701" s="8" t="s">
        <v>3118</v>
      </c>
    </row>
    <row r="1702" spans="1:2">
      <c r="A1702" s="8">
        <v>53016</v>
      </c>
      <c r="B1702" s="8" t="s">
        <v>3119</v>
      </c>
    </row>
    <row r="1703" spans="1:2">
      <c r="A1703" s="8">
        <v>53017</v>
      </c>
      <c r="B1703" s="8" t="s">
        <v>3120</v>
      </c>
    </row>
    <row r="1704" spans="1:2">
      <c r="A1704" s="8">
        <v>53018</v>
      </c>
      <c r="B1704" s="8" t="s">
        <v>3121</v>
      </c>
    </row>
    <row r="1705" spans="1:2">
      <c r="A1705" s="8">
        <v>53019</v>
      </c>
      <c r="B1705" s="8" t="s">
        <v>3122</v>
      </c>
    </row>
    <row r="1706" spans="1:2">
      <c r="A1706" s="8">
        <v>53020</v>
      </c>
      <c r="B1706" s="8" t="s">
        <v>3123</v>
      </c>
    </row>
    <row r="1707" spans="1:2">
      <c r="A1707" s="8">
        <v>53021</v>
      </c>
      <c r="B1707" s="8" t="s">
        <v>3124</v>
      </c>
    </row>
    <row r="1708" spans="1:2">
      <c r="A1708" s="8">
        <v>53022</v>
      </c>
      <c r="B1708" s="8" t="s">
        <v>3125</v>
      </c>
    </row>
    <row r="1709" spans="1:2">
      <c r="A1709" s="8">
        <v>53023</v>
      </c>
      <c r="B1709" s="8" t="s">
        <v>3126</v>
      </c>
    </row>
    <row r="1710" spans="1:2">
      <c r="A1710" s="8">
        <v>53024</v>
      </c>
      <c r="B1710" s="8" t="s">
        <v>3127</v>
      </c>
    </row>
    <row r="1711" spans="1:2">
      <c r="A1711" s="8">
        <v>53025</v>
      </c>
      <c r="B1711" s="8" t="s">
        <v>3128</v>
      </c>
    </row>
    <row r="1712" spans="1:2">
      <c r="A1712" s="8">
        <v>53026</v>
      </c>
      <c r="B1712" s="8" t="s">
        <v>3129</v>
      </c>
    </row>
    <row r="1713" spans="1:2">
      <c r="A1713" s="8">
        <v>53027</v>
      </c>
      <c r="B1713" s="8" t="s">
        <v>3130</v>
      </c>
    </row>
    <row r="1714" spans="1:2">
      <c r="A1714" s="8">
        <v>53028</v>
      </c>
      <c r="B1714" s="8" t="s">
        <v>3131</v>
      </c>
    </row>
    <row r="1715" spans="1:2">
      <c r="A1715" s="8">
        <v>53029</v>
      </c>
      <c r="B1715" s="8" t="s">
        <v>3132</v>
      </c>
    </row>
    <row r="1716" spans="1:2">
      <c r="A1716" s="8">
        <v>53030</v>
      </c>
      <c r="B1716" s="8" t="s">
        <v>3133</v>
      </c>
    </row>
    <row r="1717" spans="1:2">
      <c r="A1717" s="8">
        <v>53031</v>
      </c>
      <c r="B1717" s="8" t="s">
        <v>3134</v>
      </c>
    </row>
    <row r="1718" spans="1:2">
      <c r="A1718" s="8">
        <v>53032</v>
      </c>
      <c r="B1718" s="8" t="s">
        <v>3135</v>
      </c>
    </row>
    <row r="1719" spans="1:2">
      <c r="A1719" s="8">
        <v>53033</v>
      </c>
      <c r="B1719" s="8" t="s">
        <v>3136</v>
      </c>
    </row>
    <row r="1720" spans="1:2">
      <c r="A1720" s="8">
        <v>53034</v>
      </c>
      <c r="B1720" s="8" t="s">
        <v>3137</v>
      </c>
    </row>
    <row r="1721" spans="1:2">
      <c r="A1721" s="8">
        <v>53035</v>
      </c>
      <c r="B1721" s="8" t="s">
        <v>3138</v>
      </c>
    </row>
    <row r="1722" spans="1:2">
      <c r="A1722" s="8">
        <v>53036</v>
      </c>
      <c r="B1722" s="8" t="s">
        <v>3139</v>
      </c>
    </row>
    <row r="1723" spans="1:2">
      <c r="A1723" s="8">
        <v>53037</v>
      </c>
      <c r="B1723" s="8" t="s">
        <v>3140</v>
      </c>
    </row>
    <row r="1724" spans="1:2">
      <c r="A1724" s="8">
        <v>53038</v>
      </c>
      <c r="B1724" s="8" t="s">
        <v>3141</v>
      </c>
    </row>
    <row r="1725" spans="1:2">
      <c r="A1725" s="8">
        <v>53039</v>
      </c>
      <c r="B1725" s="8" t="s">
        <v>3142</v>
      </c>
    </row>
    <row r="1726" spans="1:2">
      <c r="A1726" s="8">
        <v>53040</v>
      </c>
      <c r="B1726" s="8" t="s">
        <v>3143</v>
      </c>
    </row>
    <row r="1727" spans="1:2">
      <c r="A1727" s="8">
        <v>53041</v>
      </c>
      <c r="B1727" s="8" t="s">
        <v>3144</v>
      </c>
    </row>
    <row r="1728" spans="1:2">
      <c r="A1728" s="8">
        <v>53042</v>
      </c>
      <c r="B1728" s="8" t="s">
        <v>3145</v>
      </c>
    </row>
    <row r="1729" spans="1:2">
      <c r="A1729" s="8">
        <v>53043</v>
      </c>
      <c r="B1729" s="8" t="s">
        <v>3146</v>
      </c>
    </row>
    <row r="1730" spans="1:2">
      <c r="A1730" s="8">
        <v>53044</v>
      </c>
      <c r="B1730" s="8" t="s">
        <v>3147</v>
      </c>
    </row>
    <row r="1731" spans="1:2">
      <c r="A1731" s="8">
        <v>53045</v>
      </c>
      <c r="B1731" s="8" t="s">
        <v>3148</v>
      </c>
    </row>
    <row r="1732" spans="1:2">
      <c r="A1732" s="8">
        <v>53046</v>
      </c>
      <c r="B1732" s="8" t="s">
        <v>3149</v>
      </c>
    </row>
    <row r="1733" spans="1:2">
      <c r="A1733" s="8">
        <v>53047</v>
      </c>
      <c r="B1733" s="8" t="s">
        <v>3150</v>
      </c>
    </row>
    <row r="1734" spans="1:2">
      <c r="A1734" s="8">
        <v>53048</v>
      </c>
      <c r="B1734" s="8" t="s">
        <v>3151</v>
      </c>
    </row>
    <row r="1735" spans="1:2">
      <c r="A1735" s="8">
        <v>53049</v>
      </c>
      <c r="B1735" s="8" t="s">
        <v>3152</v>
      </c>
    </row>
    <row r="1736" spans="1:2">
      <c r="A1736" s="8">
        <v>53050</v>
      </c>
      <c r="B1736" s="8" t="s">
        <v>3153</v>
      </c>
    </row>
    <row r="1737" spans="1:2">
      <c r="A1737" s="8">
        <v>53051</v>
      </c>
      <c r="B1737" s="8" t="s">
        <v>3154</v>
      </c>
    </row>
    <row r="1738" spans="1:2">
      <c r="A1738" s="8">
        <v>53052</v>
      </c>
      <c r="B1738" s="8" t="s">
        <v>3155</v>
      </c>
    </row>
    <row r="1739" spans="1:2">
      <c r="A1739" s="8">
        <v>53053</v>
      </c>
      <c r="B1739" s="8" t="s">
        <v>3156</v>
      </c>
    </row>
    <row r="1740" spans="1:2">
      <c r="A1740" s="8">
        <v>53054</v>
      </c>
      <c r="B1740" s="8" t="s">
        <v>3157</v>
      </c>
    </row>
    <row r="1741" spans="1:2">
      <c r="A1741" s="8">
        <v>53055</v>
      </c>
      <c r="B1741" s="8" t="s">
        <v>3158</v>
      </c>
    </row>
    <row r="1742" spans="1:2">
      <c r="A1742" s="8">
        <v>53056</v>
      </c>
      <c r="B1742" s="8" t="s">
        <v>3159</v>
      </c>
    </row>
    <row r="1743" spans="1:2">
      <c r="A1743" s="8">
        <v>53057</v>
      </c>
      <c r="B1743" s="8" t="s">
        <v>3160</v>
      </c>
    </row>
    <row r="1744" spans="1:2">
      <c r="A1744" s="8">
        <v>53058</v>
      </c>
      <c r="B1744" s="8" t="s">
        <v>3161</v>
      </c>
    </row>
    <row r="1745" spans="1:2">
      <c r="A1745" s="8">
        <v>53059</v>
      </c>
      <c r="B1745" s="8" t="s">
        <v>3162</v>
      </c>
    </row>
    <row r="1746" spans="1:2">
      <c r="A1746" s="8">
        <v>53060</v>
      </c>
      <c r="B1746" s="8" t="s">
        <v>3163</v>
      </c>
    </row>
    <row r="1747" spans="1:2">
      <c r="A1747" s="8">
        <v>53061</v>
      </c>
      <c r="B1747" s="8" t="s">
        <v>3164</v>
      </c>
    </row>
    <row r="1748" spans="1:2">
      <c r="A1748" s="8">
        <v>53062</v>
      </c>
      <c r="B1748" s="8" t="s">
        <v>3165</v>
      </c>
    </row>
    <row r="1749" spans="1:2">
      <c r="A1749" s="8">
        <v>53063</v>
      </c>
      <c r="B1749" s="8" t="s">
        <v>3166</v>
      </c>
    </row>
    <row r="1750" spans="1:2">
      <c r="A1750" s="8">
        <v>53064</v>
      </c>
      <c r="B1750" s="8" t="s">
        <v>3167</v>
      </c>
    </row>
    <row r="1751" spans="1:2">
      <c r="A1751" s="8">
        <v>53201</v>
      </c>
      <c r="B1751" s="8" t="s">
        <v>3168</v>
      </c>
    </row>
    <row r="1752" spans="1:2">
      <c r="A1752" s="8">
        <v>53202</v>
      </c>
      <c r="B1752" s="8" t="s">
        <v>3169</v>
      </c>
    </row>
    <row r="1753" spans="1:2">
      <c r="A1753" s="8">
        <v>53203</v>
      </c>
      <c r="B1753" s="8" t="s">
        <v>3170</v>
      </c>
    </row>
    <row r="1754" spans="1:2">
      <c r="A1754" s="8">
        <v>53204</v>
      </c>
      <c r="B1754" s="8" t="s">
        <v>3171</v>
      </c>
    </row>
    <row r="1755" spans="1:2">
      <c r="A1755" s="8">
        <v>53205</v>
      </c>
      <c r="B1755" s="8" t="s">
        <v>3172</v>
      </c>
    </row>
    <row r="1756" spans="1:2">
      <c r="A1756" s="8">
        <v>53206</v>
      </c>
      <c r="B1756" s="8" t="s">
        <v>3173</v>
      </c>
    </row>
    <row r="1757" spans="1:2">
      <c r="A1757" s="8">
        <v>53207</v>
      </c>
      <c r="B1757" s="8" t="s">
        <v>3174</v>
      </c>
    </row>
    <row r="1758" spans="1:2">
      <c r="A1758" s="8">
        <v>53208</v>
      </c>
      <c r="B1758" s="8" t="s">
        <v>3175</v>
      </c>
    </row>
    <row r="1759" spans="1:2">
      <c r="A1759" s="8">
        <v>53209</v>
      </c>
      <c r="B1759" s="8" t="s">
        <v>3176</v>
      </c>
    </row>
    <row r="1760" spans="1:2">
      <c r="A1760" s="8">
        <v>53210</v>
      </c>
      <c r="B1760" s="8" t="s">
        <v>3177</v>
      </c>
    </row>
    <row r="1761" spans="1:2">
      <c r="A1761" s="8">
        <v>53211</v>
      </c>
      <c r="B1761" s="8" t="s">
        <v>3178</v>
      </c>
    </row>
    <row r="1762" spans="1:2">
      <c r="A1762" s="8">
        <v>53212</v>
      </c>
      <c r="B1762" s="8" t="s">
        <v>3179</v>
      </c>
    </row>
    <row r="1763" spans="1:2">
      <c r="A1763" s="8">
        <v>53213</v>
      </c>
      <c r="B1763" s="8" t="s">
        <v>3180</v>
      </c>
    </row>
    <row r="1764" spans="1:2">
      <c r="A1764" s="8">
        <v>53214</v>
      </c>
      <c r="B1764" s="8" t="s">
        <v>3181</v>
      </c>
    </row>
    <row r="1765" spans="1:2">
      <c r="A1765" s="8">
        <v>53215</v>
      </c>
      <c r="B1765" s="8" t="s">
        <v>3182</v>
      </c>
    </row>
    <row r="1766" spans="1:2">
      <c r="A1766" s="8">
        <v>53216</v>
      </c>
      <c r="B1766" s="8" t="s">
        <v>3183</v>
      </c>
    </row>
    <row r="1767" spans="1:2">
      <c r="A1767" s="8">
        <v>53217</v>
      </c>
      <c r="B1767" s="8" t="s">
        <v>3184</v>
      </c>
    </row>
    <row r="1768" spans="1:2">
      <c r="A1768" s="8">
        <v>53218</v>
      </c>
      <c r="B1768" s="8" t="s">
        <v>8820</v>
      </c>
    </row>
    <row r="1769" spans="1:2">
      <c r="A1769" s="8">
        <v>53219</v>
      </c>
      <c r="B1769" s="8" t="s">
        <v>3185</v>
      </c>
    </row>
    <row r="1770" spans="1:2">
      <c r="A1770" s="8">
        <v>53220</v>
      </c>
      <c r="B1770" s="8" t="s">
        <v>3186</v>
      </c>
    </row>
    <row r="1771" spans="1:2">
      <c r="A1771" s="8">
        <v>53221</v>
      </c>
      <c r="B1771" s="8" t="s">
        <v>3187</v>
      </c>
    </row>
    <row r="1772" spans="1:2">
      <c r="A1772" s="8">
        <v>53222</v>
      </c>
      <c r="B1772" s="8" t="s">
        <v>3188</v>
      </c>
    </row>
    <row r="1773" spans="1:2">
      <c r="A1773" s="8">
        <v>53223</v>
      </c>
      <c r="B1773" s="8" t="s">
        <v>3189</v>
      </c>
    </row>
    <row r="1774" spans="1:2">
      <c r="A1774" s="8">
        <v>53224</v>
      </c>
      <c r="B1774" s="8" t="s">
        <v>3190</v>
      </c>
    </row>
    <row r="1775" spans="1:2">
      <c r="A1775" s="8">
        <v>53225</v>
      </c>
      <c r="B1775" s="8" t="s">
        <v>3191</v>
      </c>
    </row>
    <row r="1776" spans="1:2">
      <c r="A1776" s="8">
        <v>53226</v>
      </c>
      <c r="B1776" s="8" t="s">
        <v>3192</v>
      </c>
    </row>
    <row r="1777" spans="1:2">
      <c r="A1777" s="8">
        <v>53227</v>
      </c>
      <c r="B1777" s="8" t="s">
        <v>3193</v>
      </c>
    </row>
    <row r="1778" spans="1:2">
      <c r="A1778" s="8">
        <v>53228</v>
      </c>
      <c r="B1778" s="8" t="s">
        <v>3194</v>
      </c>
    </row>
    <row r="1779" spans="1:2">
      <c r="A1779" s="8">
        <v>53229</v>
      </c>
      <c r="B1779" s="8" t="s">
        <v>3195</v>
      </c>
    </row>
    <row r="1780" spans="1:2">
      <c r="A1780" s="8">
        <v>53230</v>
      </c>
      <c r="B1780" s="8" t="s">
        <v>3196</v>
      </c>
    </row>
    <row r="1781" spans="1:2">
      <c r="A1781" s="8">
        <v>53231</v>
      </c>
      <c r="B1781" s="8" t="s">
        <v>3197</v>
      </c>
    </row>
    <row r="1782" spans="1:2">
      <c r="A1782" s="8">
        <v>53232</v>
      </c>
      <c r="B1782" s="8" t="s">
        <v>3198</v>
      </c>
    </row>
    <row r="1783" spans="1:2">
      <c r="A1783" s="8">
        <v>53233</v>
      </c>
      <c r="B1783" s="8" t="s">
        <v>3199</v>
      </c>
    </row>
    <row r="1784" spans="1:2">
      <c r="A1784" s="8">
        <v>53234</v>
      </c>
      <c r="B1784" s="8" t="s">
        <v>3200</v>
      </c>
    </row>
    <row r="1785" spans="1:2">
      <c r="A1785" s="8">
        <v>53235</v>
      </c>
      <c r="B1785" s="8" t="s">
        <v>3201</v>
      </c>
    </row>
    <row r="1786" spans="1:2">
      <c r="A1786" s="8">
        <v>53236</v>
      </c>
      <c r="B1786" s="8" t="s">
        <v>3202</v>
      </c>
    </row>
    <row r="1787" spans="1:2">
      <c r="A1787" s="8">
        <v>53237</v>
      </c>
      <c r="B1787" s="8" t="s">
        <v>3203</v>
      </c>
    </row>
    <row r="1788" spans="1:2">
      <c r="A1788" s="8">
        <v>53238</v>
      </c>
      <c r="B1788" s="8" t="s">
        <v>3204</v>
      </c>
    </row>
    <row r="1789" spans="1:2">
      <c r="A1789" s="8">
        <v>53239</v>
      </c>
      <c r="B1789" s="8" t="s">
        <v>3205</v>
      </c>
    </row>
    <row r="1790" spans="1:2">
      <c r="A1790" s="8">
        <v>53240</v>
      </c>
      <c r="B1790" s="8" t="s">
        <v>3206</v>
      </c>
    </row>
    <row r="1791" spans="1:2">
      <c r="A1791" s="8">
        <v>53241</v>
      </c>
      <c r="B1791" s="8" t="s">
        <v>3207</v>
      </c>
    </row>
    <row r="1792" spans="1:2">
      <c r="A1792" s="8">
        <v>53242</v>
      </c>
      <c r="B1792" s="8" t="s">
        <v>3208</v>
      </c>
    </row>
    <row r="1793" spans="1:2">
      <c r="A1793" s="8">
        <v>54001</v>
      </c>
      <c r="B1793" s="8" t="s">
        <v>3209</v>
      </c>
    </row>
    <row r="1794" spans="1:2">
      <c r="A1794" s="8">
        <v>54002</v>
      </c>
      <c r="B1794" s="8" t="s">
        <v>3210</v>
      </c>
    </row>
    <row r="1795" spans="1:2">
      <c r="A1795" s="8">
        <v>54003</v>
      </c>
      <c r="B1795" s="8" t="s">
        <v>3211</v>
      </c>
    </row>
    <row r="1796" spans="1:2">
      <c r="A1796" s="8">
        <v>54004</v>
      </c>
      <c r="B1796" s="8" t="s">
        <v>3212</v>
      </c>
    </row>
    <row r="1797" spans="1:2">
      <c r="A1797" s="8">
        <v>54005</v>
      </c>
      <c r="B1797" s="8" t="s">
        <v>3213</v>
      </c>
    </row>
    <row r="1798" spans="1:2">
      <c r="A1798" s="8">
        <v>54006</v>
      </c>
      <c r="B1798" s="8" t="s">
        <v>3214</v>
      </c>
    </row>
    <row r="1799" spans="1:2">
      <c r="A1799" s="8">
        <v>54007</v>
      </c>
      <c r="B1799" s="8" t="s">
        <v>3215</v>
      </c>
    </row>
    <row r="1800" spans="1:2">
      <c r="A1800" s="8">
        <v>54008</v>
      </c>
      <c r="B1800" s="8" t="s">
        <v>3216</v>
      </c>
    </row>
    <row r="1801" spans="1:2">
      <c r="A1801" s="8">
        <v>54009</v>
      </c>
      <c r="B1801" s="8" t="s">
        <v>3217</v>
      </c>
    </row>
    <row r="1802" spans="1:2">
      <c r="A1802" s="8">
        <v>54010</v>
      </c>
      <c r="B1802" s="8" t="s">
        <v>3218</v>
      </c>
    </row>
    <row r="1803" spans="1:2">
      <c r="A1803" s="8">
        <v>54011</v>
      </c>
      <c r="B1803" s="8" t="s">
        <v>3219</v>
      </c>
    </row>
    <row r="1804" spans="1:2">
      <c r="A1804" s="8">
        <v>54012</v>
      </c>
      <c r="B1804" s="8" t="s">
        <v>3220</v>
      </c>
    </row>
    <row r="1805" spans="1:2">
      <c r="A1805" s="8">
        <v>54013</v>
      </c>
      <c r="B1805" s="8" t="s">
        <v>3221</v>
      </c>
    </row>
    <row r="1806" spans="1:2">
      <c r="A1806" s="8">
        <v>54014</v>
      </c>
      <c r="B1806" s="8" t="s">
        <v>3222</v>
      </c>
    </row>
    <row r="1807" spans="1:2">
      <c r="A1807" s="8">
        <v>54015</v>
      </c>
      <c r="B1807" s="8" t="s">
        <v>3223</v>
      </c>
    </row>
    <row r="1808" spans="1:2">
      <c r="A1808" s="8">
        <v>54016</v>
      </c>
      <c r="B1808" s="8" t="s">
        <v>3224</v>
      </c>
    </row>
    <row r="1809" spans="1:2">
      <c r="A1809" s="8">
        <v>54017</v>
      </c>
      <c r="B1809" s="8" t="s">
        <v>3225</v>
      </c>
    </row>
    <row r="1810" spans="1:2">
      <c r="A1810" s="8">
        <v>54018</v>
      </c>
      <c r="B1810" s="8" t="s">
        <v>3226</v>
      </c>
    </row>
    <row r="1811" spans="1:2">
      <c r="A1811" s="8">
        <v>54019</v>
      </c>
      <c r="B1811" s="8" t="s">
        <v>3227</v>
      </c>
    </row>
    <row r="1812" spans="1:2">
      <c r="A1812" s="8">
        <v>54020</v>
      </c>
      <c r="B1812" s="8" t="s">
        <v>3228</v>
      </c>
    </row>
    <row r="1813" spans="1:2">
      <c r="A1813" s="8">
        <v>54021</v>
      </c>
      <c r="B1813" s="8" t="s">
        <v>3229</v>
      </c>
    </row>
    <row r="1814" spans="1:2">
      <c r="A1814" s="8">
        <v>54022</v>
      </c>
      <c r="B1814" s="8" t="s">
        <v>3230</v>
      </c>
    </row>
    <row r="1815" spans="1:2">
      <c r="A1815" s="8">
        <v>54023</v>
      </c>
      <c r="B1815" s="8" t="s">
        <v>3231</v>
      </c>
    </row>
    <row r="1816" spans="1:2">
      <c r="A1816" s="8">
        <v>54024</v>
      </c>
      <c r="B1816" s="8" t="s">
        <v>3232</v>
      </c>
    </row>
    <row r="1817" spans="1:2">
      <c r="A1817" s="8">
        <v>54025</v>
      </c>
      <c r="B1817" s="8" t="s">
        <v>3233</v>
      </c>
    </row>
    <row r="1818" spans="1:2">
      <c r="A1818" s="8">
        <v>54026</v>
      </c>
      <c r="B1818" s="8" t="s">
        <v>3234</v>
      </c>
    </row>
    <row r="1819" spans="1:2">
      <c r="A1819" s="8">
        <v>54027</v>
      </c>
      <c r="B1819" s="8" t="s">
        <v>3235</v>
      </c>
    </row>
    <row r="1820" spans="1:2">
      <c r="A1820" s="8">
        <v>54028</v>
      </c>
      <c r="B1820" s="8" t="s">
        <v>3236</v>
      </c>
    </row>
    <row r="1821" spans="1:2">
      <c r="A1821" s="8">
        <v>54029</v>
      </c>
      <c r="B1821" s="8" t="s">
        <v>3237</v>
      </c>
    </row>
    <row r="1822" spans="1:2">
      <c r="A1822" s="8">
        <v>54030</v>
      </c>
      <c r="B1822" s="8" t="s">
        <v>3238</v>
      </c>
    </row>
    <row r="1823" spans="1:2">
      <c r="A1823" s="8">
        <v>54031</v>
      </c>
      <c r="B1823" s="8" t="s">
        <v>3239</v>
      </c>
    </row>
    <row r="1824" spans="1:2">
      <c r="A1824" s="8">
        <v>54032</v>
      </c>
      <c r="B1824" s="8" t="s">
        <v>3240</v>
      </c>
    </row>
    <row r="1825" spans="1:2">
      <c r="A1825" s="8">
        <v>54033</v>
      </c>
      <c r="B1825" s="8" t="s">
        <v>3241</v>
      </c>
    </row>
    <row r="1826" spans="1:2">
      <c r="A1826" s="8">
        <v>54034</v>
      </c>
      <c r="B1826" s="8" t="s">
        <v>3242</v>
      </c>
    </row>
    <row r="1827" spans="1:2">
      <c r="A1827" s="8">
        <v>54035</v>
      </c>
      <c r="B1827" s="8" t="s">
        <v>3243</v>
      </c>
    </row>
    <row r="1828" spans="1:2">
      <c r="A1828" s="8">
        <v>54036</v>
      </c>
      <c r="B1828" s="8" t="s">
        <v>3244</v>
      </c>
    </row>
    <row r="1829" spans="1:2">
      <c r="A1829" s="8">
        <v>54037</v>
      </c>
      <c r="B1829" s="8" t="s">
        <v>3245</v>
      </c>
    </row>
    <row r="1830" spans="1:2">
      <c r="A1830" s="8">
        <v>54038</v>
      </c>
      <c r="B1830" s="8" t="s">
        <v>3246</v>
      </c>
    </row>
    <row r="1831" spans="1:2">
      <c r="A1831" s="8">
        <v>54039</v>
      </c>
      <c r="B1831" s="8" t="s">
        <v>3247</v>
      </c>
    </row>
    <row r="1832" spans="1:2">
      <c r="A1832" s="8">
        <v>54040</v>
      </c>
      <c r="B1832" s="8" t="s">
        <v>3248</v>
      </c>
    </row>
    <row r="1833" spans="1:2">
      <c r="A1833" s="8">
        <v>54041</v>
      </c>
      <c r="B1833" s="8" t="s">
        <v>3249</v>
      </c>
    </row>
    <row r="1834" spans="1:2">
      <c r="A1834" s="8">
        <v>54042</v>
      </c>
      <c r="B1834" s="8" t="s">
        <v>3250</v>
      </c>
    </row>
    <row r="1835" spans="1:2">
      <c r="A1835" s="8">
        <v>54043</v>
      </c>
      <c r="B1835" s="8" t="s">
        <v>3251</v>
      </c>
    </row>
    <row r="1836" spans="1:2">
      <c r="A1836" s="8">
        <v>54044</v>
      </c>
      <c r="B1836" s="8" t="s">
        <v>3252</v>
      </c>
    </row>
    <row r="1837" spans="1:2">
      <c r="A1837" s="8">
        <v>54045</v>
      </c>
      <c r="B1837" s="8" t="s">
        <v>3253</v>
      </c>
    </row>
    <row r="1838" spans="1:2">
      <c r="A1838" s="8">
        <v>54046</v>
      </c>
      <c r="B1838" s="8" t="s">
        <v>3254</v>
      </c>
    </row>
    <row r="1839" spans="1:2">
      <c r="A1839" s="8">
        <v>54047</v>
      </c>
      <c r="B1839" s="8" t="s">
        <v>3255</v>
      </c>
    </row>
    <row r="1840" spans="1:2">
      <c r="A1840" s="8">
        <v>54048</v>
      </c>
      <c r="B1840" s="8" t="s">
        <v>3256</v>
      </c>
    </row>
    <row r="1841" spans="1:2">
      <c r="A1841" s="8">
        <v>54049</v>
      </c>
      <c r="B1841" s="8" t="s">
        <v>3257</v>
      </c>
    </row>
    <row r="1842" spans="1:2">
      <c r="A1842" s="8">
        <v>54050</v>
      </c>
      <c r="B1842" s="8" t="s">
        <v>3258</v>
      </c>
    </row>
    <row r="1843" spans="1:2">
      <c r="A1843" s="8">
        <v>54051</v>
      </c>
      <c r="B1843" s="8" t="s">
        <v>3259</v>
      </c>
    </row>
    <row r="1844" spans="1:2">
      <c r="A1844" s="8">
        <v>54052</v>
      </c>
      <c r="B1844" s="8" t="s">
        <v>3260</v>
      </c>
    </row>
    <row r="1845" spans="1:2">
      <c r="A1845" s="8">
        <v>54053</v>
      </c>
      <c r="B1845" s="8" t="s">
        <v>3261</v>
      </c>
    </row>
    <row r="1846" spans="1:2">
      <c r="A1846" s="8">
        <v>54054</v>
      </c>
      <c r="B1846" s="8" t="s">
        <v>3262</v>
      </c>
    </row>
    <row r="1847" spans="1:2">
      <c r="A1847" s="8">
        <v>54055</v>
      </c>
      <c r="B1847" s="8" t="s">
        <v>3263</v>
      </c>
    </row>
    <row r="1848" spans="1:2">
      <c r="A1848" s="8">
        <v>54056</v>
      </c>
      <c r="B1848" s="8" t="s">
        <v>3264</v>
      </c>
    </row>
    <row r="1849" spans="1:2">
      <c r="A1849" s="8">
        <v>54057</v>
      </c>
      <c r="B1849" s="8" t="s">
        <v>3265</v>
      </c>
    </row>
    <row r="1850" spans="1:2">
      <c r="A1850" s="8">
        <v>54058</v>
      </c>
      <c r="B1850" s="8" t="s">
        <v>3266</v>
      </c>
    </row>
    <row r="1851" spans="1:2">
      <c r="A1851" s="8">
        <v>54059</v>
      </c>
      <c r="B1851" s="8" t="s">
        <v>3267</v>
      </c>
    </row>
    <row r="1852" spans="1:2">
      <c r="A1852" s="8">
        <v>54060</v>
      </c>
      <c r="B1852" s="8" t="s">
        <v>3268</v>
      </c>
    </row>
    <row r="1853" spans="1:2">
      <c r="A1853" s="8">
        <v>54061</v>
      </c>
      <c r="B1853" s="8" t="s">
        <v>3269</v>
      </c>
    </row>
    <row r="1854" spans="1:2">
      <c r="A1854" s="8">
        <v>54062</v>
      </c>
      <c r="B1854" s="8" t="s">
        <v>3270</v>
      </c>
    </row>
    <row r="1855" spans="1:2">
      <c r="A1855" s="8">
        <v>54063</v>
      </c>
      <c r="B1855" s="8" t="s">
        <v>3271</v>
      </c>
    </row>
    <row r="1856" spans="1:2">
      <c r="A1856" s="8">
        <v>54064</v>
      </c>
      <c r="B1856" s="8" t="s">
        <v>3272</v>
      </c>
    </row>
    <row r="1857" spans="1:2">
      <c r="A1857" s="8">
        <v>54201</v>
      </c>
      <c r="B1857" s="8" t="s">
        <v>3273</v>
      </c>
    </row>
    <row r="1858" spans="1:2">
      <c r="A1858" s="8">
        <v>54202</v>
      </c>
      <c r="B1858" s="8" t="s">
        <v>3274</v>
      </c>
    </row>
    <row r="1859" spans="1:2">
      <c r="A1859" s="8">
        <v>54203</v>
      </c>
      <c r="B1859" s="8" t="s">
        <v>3275</v>
      </c>
    </row>
    <row r="1860" spans="1:2">
      <c r="A1860" s="8">
        <v>54204</v>
      </c>
      <c r="B1860" s="8" t="s">
        <v>3276</v>
      </c>
    </row>
    <row r="1861" spans="1:2">
      <c r="A1861" s="8">
        <v>54205</v>
      </c>
      <c r="B1861" s="8" t="s">
        <v>3277</v>
      </c>
    </row>
    <row r="1862" spans="1:2">
      <c r="A1862" s="8">
        <v>54206</v>
      </c>
      <c r="B1862" s="8" t="s">
        <v>3278</v>
      </c>
    </row>
    <row r="1863" spans="1:2">
      <c r="A1863" s="8">
        <v>54207</v>
      </c>
      <c r="B1863" s="8" t="s">
        <v>3279</v>
      </c>
    </row>
    <row r="1864" spans="1:2">
      <c r="A1864" s="8">
        <v>54208</v>
      </c>
      <c r="B1864" s="8" t="s">
        <v>3280</v>
      </c>
    </row>
    <row r="1865" spans="1:2">
      <c r="A1865" s="8">
        <v>54209</v>
      </c>
      <c r="B1865" s="8" t="s">
        <v>3281</v>
      </c>
    </row>
    <row r="1866" spans="1:2">
      <c r="A1866" s="8">
        <v>54210</v>
      </c>
      <c r="B1866" s="8" t="s">
        <v>3282</v>
      </c>
    </row>
    <row r="1867" spans="1:2">
      <c r="A1867" s="8">
        <v>54211</v>
      </c>
      <c r="B1867" s="8" t="s">
        <v>3283</v>
      </c>
    </row>
    <row r="1868" spans="1:2">
      <c r="A1868" s="8">
        <v>54212</v>
      </c>
      <c r="B1868" s="8" t="s">
        <v>3284</v>
      </c>
    </row>
    <row r="1869" spans="1:2">
      <c r="A1869" s="8">
        <v>54213</v>
      </c>
      <c r="B1869" s="8" t="s">
        <v>3285</v>
      </c>
    </row>
    <row r="1870" spans="1:2">
      <c r="A1870" s="8">
        <v>54214</v>
      </c>
      <c r="B1870" s="8" t="s">
        <v>3286</v>
      </c>
    </row>
    <row r="1871" spans="1:2">
      <c r="A1871" s="8">
        <v>54215</v>
      </c>
      <c r="B1871" s="8" t="s">
        <v>3287</v>
      </c>
    </row>
    <row r="1872" spans="1:2">
      <c r="A1872" s="8">
        <v>54216</v>
      </c>
      <c r="B1872" s="8" t="s">
        <v>3288</v>
      </c>
    </row>
    <row r="1873" spans="1:2">
      <c r="A1873" s="8">
        <v>54217</v>
      </c>
      <c r="B1873" s="8" t="s">
        <v>3289</v>
      </c>
    </row>
    <row r="1874" spans="1:2">
      <c r="A1874" s="8">
        <v>54218</v>
      </c>
      <c r="B1874" s="8" t="s">
        <v>8821</v>
      </c>
    </row>
    <row r="1875" spans="1:2">
      <c r="A1875" s="8">
        <v>54219</v>
      </c>
      <c r="B1875" s="8" t="s">
        <v>3290</v>
      </c>
    </row>
    <row r="1876" spans="1:2">
      <c r="A1876" s="8">
        <v>54220</v>
      </c>
      <c r="B1876" s="8" t="s">
        <v>3291</v>
      </c>
    </row>
    <row r="1877" spans="1:2">
      <c r="A1877" s="8">
        <v>54221</v>
      </c>
      <c r="B1877" s="8" t="s">
        <v>3292</v>
      </c>
    </row>
    <row r="1878" spans="1:2">
      <c r="A1878" s="8">
        <v>54222</v>
      </c>
      <c r="B1878" s="8" t="s">
        <v>3293</v>
      </c>
    </row>
    <row r="1879" spans="1:2">
      <c r="A1879" s="8">
        <v>54223</v>
      </c>
      <c r="B1879" s="8" t="s">
        <v>3294</v>
      </c>
    </row>
    <row r="1880" spans="1:2">
      <c r="A1880" s="8">
        <v>54224</v>
      </c>
      <c r="B1880" s="8" t="s">
        <v>3295</v>
      </c>
    </row>
    <row r="1881" spans="1:2">
      <c r="A1881" s="8">
        <v>54225</v>
      </c>
      <c r="B1881" s="8" t="s">
        <v>3296</v>
      </c>
    </row>
    <row r="1882" spans="1:2">
      <c r="A1882" s="8">
        <v>54226</v>
      </c>
      <c r="B1882" s="8" t="s">
        <v>3297</v>
      </c>
    </row>
    <row r="1883" spans="1:2">
      <c r="A1883" s="8">
        <v>54227</v>
      </c>
      <c r="B1883" s="8" t="s">
        <v>3298</v>
      </c>
    </row>
    <row r="1884" spans="1:2">
      <c r="A1884" s="8">
        <v>54228</v>
      </c>
      <c r="B1884" s="8" t="s">
        <v>3299</v>
      </c>
    </row>
    <row r="1885" spans="1:2">
      <c r="A1885" s="8">
        <v>54229</v>
      </c>
      <c r="B1885" s="8" t="s">
        <v>3300</v>
      </c>
    </row>
    <row r="1886" spans="1:2">
      <c r="A1886" s="8">
        <v>54230</v>
      </c>
      <c r="B1886" s="8" t="s">
        <v>3301</v>
      </c>
    </row>
    <row r="1887" spans="1:2">
      <c r="A1887" s="8">
        <v>54231</v>
      </c>
      <c r="B1887" s="8" t="s">
        <v>3302</v>
      </c>
    </row>
    <row r="1888" spans="1:2">
      <c r="A1888" s="8">
        <v>54232</v>
      </c>
      <c r="B1888" s="8" t="s">
        <v>3303</v>
      </c>
    </row>
    <row r="1889" spans="1:2">
      <c r="A1889" s="8">
        <v>54233</v>
      </c>
      <c r="B1889" s="8" t="s">
        <v>3304</v>
      </c>
    </row>
    <row r="1890" spans="1:2">
      <c r="A1890" s="8">
        <v>54234</v>
      </c>
      <c r="B1890" s="8" t="s">
        <v>3305</v>
      </c>
    </row>
    <row r="1891" spans="1:2">
      <c r="A1891" s="8">
        <v>54235</v>
      </c>
      <c r="B1891" s="8" t="s">
        <v>3306</v>
      </c>
    </row>
    <row r="1892" spans="1:2">
      <c r="A1892" s="8">
        <v>54236</v>
      </c>
      <c r="B1892" s="8" t="s">
        <v>3307</v>
      </c>
    </row>
    <row r="1893" spans="1:2">
      <c r="A1893" s="8">
        <v>54237</v>
      </c>
      <c r="B1893" s="8" t="s">
        <v>3308</v>
      </c>
    </row>
    <row r="1894" spans="1:2">
      <c r="A1894" s="8">
        <v>54238</v>
      </c>
      <c r="B1894" s="8" t="s">
        <v>3309</v>
      </c>
    </row>
    <row r="1895" spans="1:2">
      <c r="A1895" s="8">
        <v>54239</v>
      </c>
      <c r="B1895" s="8" t="s">
        <v>3310</v>
      </c>
    </row>
    <row r="1896" spans="1:2">
      <c r="A1896" s="8">
        <v>54240</v>
      </c>
      <c r="B1896" s="8" t="s">
        <v>3311</v>
      </c>
    </row>
    <row r="1897" spans="1:2">
      <c r="A1897" s="8">
        <v>54241</v>
      </c>
      <c r="B1897" s="8" t="s">
        <v>3312</v>
      </c>
    </row>
    <row r="1898" spans="1:2">
      <c r="A1898" s="8">
        <v>54242</v>
      </c>
      <c r="B1898" s="8" t="s">
        <v>3313</v>
      </c>
    </row>
    <row r="1899" spans="1:2">
      <c r="A1899" s="8">
        <v>55001</v>
      </c>
      <c r="B1899" s="8" t="s">
        <v>3314</v>
      </c>
    </row>
    <row r="1900" spans="1:2">
      <c r="A1900" s="8">
        <v>55002</v>
      </c>
      <c r="B1900" s="8" t="s">
        <v>3315</v>
      </c>
    </row>
    <row r="1901" spans="1:2">
      <c r="A1901" s="8">
        <v>55003</v>
      </c>
      <c r="B1901" s="8" t="s">
        <v>3316</v>
      </c>
    </row>
    <row r="1902" spans="1:2">
      <c r="A1902" s="8">
        <v>55004</v>
      </c>
      <c r="B1902" s="8" t="s">
        <v>3317</v>
      </c>
    </row>
    <row r="1903" spans="1:2">
      <c r="A1903" s="8">
        <v>55005</v>
      </c>
      <c r="B1903" s="8" t="s">
        <v>3318</v>
      </c>
    </row>
    <row r="1904" spans="1:2">
      <c r="A1904" s="8">
        <v>55006</v>
      </c>
      <c r="B1904" s="8" t="s">
        <v>3319</v>
      </c>
    </row>
    <row r="1905" spans="1:2">
      <c r="A1905" s="8">
        <v>55007</v>
      </c>
      <c r="B1905" s="8" t="s">
        <v>3320</v>
      </c>
    </row>
    <row r="1906" spans="1:2">
      <c r="A1906" s="8">
        <v>55008</v>
      </c>
      <c r="B1906" s="8" t="s">
        <v>3321</v>
      </c>
    </row>
    <row r="1907" spans="1:2">
      <c r="A1907" s="8">
        <v>55009</v>
      </c>
      <c r="B1907" s="8" t="s">
        <v>3322</v>
      </c>
    </row>
    <row r="1908" spans="1:2">
      <c r="A1908" s="8">
        <v>55010</v>
      </c>
      <c r="B1908" s="8" t="s">
        <v>3323</v>
      </c>
    </row>
    <row r="1909" spans="1:2">
      <c r="A1909" s="8">
        <v>55011</v>
      </c>
      <c r="B1909" s="8" t="s">
        <v>3324</v>
      </c>
    </row>
    <row r="1910" spans="1:2">
      <c r="A1910" s="8">
        <v>55012</v>
      </c>
      <c r="B1910" s="8" t="s">
        <v>3325</v>
      </c>
    </row>
    <row r="1911" spans="1:2">
      <c r="A1911" s="8">
        <v>55013</v>
      </c>
      <c r="B1911" s="8" t="s">
        <v>3326</v>
      </c>
    </row>
    <row r="1912" spans="1:2">
      <c r="A1912" s="8">
        <v>55014</v>
      </c>
      <c r="B1912" s="8" t="s">
        <v>3327</v>
      </c>
    </row>
    <row r="1913" spans="1:2">
      <c r="A1913" s="8">
        <v>55015</v>
      </c>
      <c r="B1913" s="8" t="s">
        <v>3328</v>
      </c>
    </row>
    <row r="1914" spans="1:2">
      <c r="A1914" s="8">
        <v>55016</v>
      </c>
      <c r="B1914" s="8" t="s">
        <v>3329</v>
      </c>
    </row>
    <row r="1915" spans="1:2">
      <c r="A1915" s="8">
        <v>55017</v>
      </c>
      <c r="B1915" s="8" t="s">
        <v>3330</v>
      </c>
    </row>
    <row r="1916" spans="1:2">
      <c r="A1916" s="8">
        <v>55018</v>
      </c>
      <c r="B1916" s="8" t="s">
        <v>3331</v>
      </c>
    </row>
    <row r="1917" spans="1:2">
      <c r="A1917" s="8">
        <v>55019</v>
      </c>
      <c r="B1917" s="8" t="s">
        <v>3332</v>
      </c>
    </row>
    <row r="1918" spans="1:2">
      <c r="A1918" s="8">
        <v>55020</v>
      </c>
      <c r="B1918" s="8" t="s">
        <v>3333</v>
      </c>
    </row>
    <row r="1919" spans="1:2">
      <c r="A1919" s="8">
        <v>55021</v>
      </c>
      <c r="B1919" s="8" t="s">
        <v>3334</v>
      </c>
    </row>
    <row r="1920" spans="1:2">
      <c r="A1920" s="8">
        <v>55022</v>
      </c>
      <c r="B1920" s="8" t="s">
        <v>3335</v>
      </c>
    </row>
    <row r="1921" spans="1:2">
      <c r="A1921" s="8">
        <v>55023</v>
      </c>
      <c r="B1921" s="8" t="s">
        <v>3336</v>
      </c>
    </row>
    <row r="1922" spans="1:2">
      <c r="A1922" s="8">
        <v>55024</v>
      </c>
      <c r="B1922" s="8" t="s">
        <v>3337</v>
      </c>
    </row>
    <row r="1923" spans="1:2">
      <c r="A1923" s="8">
        <v>55025</v>
      </c>
      <c r="B1923" s="8" t="s">
        <v>3338</v>
      </c>
    </row>
    <row r="1924" spans="1:2">
      <c r="A1924" s="8">
        <v>55026</v>
      </c>
      <c r="B1924" s="8" t="s">
        <v>3339</v>
      </c>
    </row>
    <row r="1925" spans="1:2">
      <c r="A1925" s="8">
        <v>55027</v>
      </c>
      <c r="B1925" s="8" t="s">
        <v>3340</v>
      </c>
    </row>
    <row r="1926" spans="1:2">
      <c r="A1926" s="8">
        <v>55028</v>
      </c>
      <c r="B1926" s="8" t="s">
        <v>3341</v>
      </c>
    </row>
    <row r="1927" spans="1:2">
      <c r="A1927" s="8">
        <v>55029</v>
      </c>
      <c r="B1927" s="8" t="s">
        <v>3342</v>
      </c>
    </row>
    <row r="1928" spans="1:2">
      <c r="A1928" s="8">
        <v>55030</v>
      </c>
      <c r="B1928" s="8" t="s">
        <v>3343</v>
      </c>
    </row>
    <row r="1929" spans="1:2">
      <c r="A1929" s="8">
        <v>55031</v>
      </c>
      <c r="B1929" s="8" t="s">
        <v>3344</v>
      </c>
    </row>
    <row r="1930" spans="1:2">
      <c r="A1930" s="8">
        <v>55032</v>
      </c>
      <c r="B1930" s="8" t="s">
        <v>3345</v>
      </c>
    </row>
    <row r="1931" spans="1:2">
      <c r="A1931" s="8">
        <v>55033</v>
      </c>
      <c r="B1931" s="8" t="s">
        <v>3346</v>
      </c>
    </row>
    <row r="1932" spans="1:2">
      <c r="A1932" s="8">
        <v>55034</v>
      </c>
      <c r="B1932" s="8" t="s">
        <v>3347</v>
      </c>
    </row>
    <row r="1933" spans="1:2">
      <c r="A1933" s="8">
        <v>55035</v>
      </c>
      <c r="B1933" s="8" t="s">
        <v>3348</v>
      </c>
    </row>
    <row r="1934" spans="1:2">
      <c r="A1934" s="8">
        <v>55036</v>
      </c>
      <c r="B1934" s="8" t="s">
        <v>3349</v>
      </c>
    </row>
    <row r="1935" spans="1:2">
      <c r="A1935" s="8">
        <v>55037</v>
      </c>
      <c r="B1935" s="8" t="s">
        <v>3350</v>
      </c>
    </row>
    <row r="1936" spans="1:2">
      <c r="A1936" s="8">
        <v>55038</v>
      </c>
      <c r="B1936" s="8" t="s">
        <v>3351</v>
      </c>
    </row>
    <row r="1937" spans="1:2">
      <c r="A1937" s="8">
        <v>55039</v>
      </c>
      <c r="B1937" s="8" t="s">
        <v>3352</v>
      </c>
    </row>
    <row r="1938" spans="1:2">
      <c r="A1938" s="8">
        <v>55040</v>
      </c>
      <c r="B1938" s="8" t="s">
        <v>3353</v>
      </c>
    </row>
    <row r="1939" spans="1:2">
      <c r="A1939" s="8">
        <v>55041</v>
      </c>
      <c r="B1939" s="8" t="s">
        <v>3354</v>
      </c>
    </row>
    <row r="1940" spans="1:2">
      <c r="A1940" s="8">
        <v>55042</v>
      </c>
      <c r="B1940" s="8" t="s">
        <v>3355</v>
      </c>
    </row>
    <row r="1941" spans="1:2">
      <c r="A1941" s="8">
        <v>55043</v>
      </c>
      <c r="B1941" s="8" t="s">
        <v>3356</v>
      </c>
    </row>
    <row r="1942" spans="1:2">
      <c r="A1942" s="8">
        <v>55044</v>
      </c>
      <c r="B1942" s="8" t="s">
        <v>3357</v>
      </c>
    </row>
    <row r="1943" spans="1:2">
      <c r="A1943" s="8">
        <v>55045</v>
      </c>
      <c r="B1943" s="8" t="s">
        <v>3358</v>
      </c>
    </row>
    <row r="1944" spans="1:2">
      <c r="A1944" s="8">
        <v>55046</v>
      </c>
      <c r="B1944" s="8" t="s">
        <v>3359</v>
      </c>
    </row>
    <row r="1945" spans="1:2">
      <c r="A1945" s="8">
        <v>55047</v>
      </c>
      <c r="B1945" s="8" t="s">
        <v>3360</v>
      </c>
    </row>
    <row r="1946" spans="1:2">
      <c r="A1946" s="8">
        <v>55048</v>
      </c>
      <c r="B1946" s="8" t="s">
        <v>3361</v>
      </c>
    </row>
    <row r="1947" spans="1:2">
      <c r="A1947" s="8">
        <v>55049</v>
      </c>
      <c r="B1947" s="8" t="s">
        <v>3362</v>
      </c>
    </row>
    <row r="1948" spans="1:2">
      <c r="A1948" s="8">
        <v>55050</v>
      </c>
      <c r="B1948" s="8" t="s">
        <v>3363</v>
      </c>
    </row>
    <row r="1949" spans="1:2">
      <c r="A1949" s="8">
        <v>55051</v>
      </c>
      <c r="B1949" s="8" t="s">
        <v>3364</v>
      </c>
    </row>
    <row r="1950" spans="1:2">
      <c r="A1950" s="8">
        <v>55052</v>
      </c>
      <c r="B1950" s="8" t="s">
        <v>3365</v>
      </c>
    </row>
    <row r="1951" spans="1:2">
      <c r="A1951" s="8">
        <v>55053</v>
      </c>
      <c r="B1951" s="8" t="s">
        <v>3366</v>
      </c>
    </row>
    <row r="1952" spans="1:2">
      <c r="A1952" s="8">
        <v>55054</v>
      </c>
      <c r="B1952" s="8" t="s">
        <v>3367</v>
      </c>
    </row>
    <row r="1953" spans="1:2">
      <c r="A1953" s="8">
        <v>55055</v>
      </c>
      <c r="B1953" s="8" t="s">
        <v>3368</v>
      </c>
    </row>
    <row r="1954" spans="1:2">
      <c r="A1954" s="8">
        <v>55056</v>
      </c>
      <c r="B1954" s="8" t="s">
        <v>3369</v>
      </c>
    </row>
    <row r="1955" spans="1:2">
      <c r="A1955" s="8">
        <v>55057</v>
      </c>
      <c r="B1955" s="8" t="s">
        <v>3370</v>
      </c>
    </row>
    <row r="1956" spans="1:2">
      <c r="A1956" s="8">
        <v>55058</v>
      </c>
      <c r="B1956" s="8" t="s">
        <v>3371</v>
      </c>
    </row>
    <row r="1957" spans="1:2">
      <c r="A1957" s="8">
        <v>55059</v>
      </c>
      <c r="B1957" s="8" t="s">
        <v>3372</v>
      </c>
    </row>
    <row r="1958" spans="1:2">
      <c r="A1958" s="8">
        <v>55060</v>
      </c>
      <c r="B1958" s="8" t="s">
        <v>3373</v>
      </c>
    </row>
    <row r="1959" spans="1:2">
      <c r="A1959" s="8">
        <v>55061</v>
      </c>
      <c r="B1959" s="8" t="s">
        <v>3374</v>
      </c>
    </row>
    <row r="1960" spans="1:2">
      <c r="A1960" s="8">
        <v>55062</v>
      </c>
      <c r="B1960" s="8" t="s">
        <v>3375</v>
      </c>
    </row>
    <row r="1961" spans="1:2">
      <c r="A1961" s="8">
        <v>55063</v>
      </c>
      <c r="B1961" s="8" t="s">
        <v>3376</v>
      </c>
    </row>
    <row r="1962" spans="1:2">
      <c r="A1962" s="8">
        <v>55064</v>
      </c>
      <c r="B1962" s="8" t="s">
        <v>3377</v>
      </c>
    </row>
    <row r="1963" spans="1:2">
      <c r="A1963" s="8">
        <v>55201</v>
      </c>
      <c r="B1963" s="8" t="s">
        <v>3378</v>
      </c>
    </row>
    <row r="1964" spans="1:2">
      <c r="A1964" s="8">
        <v>55202</v>
      </c>
      <c r="B1964" s="8" t="s">
        <v>3379</v>
      </c>
    </row>
    <row r="1965" spans="1:2">
      <c r="A1965" s="8">
        <v>55203</v>
      </c>
      <c r="B1965" s="8" t="s">
        <v>3380</v>
      </c>
    </row>
    <row r="1966" spans="1:2">
      <c r="A1966" s="8">
        <v>55204</v>
      </c>
      <c r="B1966" s="8" t="s">
        <v>3381</v>
      </c>
    </row>
    <row r="1967" spans="1:2">
      <c r="A1967" s="8">
        <v>55205</v>
      </c>
      <c r="B1967" s="8" t="s">
        <v>3382</v>
      </c>
    </row>
    <row r="1968" spans="1:2">
      <c r="A1968" s="8">
        <v>55206</v>
      </c>
      <c r="B1968" s="8" t="s">
        <v>3383</v>
      </c>
    </row>
    <row r="1969" spans="1:2">
      <c r="A1969" s="8">
        <v>55207</v>
      </c>
      <c r="B1969" s="8" t="s">
        <v>3384</v>
      </c>
    </row>
    <row r="1970" spans="1:2">
      <c r="A1970" s="8">
        <v>55208</v>
      </c>
      <c r="B1970" s="8" t="s">
        <v>3385</v>
      </c>
    </row>
    <row r="1971" spans="1:2">
      <c r="A1971" s="8">
        <v>55209</v>
      </c>
      <c r="B1971" s="8" t="s">
        <v>3386</v>
      </c>
    </row>
    <row r="1972" spans="1:2">
      <c r="A1972" s="8">
        <v>55210</v>
      </c>
      <c r="B1972" s="8" t="s">
        <v>3387</v>
      </c>
    </row>
    <row r="1973" spans="1:2">
      <c r="A1973" s="8">
        <v>55211</v>
      </c>
      <c r="B1973" s="8" t="s">
        <v>3388</v>
      </c>
    </row>
    <row r="1974" spans="1:2">
      <c r="A1974" s="8">
        <v>55212</v>
      </c>
      <c r="B1974" s="8" t="s">
        <v>3389</v>
      </c>
    </row>
    <row r="1975" spans="1:2">
      <c r="A1975" s="8">
        <v>55213</v>
      </c>
      <c r="B1975" s="8" t="s">
        <v>3390</v>
      </c>
    </row>
    <row r="1976" spans="1:2">
      <c r="A1976" s="8">
        <v>55214</v>
      </c>
      <c r="B1976" s="8" t="s">
        <v>3391</v>
      </c>
    </row>
    <row r="1977" spans="1:2">
      <c r="A1977" s="8">
        <v>55215</v>
      </c>
      <c r="B1977" s="8" t="s">
        <v>3392</v>
      </c>
    </row>
    <row r="1978" spans="1:2">
      <c r="A1978" s="8">
        <v>55216</v>
      </c>
      <c r="B1978" s="8" t="s">
        <v>3393</v>
      </c>
    </row>
    <row r="1979" spans="1:2">
      <c r="A1979" s="8">
        <v>55217</v>
      </c>
      <c r="B1979" s="8" t="s">
        <v>3394</v>
      </c>
    </row>
    <row r="1980" spans="1:2">
      <c r="A1980" s="8">
        <v>55218</v>
      </c>
      <c r="B1980" s="8" t="s">
        <v>8822</v>
      </c>
    </row>
    <row r="1981" spans="1:2">
      <c r="A1981" s="8">
        <v>55219</v>
      </c>
      <c r="B1981" s="8" t="s">
        <v>3395</v>
      </c>
    </row>
    <row r="1982" spans="1:2">
      <c r="A1982" s="8">
        <v>55220</v>
      </c>
      <c r="B1982" s="8" t="s">
        <v>3396</v>
      </c>
    </row>
    <row r="1983" spans="1:2">
      <c r="A1983" s="8">
        <v>55221</v>
      </c>
      <c r="B1983" s="8" t="s">
        <v>3397</v>
      </c>
    </row>
    <row r="1984" spans="1:2">
      <c r="A1984" s="8">
        <v>55222</v>
      </c>
      <c r="B1984" s="8" t="s">
        <v>3398</v>
      </c>
    </row>
    <row r="1985" spans="1:2">
      <c r="A1985" s="8">
        <v>55223</v>
      </c>
      <c r="B1985" s="8" t="s">
        <v>3399</v>
      </c>
    </row>
    <row r="1986" spans="1:2">
      <c r="A1986" s="8">
        <v>55224</v>
      </c>
      <c r="B1986" s="8" t="s">
        <v>3400</v>
      </c>
    </row>
    <row r="1987" spans="1:2">
      <c r="A1987" s="8">
        <v>55225</v>
      </c>
      <c r="B1987" s="8" t="s">
        <v>3401</v>
      </c>
    </row>
    <row r="1988" spans="1:2">
      <c r="A1988" s="8">
        <v>55226</v>
      </c>
      <c r="B1988" s="8" t="s">
        <v>3402</v>
      </c>
    </row>
    <row r="1989" spans="1:2">
      <c r="A1989" s="8">
        <v>55227</v>
      </c>
      <c r="B1989" s="8" t="s">
        <v>3403</v>
      </c>
    </row>
    <row r="1990" spans="1:2">
      <c r="A1990" s="8">
        <v>55228</v>
      </c>
      <c r="B1990" s="8" t="s">
        <v>3404</v>
      </c>
    </row>
    <row r="1991" spans="1:2">
      <c r="A1991" s="8">
        <v>55229</v>
      </c>
      <c r="B1991" s="8" t="s">
        <v>3405</v>
      </c>
    </row>
    <row r="1992" spans="1:2">
      <c r="A1992" s="8">
        <v>55230</v>
      </c>
      <c r="B1992" s="8" t="s">
        <v>3406</v>
      </c>
    </row>
    <row r="1993" spans="1:2">
      <c r="A1993" s="8">
        <v>55231</v>
      </c>
      <c r="B1993" s="8" t="s">
        <v>3407</v>
      </c>
    </row>
    <row r="1994" spans="1:2">
      <c r="A1994" s="8">
        <v>55232</v>
      </c>
      <c r="B1994" s="8" t="s">
        <v>3408</v>
      </c>
    </row>
    <row r="1995" spans="1:2">
      <c r="A1995" s="8">
        <v>55233</v>
      </c>
      <c r="B1995" s="8" t="s">
        <v>3409</v>
      </c>
    </row>
    <row r="1996" spans="1:2">
      <c r="A1996" s="8">
        <v>55234</v>
      </c>
      <c r="B1996" s="8" t="s">
        <v>3410</v>
      </c>
    </row>
    <row r="1997" spans="1:2">
      <c r="A1997" s="8">
        <v>55235</v>
      </c>
      <c r="B1997" s="8" t="s">
        <v>3411</v>
      </c>
    </row>
    <row r="1998" spans="1:2">
      <c r="A1998" s="8">
        <v>55236</v>
      </c>
      <c r="B1998" s="8" t="s">
        <v>3412</v>
      </c>
    </row>
    <row r="1999" spans="1:2">
      <c r="A1999" s="8">
        <v>55237</v>
      </c>
      <c r="B1999" s="8" t="s">
        <v>3413</v>
      </c>
    </row>
    <row r="2000" spans="1:2">
      <c r="A2000" s="8">
        <v>55238</v>
      </c>
      <c r="B2000" s="8" t="s">
        <v>3414</v>
      </c>
    </row>
    <row r="2001" spans="1:2">
      <c r="A2001" s="8">
        <v>55239</v>
      </c>
      <c r="B2001" s="8" t="s">
        <v>3415</v>
      </c>
    </row>
    <row r="2002" spans="1:2">
      <c r="A2002" s="8">
        <v>55240</v>
      </c>
      <c r="B2002" s="8" t="s">
        <v>3416</v>
      </c>
    </row>
    <row r="2003" spans="1:2">
      <c r="A2003" s="8">
        <v>55241</v>
      </c>
      <c r="B2003" s="8" t="s">
        <v>3417</v>
      </c>
    </row>
    <row r="2004" spans="1:2">
      <c r="A2004" s="8">
        <v>55242</v>
      </c>
      <c r="B2004" s="8" t="s">
        <v>3418</v>
      </c>
    </row>
    <row r="2005" spans="1:2">
      <c r="A2005" s="8">
        <v>56001</v>
      </c>
      <c r="B2005" s="8" t="s">
        <v>3419</v>
      </c>
    </row>
    <row r="2006" spans="1:2">
      <c r="A2006" s="8">
        <v>56002</v>
      </c>
      <c r="B2006" s="8" t="s">
        <v>3420</v>
      </c>
    </row>
    <row r="2007" spans="1:2">
      <c r="A2007" s="8">
        <v>56003</v>
      </c>
      <c r="B2007" s="8" t="s">
        <v>3421</v>
      </c>
    </row>
    <row r="2008" spans="1:2">
      <c r="A2008" s="8">
        <v>56004</v>
      </c>
      <c r="B2008" s="8" t="s">
        <v>3422</v>
      </c>
    </row>
    <row r="2009" spans="1:2">
      <c r="A2009" s="8">
        <v>56005</v>
      </c>
      <c r="B2009" s="8" t="s">
        <v>3423</v>
      </c>
    </row>
    <row r="2010" spans="1:2">
      <c r="A2010" s="8">
        <v>56006</v>
      </c>
      <c r="B2010" s="8" t="s">
        <v>3424</v>
      </c>
    </row>
    <row r="2011" spans="1:2">
      <c r="A2011" s="8">
        <v>56007</v>
      </c>
      <c r="B2011" s="8" t="s">
        <v>3425</v>
      </c>
    </row>
    <row r="2012" spans="1:2">
      <c r="A2012" s="8">
        <v>56008</v>
      </c>
      <c r="B2012" s="8" t="s">
        <v>3426</v>
      </c>
    </row>
    <row r="2013" spans="1:2">
      <c r="A2013" s="8">
        <v>56009</v>
      </c>
      <c r="B2013" s="8" t="s">
        <v>3427</v>
      </c>
    </row>
    <row r="2014" spans="1:2">
      <c r="A2014" s="8">
        <v>56010</v>
      </c>
      <c r="B2014" s="8" t="s">
        <v>3428</v>
      </c>
    </row>
    <row r="2015" spans="1:2">
      <c r="A2015" s="8">
        <v>56011</v>
      </c>
      <c r="B2015" s="8" t="s">
        <v>3429</v>
      </c>
    </row>
    <row r="2016" spans="1:2">
      <c r="A2016" s="8">
        <v>56012</v>
      </c>
      <c r="B2016" s="8" t="s">
        <v>3430</v>
      </c>
    </row>
    <row r="2017" spans="1:2">
      <c r="A2017" s="8">
        <v>56013</v>
      </c>
      <c r="B2017" s="8" t="s">
        <v>3431</v>
      </c>
    </row>
    <row r="2018" spans="1:2">
      <c r="A2018" s="8">
        <v>56014</v>
      </c>
      <c r="B2018" s="8" t="s">
        <v>3432</v>
      </c>
    </row>
    <row r="2019" spans="1:2">
      <c r="A2019" s="8">
        <v>56015</v>
      </c>
      <c r="B2019" s="8" t="s">
        <v>3433</v>
      </c>
    </row>
    <row r="2020" spans="1:2">
      <c r="A2020" s="8">
        <v>56016</v>
      </c>
      <c r="B2020" s="8" t="s">
        <v>3434</v>
      </c>
    </row>
    <row r="2021" spans="1:2">
      <c r="A2021" s="8">
        <v>56017</v>
      </c>
      <c r="B2021" s="8" t="s">
        <v>3435</v>
      </c>
    </row>
    <row r="2022" spans="1:2">
      <c r="A2022" s="8">
        <v>56018</v>
      </c>
      <c r="B2022" s="8" t="s">
        <v>3436</v>
      </c>
    </row>
    <row r="2023" spans="1:2">
      <c r="A2023" s="8">
        <v>56019</v>
      </c>
      <c r="B2023" s="8" t="s">
        <v>3437</v>
      </c>
    </row>
    <row r="2024" spans="1:2">
      <c r="A2024" s="8">
        <v>56020</v>
      </c>
      <c r="B2024" s="8" t="s">
        <v>3438</v>
      </c>
    </row>
    <row r="2025" spans="1:2">
      <c r="A2025" s="8">
        <v>56021</v>
      </c>
      <c r="B2025" s="8" t="s">
        <v>3439</v>
      </c>
    </row>
    <row r="2026" spans="1:2">
      <c r="A2026" s="8">
        <v>56022</v>
      </c>
      <c r="B2026" s="8" t="s">
        <v>3440</v>
      </c>
    </row>
    <row r="2027" spans="1:2">
      <c r="A2027" s="8">
        <v>56023</v>
      </c>
      <c r="B2027" s="8" t="s">
        <v>3441</v>
      </c>
    </row>
    <row r="2028" spans="1:2">
      <c r="A2028" s="8">
        <v>56024</v>
      </c>
      <c r="B2028" s="8" t="s">
        <v>3442</v>
      </c>
    </row>
    <row r="2029" spans="1:2">
      <c r="A2029" s="8">
        <v>56025</v>
      </c>
      <c r="B2029" s="8" t="s">
        <v>3443</v>
      </c>
    </row>
    <row r="2030" spans="1:2">
      <c r="A2030" s="8">
        <v>56026</v>
      </c>
      <c r="B2030" s="8" t="s">
        <v>3444</v>
      </c>
    </row>
    <row r="2031" spans="1:2">
      <c r="A2031" s="8">
        <v>56027</v>
      </c>
      <c r="B2031" s="8" t="s">
        <v>3445</v>
      </c>
    </row>
    <row r="2032" spans="1:2">
      <c r="A2032" s="8">
        <v>56028</v>
      </c>
      <c r="B2032" s="8" t="s">
        <v>3446</v>
      </c>
    </row>
    <row r="2033" spans="1:2">
      <c r="A2033" s="8">
        <v>56029</v>
      </c>
      <c r="B2033" s="8" t="s">
        <v>3447</v>
      </c>
    </row>
    <row r="2034" spans="1:2">
      <c r="A2034" s="8">
        <v>56030</v>
      </c>
      <c r="B2034" s="8" t="s">
        <v>3448</v>
      </c>
    </row>
    <row r="2035" spans="1:2">
      <c r="A2035" s="8">
        <v>56031</v>
      </c>
      <c r="B2035" s="8" t="s">
        <v>3449</v>
      </c>
    </row>
    <row r="2036" spans="1:2">
      <c r="A2036" s="8">
        <v>56032</v>
      </c>
      <c r="B2036" s="8" t="s">
        <v>3450</v>
      </c>
    </row>
    <row r="2037" spans="1:2">
      <c r="A2037" s="8">
        <v>56033</v>
      </c>
      <c r="B2037" s="8" t="s">
        <v>3451</v>
      </c>
    </row>
    <row r="2038" spans="1:2">
      <c r="A2038" s="8">
        <v>56034</v>
      </c>
      <c r="B2038" s="8" t="s">
        <v>3452</v>
      </c>
    </row>
    <row r="2039" spans="1:2">
      <c r="A2039" s="8">
        <v>56035</v>
      </c>
      <c r="B2039" s="8" t="s">
        <v>3453</v>
      </c>
    </row>
    <row r="2040" spans="1:2">
      <c r="A2040" s="8">
        <v>56036</v>
      </c>
      <c r="B2040" s="8" t="s">
        <v>3454</v>
      </c>
    </row>
    <row r="2041" spans="1:2">
      <c r="A2041" s="8">
        <v>56037</v>
      </c>
      <c r="B2041" s="8" t="s">
        <v>3455</v>
      </c>
    </row>
    <row r="2042" spans="1:2">
      <c r="A2042" s="8">
        <v>56038</v>
      </c>
      <c r="B2042" s="8" t="s">
        <v>3456</v>
      </c>
    </row>
    <row r="2043" spans="1:2">
      <c r="A2043" s="8">
        <v>56039</v>
      </c>
      <c r="B2043" s="8" t="s">
        <v>3457</v>
      </c>
    </row>
    <row r="2044" spans="1:2">
      <c r="A2044" s="8">
        <v>56040</v>
      </c>
      <c r="B2044" s="8" t="s">
        <v>3458</v>
      </c>
    </row>
    <row r="2045" spans="1:2">
      <c r="A2045" s="8">
        <v>56041</v>
      </c>
      <c r="B2045" s="8" t="s">
        <v>3459</v>
      </c>
    </row>
    <row r="2046" spans="1:2">
      <c r="A2046" s="8">
        <v>56042</v>
      </c>
      <c r="B2046" s="8" t="s">
        <v>3460</v>
      </c>
    </row>
    <row r="2047" spans="1:2">
      <c r="A2047" s="8">
        <v>56043</v>
      </c>
      <c r="B2047" s="8" t="s">
        <v>3461</v>
      </c>
    </row>
    <row r="2048" spans="1:2">
      <c r="A2048" s="8">
        <v>56044</v>
      </c>
      <c r="B2048" s="8" t="s">
        <v>3462</v>
      </c>
    </row>
    <row r="2049" spans="1:2">
      <c r="A2049" s="8">
        <v>56045</v>
      </c>
      <c r="B2049" s="8" t="s">
        <v>3463</v>
      </c>
    </row>
    <row r="2050" spans="1:2">
      <c r="A2050" s="8">
        <v>56046</v>
      </c>
      <c r="B2050" s="8" t="s">
        <v>3464</v>
      </c>
    </row>
    <row r="2051" spans="1:2">
      <c r="A2051" s="8">
        <v>56047</v>
      </c>
      <c r="B2051" s="8" t="s">
        <v>3465</v>
      </c>
    </row>
    <row r="2052" spans="1:2">
      <c r="A2052" s="8">
        <v>56048</v>
      </c>
      <c r="B2052" s="8" t="s">
        <v>3466</v>
      </c>
    </row>
    <row r="2053" spans="1:2">
      <c r="A2053" s="8">
        <v>56049</v>
      </c>
      <c r="B2053" s="8" t="s">
        <v>3467</v>
      </c>
    </row>
    <row r="2054" spans="1:2">
      <c r="A2054" s="8">
        <v>56050</v>
      </c>
      <c r="B2054" s="8" t="s">
        <v>3468</v>
      </c>
    </row>
    <row r="2055" spans="1:2">
      <c r="A2055" s="8">
        <v>56051</v>
      </c>
      <c r="B2055" s="8" t="s">
        <v>3469</v>
      </c>
    </row>
    <row r="2056" spans="1:2">
      <c r="A2056" s="8">
        <v>56052</v>
      </c>
      <c r="B2056" s="8" t="s">
        <v>3470</v>
      </c>
    </row>
    <row r="2057" spans="1:2">
      <c r="A2057" s="8">
        <v>56053</v>
      </c>
      <c r="B2057" s="8" t="s">
        <v>3471</v>
      </c>
    </row>
    <row r="2058" spans="1:2">
      <c r="A2058" s="8">
        <v>56054</v>
      </c>
      <c r="B2058" s="8" t="s">
        <v>3472</v>
      </c>
    </row>
    <row r="2059" spans="1:2">
      <c r="A2059" s="8">
        <v>56055</v>
      </c>
      <c r="B2059" s="8" t="s">
        <v>3473</v>
      </c>
    </row>
    <row r="2060" spans="1:2">
      <c r="A2060" s="8">
        <v>56056</v>
      </c>
      <c r="B2060" s="8" t="s">
        <v>3474</v>
      </c>
    </row>
    <row r="2061" spans="1:2">
      <c r="A2061" s="8">
        <v>56057</v>
      </c>
      <c r="B2061" s="8" t="s">
        <v>3475</v>
      </c>
    </row>
    <row r="2062" spans="1:2">
      <c r="A2062" s="8">
        <v>56058</v>
      </c>
      <c r="B2062" s="8" t="s">
        <v>3476</v>
      </c>
    </row>
    <row r="2063" spans="1:2">
      <c r="A2063" s="8">
        <v>56059</v>
      </c>
      <c r="B2063" s="8" t="s">
        <v>3477</v>
      </c>
    </row>
    <row r="2064" spans="1:2">
      <c r="A2064" s="8">
        <v>56060</v>
      </c>
      <c r="B2064" s="8" t="s">
        <v>3478</v>
      </c>
    </row>
    <row r="2065" spans="1:2">
      <c r="A2065" s="8">
        <v>56061</v>
      </c>
      <c r="B2065" s="8" t="s">
        <v>3479</v>
      </c>
    </row>
    <row r="2066" spans="1:2">
      <c r="A2066" s="8">
        <v>56062</v>
      </c>
      <c r="B2066" s="8" t="s">
        <v>3480</v>
      </c>
    </row>
    <row r="2067" spans="1:2">
      <c r="A2067" s="8">
        <v>56063</v>
      </c>
      <c r="B2067" s="8" t="s">
        <v>3481</v>
      </c>
    </row>
    <row r="2068" spans="1:2">
      <c r="A2068" s="8">
        <v>56064</v>
      </c>
      <c r="B2068" s="8" t="s">
        <v>3482</v>
      </c>
    </row>
    <row r="2069" spans="1:2">
      <c r="A2069" s="8">
        <v>56201</v>
      </c>
      <c r="B2069" s="8" t="s">
        <v>3483</v>
      </c>
    </row>
    <row r="2070" spans="1:2">
      <c r="A2070" s="8">
        <v>56202</v>
      </c>
      <c r="B2070" s="8" t="s">
        <v>3484</v>
      </c>
    </row>
    <row r="2071" spans="1:2">
      <c r="A2071" s="8">
        <v>56203</v>
      </c>
      <c r="B2071" s="8" t="s">
        <v>3485</v>
      </c>
    </row>
    <row r="2072" spans="1:2">
      <c r="A2072" s="8">
        <v>56204</v>
      </c>
      <c r="B2072" s="8" t="s">
        <v>3486</v>
      </c>
    </row>
    <row r="2073" spans="1:2">
      <c r="A2073" s="8">
        <v>56205</v>
      </c>
      <c r="B2073" s="8" t="s">
        <v>3487</v>
      </c>
    </row>
    <row r="2074" spans="1:2">
      <c r="A2074" s="8">
        <v>56206</v>
      </c>
      <c r="B2074" s="8" t="s">
        <v>3488</v>
      </c>
    </row>
    <row r="2075" spans="1:2">
      <c r="A2075" s="8">
        <v>56207</v>
      </c>
      <c r="B2075" s="8" t="s">
        <v>3489</v>
      </c>
    </row>
    <row r="2076" spans="1:2">
      <c r="A2076" s="8">
        <v>56208</v>
      </c>
      <c r="B2076" s="8" t="s">
        <v>3490</v>
      </c>
    </row>
    <row r="2077" spans="1:2">
      <c r="A2077" s="8">
        <v>56209</v>
      </c>
      <c r="B2077" s="8" t="s">
        <v>3491</v>
      </c>
    </row>
    <row r="2078" spans="1:2">
      <c r="A2078" s="8">
        <v>56210</v>
      </c>
      <c r="B2078" s="8" t="s">
        <v>3492</v>
      </c>
    </row>
    <row r="2079" spans="1:2">
      <c r="A2079" s="8">
        <v>56211</v>
      </c>
      <c r="B2079" s="8" t="s">
        <v>3493</v>
      </c>
    </row>
    <row r="2080" spans="1:2">
      <c r="A2080" s="8">
        <v>56212</v>
      </c>
      <c r="B2080" s="8" t="s">
        <v>3494</v>
      </c>
    </row>
    <row r="2081" spans="1:2">
      <c r="A2081" s="8">
        <v>56213</v>
      </c>
      <c r="B2081" s="8" t="s">
        <v>3495</v>
      </c>
    </row>
    <row r="2082" spans="1:2">
      <c r="A2082" s="8">
        <v>56214</v>
      </c>
      <c r="B2082" s="8" t="s">
        <v>3496</v>
      </c>
    </row>
    <row r="2083" spans="1:2">
      <c r="A2083" s="8">
        <v>56215</v>
      </c>
      <c r="B2083" s="8" t="s">
        <v>3497</v>
      </c>
    </row>
    <row r="2084" spans="1:2">
      <c r="A2084" s="8">
        <v>56216</v>
      </c>
      <c r="B2084" s="8" t="s">
        <v>3498</v>
      </c>
    </row>
    <row r="2085" spans="1:2">
      <c r="A2085" s="8">
        <v>56217</v>
      </c>
      <c r="B2085" s="8" t="s">
        <v>3499</v>
      </c>
    </row>
    <row r="2086" spans="1:2">
      <c r="A2086" s="8">
        <v>56218</v>
      </c>
      <c r="B2086" s="8" t="s">
        <v>8823</v>
      </c>
    </row>
    <row r="2087" spans="1:2">
      <c r="A2087" s="8">
        <v>56219</v>
      </c>
      <c r="B2087" s="8" t="s">
        <v>3500</v>
      </c>
    </row>
    <row r="2088" spans="1:2">
      <c r="A2088" s="8">
        <v>56220</v>
      </c>
      <c r="B2088" s="8" t="s">
        <v>3501</v>
      </c>
    </row>
    <row r="2089" spans="1:2">
      <c r="A2089" s="8">
        <v>56221</v>
      </c>
      <c r="B2089" s="8" t="s">
        <v>3502</v>
      </c>
    </row>
    <row r="2090" spans="1:2">
      <c r="A2090" s="8">
        <v>56222</v>
      </c>
      <c r="B2090" s="8" t="s">
        <v>3503</v>
      </c>
    </row>
    <row r="2091" spans="1:2">
      <c r="A2091" s="8">
        <v>56223</v>
      </c>
      <c r="B2091" s="8" t="s">
        <v>3504</v>
      </c>
    </row>
    <row r="2092" spans="1:2">
      <c r="A2092" s="8">
        <v>56224</v>
      </c>
      <c r="B2092" s="8" t="s">
        <v>3505</v>
      </c>
    </row>
    <row r="2093" spans="1:2">
      <c r="A2093" s="8">
        <v>56225</v>
      </c>
      <c r="B2093" s="8" t="s">
        <v>3506</v>
      </c>
    </row>
    <row r="2094" spans="1:2">
      <c r="A2094" s="8">
        <v>56226</v>
      </c>
      <c r="B2094" s="8" t="s">
        <v>3507</v>
      </c>
    </row>
    <row r="2095" spans="1:2">
      <c r="A2095" s="8">
        <v>56227</v>
      </c>
      <c r="B2095" s="8" t="s">
        <v>3508</v>
      </c>
    </row>
    <row r="2096" spans="1:2">
      <c r="A2096" s="8">
        <v>56228</v>
      </c>
      <c r="B2096" s="8" t="s">
        <v>3509</v>
      </c>
    </row>
    <row r="2097" spans="1:2">
      <c r="A2097" s="8">
        <v>56229</v>
      </c>
      <c r="B2097" s="8" t="s">
        <v>3510</v>
      </c>
    </row>
    <row r="2098" spans="1:2">
      <c r="A2098" s="8">
        <v>56230</v>
      </c>
      <c r="B2098" s="8" t="s">
        <v>3511</v>
      </c>
    </row>
    <row r="2099" spans="1:2">
      <c r="A2099" s="8">
        <v>56231</v>
      </c>
      <c r="B2099" s="8" t="s">
        <v>3512</v>
      </c>
    </row>
    <row r="2100" spans="1:2">
      <c r="A2100" s="8">
        <v>56232</v>
      </c>
      <c r="B2100" s="8" t="s">
        <v>3513</v>
      </c>
    </row>
    <row r="2101" spans="1:2">
      <c r="A2101" s="8">
        <v>56233</v>
      </c>
      <c r="B2101" s="8" t="s">
        <v>3514</v>
      </c>
    </row>
    <row r="2102" spans="1:2">
      <c r="A2102" s="8">
        <v>56234</v>
      </c>
      <c r="B2102" s="8" t="s">
        <v>3515</v>
      </c>
    </row>
    <row r="2103" spans="1:2">
      <c r="A2103" s="8">
        <v>56235</v>
      </c>
      <c r="B2103" s="8" t="s">
        <v>3516</v>
      </c>
    </row>
    <row r="2104" spans="1:2">
      <c r="A2104" s="8">
        <v>56236</v>
      </c>
      <c r="B2104" s="8" t="s">
        <v>3517</v>
      </c>
    </row>
    <row r="2105" spans="1:2">
      <c r="A2105" s="8">
        <v>56237</v>
      </c>
      <c r="B2105" s="8" t="s">
        <v>3518</v>
      </c>
    </row>
    <row r="2106" spans="1:2">
      <c r="A2106" s="8">
        <v>56238</v>
      </c>
      <c r="B2106" s="8" t="s">
        <v>3519</v>
      </c>
    </row>
    <row r="2107" spans="1:2">
      <c r="A2107" s="8">
        <v>56239</v>
      </c>
      <c r="B2107" s="8" t="s">
        <v>3520</v>
      </c>
    </row>
    <row r="2108" spans="1:2">
      <c r="A2108" s="8">
        <v>56240</v>
      </c>
      <c r="B2108" s="8" t="s">
        <v>3521</v>
      </c>
    </row>
    <row r="2109" spans="1:2">
      <c r="A2109" s="8">
        <v>56241</v>
      </c>
      <c r="B2109" s="8" t="s">
        <v>3522</v>
      </c>
    </row>
    <row r="2110" spans="1:2">
      <c r="A2110" s="8">
        <v>56242</v>
      </c>
      <c r="B2110" s="8" t="s">
        <v>3523</v>
      </c>
    </row>
    <row r="2111" spans="1:2">
      <c r="A2111" s="8">
        <v>57001</v>
      </c>
      <c r="B2111" s="8" t="s">
        <v>3524</v>
      </c>
    </row>
    <row r="2112" spans="1:2">
      <c r="A2112" s="8">
        <v>57002</v>
      </c>
      <c r="B2112" s="8" t="s">
        <v>3525</v>
      </c>
    </row>
    <row r="2113" spans="1:2">
      <c r="A2113" s="8">
        <v>57003</v>
      </c>
      <c r="B2113" s="8" t="s">
        <v>3526</v>
      </c>
    </row>
    <row r="2114" spans="1:2">
      <c r="A2114" s="8">
        <v>57004</v>
      </c>
      <c r="B2114" s="8" t="s">
        <v>3527</v>
      </c>
    </row>
    <row r="2115" spans="1:2">
      <c r="A2115" s="8">
        <v>57005</v>
      </c>
      <c r="B2115" s="8" t="s">
        <v>3528</v>
      </c>
    </row>
    <row r="2116" spans="1:2">
      <c r="A2116" s="8">
        <v>57006</v>
      </c>
      <c r="B2116" s="8" t="s">
        <v>3529</v>
      </c>
    </row>
    <row r="2117" spans="1:2">
      <c r="A2117" s="8">
        <v>57007</v>
      </c>
      <c r="B2117" s="8" t="s">
        <v>3530</v>
      </c>
    </row>
    <row r="2118" spans="1:2">
      <c r="A2118" s="8">
        <v>57008</v>
      </c>
      <c r="B2118" s="8" t="s">
        <v>3531</v>
      </c>
    </row>
    <row r="2119" spans="1:2">
      <c r="A2119" s="8">
        <v>57009</v>
      </c>
      <c r="B2119" s="8" t="s">
        <v>3532</v>
      </c>
    </row>
    <row r="2120" spans="1:2">
      <c r="A2120" s="8">
        <v>57010</v>
      </c>
      <c r="B2120" s="8" t="s">
        <v>3533</v>
      </c>
    </row>
    <row r="2121" spans="1:2">
      <c r="A2121" s="8">
        <v>57011</v>
      </c>
      <c r="B2121" s="8" t="s">
        <v>3534</v>
      </c>
    </row>
    <row r="2122" spans="1:2">
      <c r="A2122" s="8">
        <v>57012</v>
      </c>
      <c r="B2122" s="8" t="s">
        <v>3535</v>
      </c>
    </row>
    <row r="2123" spans="1:2">
      <c r="A2123" s="8">
        <v>57013</v>
      </c>
      <c r="B2123" s="8" t="s">
        <v>3536</v>
      </c>
    </row>
    <row r="2124" spans="1:2">
      <c r="A2124" s="8">
        <v>57014</v>
      </c>
      <c r="B2124" s="8" t="s">
        <v>3537</v>
      </c>
    </row>
    <row r="2125" spans="1:2">
      <c r="A2125" s="8">
        <v>57015</v>
      </c>
      <c r="B2125" s="8" t="s">
        <v>3538</v>
      </c>
    </row>
    <row r="2126" spans="1:2">
      <c r="A2126" s="8">
        <v>57016</v>
      </c>
      <c r="B2126" s="8" t="s">
        <v>3539</v>
      </c>
    </row>
    <row r="2127" spans="1:2">
      <c r="A2127" s="8">
        <v>57017</v>
      </c>
      <c r="B2127" s="8" t="s">
        <v>3540</v>
      </c>
    </row>
    <row r="2128" spans="1:2">
      <c r="A2128" s="8">
        <v>57018</v>
      </c>
      <c r="B2128" s="8" t="s">
        <v>3541</v>
      </c>
    </row>
    <row r="2129" spans="1:2">
      <c r="A2129" s="8">
        <v>57019</v>
      </c>
      <c r="B2129" s="8" t="s">
        <v>3542</v>
      </c>
    </row>
    <row r="2130" spans="1:2">
      <c r="A2130" s="8">
        <v>57020</v>
      </c>
      <c r="B2130" s="8" t="s">
        <v>3543</v>
      </c>
    </row>
    <row r="2131" spans="1:2">
      <c r="A2131" s="8">
        <v>57021</v>
      </c>
      <c r="B2131" s="8" t="s">
        <v>3544</v>
      </c>
    </row>
    <row r="2132" spans="1:2">
      <c r="A2132" s="8">
        <v>57022</v>
      </c>
      <c r="B2132" s="8" t="s">
        <v>3545</v>
      </c>
    </row>
    <row r="2133" spans="1:2">
      <c r="A2133" s="8">
        <v>57023</v>
      </c>
      <c r="B2133" s="8" t="s">
        <v>3546</v>
      </c>
    </row>
    <row r="2134" spans="1:2">
      <c r="A2134" s="8">
        <v>57024</v>
      </c>
      <c r="B2134" s="8" t="s">
        <v>3547</v>
      </c>
    </row>
    <row r="2135" spans="1:2">
      <c r="A2135" s="8">
        <v>57025</v>
      </c>
      <c r="B2135" s="8" t="s">
        <v>3548</v>
      </c>
    </row>
    <row r="2136" spans="1:2">
      <c r="A2136" s="8">
        <v>57026</v>
      </c>
      <c r="B2136" s="8" t="s">
        <v>3549</v>
      </c>
    </row>
    <row r="2137" spans="1:2">
      <c r="A2137" s="8">
        <v>57027</v>
      </c>
      <c r="B2137" s="8" t="s">
        <v>3550</v>
      </c>
    </row>
    <row r="2138" spans="1:2">
      <c r="A2138" s="8">
        <v>57028</v>
      </c>
      <c r="B2138" s="8" t="s">
        <v>3551</v>
      </c>
    </row>
    <row r="2139" spans="1:2">
      <c r="A2139" s="8">
        <v>57029</v>
      </c>
      <c r="B2139" s="8" t="s">
        <v>3552</v>
      </c>
    </row>
    <row r="2140" spans="1:2">
      <c r="A2140" s="8">
        <v>57030</v>
      </c>
      <c r="B2140" s="8" t="s">
        <v>3553</v>
      </c>
    </row>
    <row r="2141" spans="1:2">
      <c r="A2141" s="8">
        <v>57031</v>
      </c>
      <c r="B2141" s="8" t="s">
        <v>3554</v>
      </c>
    </row>
    <row r="2142" spans="1:2">
      <c r="A2142" s="8">
        <v>57032</v>
      </c>
      <c r="B2142" s="8" t="s">
        <v>3555</v>
      </c>
    </row>
    <row r="2143" spans="1:2">
      <c r="A2143" s="8">
        <v>57033</v>
      </c>
      <c r="B2143" s="8" t="s">
        <v>3556</v>
      </c>
    </row>
    <row r="2144" spans="1:2">
      <c r="A2144" s="8">
        <v>57034</v>
      </c>
      <c r="B2144" s="8" t="s">
        <v>3557</v>
      </c>
    </row>
    <row r="2145" spans="1:2">
      <c r="A2145" s="8">
        <v>57035</v>
      </c>
      <c r="B2145" s="8" t="s">
        <v>3558</v>
      </c>
    </row>
    <row r="2146" spans="1:2">
      <c r="A2146" s="8">
        <v>57036</v>
      </c>
      <c r="B2146" s="8" t="s">
        <v>3559</v>
      </c>
    </row>
    <row r="2147" spans="1:2">
      <c r="A2147" s="8">
        <v>57037</v>
      </c>
      <c r="B2147" s="8" t="s">
        <v>3560</v>
      </c>
    </row>
    <row r="2148" spans="1:2">
      <c r="A2148" s="8">
        <v>57038</v>
      </c>
      <c r="B2148" s="8" t="s">
        <v>3561</v>
      </c>
    </row>
    <row r="2149" spans="1:2">
      <c r="A2149" s="8">
        <v>57039</v>
      </c>
      <c r="B2149" s="8" t="s">
        <v>3562</v>
      </c>
    </row>
    <row r="2150" spans="1:2">
      <c r="A2150" s="8">
        <v>57040</v>
      </c>
      <c r="B2150" s="8" t="s">
        <v>3563</v>
      </c>
    </row>
    <row r="2151" spans="1:2">
      <c r="A2151" s="8">
        <v>57041</v>
      </c>
      <c r="B2151" s="8" t="s">
        <v>3564</v>
      </c>
    </row>
    <row r="2152" spans="1:2">
      <c r="A2152" s="8">
        <v>57042</v>
      </c>
      <c r="B2152" s="8" t="s">
        <v>3565</v>
      </c>
    </row>
    <row r="2153" spans="1:2">
      <c r="A2153" s="8">
        <v>57043</v>
      </c>
      <c r="B2153" s="8" t="s">
        <v>3566</v>
      </c>
    </row>
    <row r="2154" spans="1:2">
      <c r="A2154" s="8">
        <v>57044</v>
      </c>
      <c r="B2154" s="8" t="s">
        <v>3567</v>
      </c>
    </row>
    <row r="2155" spans="1:2">
      <c r="A2155" s="8">
        <v>57045</v>
      </c>
      <c r="B2155" s="8" t="s">
        <v>3568</v>
      </c>
    </row>
    <row r="2156" spans="1:2">
      <c r="A2156" s="8">
        <v>57046</v>
      </c>
      <c r="B2156" s="8" t="s">
        <v>3569</v>
      </c>
    </row>
    <row r="2157" spans="1:2">
      <c r="A2157" s="8">
        <v>57047</v>
      </c>
      <c r="B2157" s="8" t="s">
        <v>3570</v>
      </c>
    </row>
    <row r="2158" spans="1:2">
      <c r="A2158" s="8">
        <v>57048</v>
      </c>
      <c r="B2158" s="8" t="s">
        <v>3571</v>
      </c>
    </row>
    <row r="2159" spans="1:2">
      <c r="A2159" s="8">
        <v>57049</v>
      </c>
      <c r="B2159" s="8" t="s">
        <v>3572</v>
      </c>
    </row>
    <row r="2160" spans="1:2">
      <c r="A2160" s="8">
        <v>57050</v>
      </c>
      <c r="B2160" s="8" t="s">
        <v>3573</v>
      </c>
    </row>
    <row r="2161" spans="1:2">
      <c r="A2161" s="8">
        <v>57051</v>
      </c>
      <c r="B2161" s="8" t="s">
        <v>3574</v>
      </c>
    </row>
    <row r="2162" spans="1:2">
      <c r="A2162" s="8">
        <v>57052</v>
      </c>
      <c r="B2162" s="8" t="s">
        <v>3575</v>
      </c>
    </row>
    <row r="2163" spans="1:2">
      <c r="A2163" s="8">
        <v>57053</v>
      </c>
      <c r="B2163" s="8" t="s">
        <v>3576</v>
      </c>
    </row>
    <row r="2164" spans="1:2">
      <c r="A2164" s="8">
        <v>57054</v>
      </c>
      <c r="B2164" s="8" t="s">
        <v>3577</v>
      </c>
    </row>
    <row r="2165" spans="1:2">
      <c r="A2165" s="8">
        <v>57055</v>
      </c>
      <c r="B2165" s="8" t="s">
        <v>3578</v>
      </c>
    </row>
    <row r="2166" spans="1:2">
      <c r="A2166" s="8">
        <v>57056</v>
      </c>
      <c r="B2166" s="8" t="s">
        <v>3579</v>
      </c>
    </row>
    <row r="2167" spans="1:2">
      <c r="A2167" s="8">
        <v>57057</v>
      </c>
      <c r="B2167" s="8" t="s">
        <v>3580</v>
      </c>
    </row>
    <row r="2168" spans="1:2">
      <c r="A2168" s="8">
        <v>57058</v>
      </c>
      <c r="B2168" s="8" t="s">
        <v>3581</v>
      </c>
    </row>
    <row r="2169" spans="1:2">
      <c r="A2169" s="8">
        <v>57059</v>
      </c>
      <c r="B2169" s="8" t="s">
        <v>3582</v>
      </c>
    </row>
    <row r="2170" spans="1:2">
      <c r="A2170" s="8">
        <v>57060</v>
      </c>
      <c r="B2170" s="8" t="s">
        <v>3583</v>
      </c>
    </row>
    <row r="2171" spans="1:2">
      <c r="A2171" s="8">
        <v>57061</v>
      </c>
      <c r="B2171" s="8" t="s">
        <v>3584</v>
      </c>
    </row>
    <row r="2172" spans="1:2">
      <c r="A2172" s="8">
        <v>57062</v>
      </c>
      <c r="B2172" s="8" t="s">
        <v>3585</v>
      </c>
    </row>
    <row r="2173" spans="1:2">
      <c r="A2173" s="8">
        <v>57063</v>
      </c>
      <c r="B2173" s="8" t="s">
        <v>3586</v>
      </c>
    </row>
    <row r="2174" spans="1:2">
      <c r="A2174">
        <v>57064</v>
      </c>
      <c r="B2174" t="s">
        <v>3587</v>
      </c>
    </row>
    <row r="2175" spans="1:2">
      <c r="A2175">
        <v>57201</v>
      </c>
      <c r="B2175" t="s">
        <v>3588</v>
      </c>
    </row>
    <row r="2176" spans="1:2">
      <c r="A2176">
        <v>57202</v>
      </c>
      <c r="B2176" t="s">
        <v>3589</v>
      </c>
    </row>
    <row r="2177" spans="1:2">
      <c r="A2177">
        <v>57203</v>
      </c>
      <c r="B2177" t="s">
        <v>3590</v>
      </c>
    </row>
    <row r="2178" spans="1:2">
      <c r="A2178">
        <v>57204</v>
      </c>
      <c r="B2178" t="s">
        <v>3591</v>
      </c>
    </row>
    <row r="2179" spans="1:2">
      <c r="A2179">
        <v>57205</v>
      </c>
      <c r="B2179" t="s">
        <v>3592</v>
      </c>
    </row>
    <row r="2180" spans="1:2">
      <c r="A2180">
        <v>57206</v>
      </c>
      <c r="B2180" t="s">
        <v>3593</v>
      </c>
    </row>
    <row r="2181" spans="1:2">
      <c r="A2181">
        <v>57207</v>
      </c>
      <c r="B2181" t="s">
        <v>3594</v>
      </c>
    </row>
    <row r="2182" spans="1:2">
      <c r="A2182">
        <v>57208</v>
      </c>
      <c r="B2182" t="s">
        <v>3595</v>
      </c>
    </row>
    <row r="2183" spans="1:2">
      <c r="A2183">
        <v>57209</v>
      </c>
      <c r="B2183" t="s">
        <v>3596</v>
      </c>
    </row>
    <row r="2184" spans="1:2">
      <c r="A2184">
        <v>57210</v>
      </c>
      <c r="B2184" t="s">
        <v>3597</v>
      </c>
    </row>
    <row r="2185" spans="1:2">
      <c r="A2185">
        <v>57211</v>
      </c>
      <c r="B2185" t="s">
        <v>3598</v>
      </c>
    </row>
    <row r="2186" spans="1:2">
      <c r="A2186">
        <v>57212</v>
      </c>
      <c r="B2186" t="s">
        <v>3599</v>
      </c>
    </row>
    <row r="2187" spans="1:2">
      <c r="A2187">
        <v>57213</v>
      </c>
      <c r="B2187" t="s">
        <v>3600</v>
      </c>
    </row>
    <row r="2188" spans="1:2">
      <c r="A2188">
        <v>57214</v>
      </c>
      <c r="B2188" t="s">
        <v>3601</v>
      </c>
    </row>
    <row r="2189" spans="1:2">
      <c r="A2189">
        <v>57215</v>
      </c>
      <c r="B2189" t="s">
        <v>3602</v>
      </c>
    </row>
    <row r="2190" spans="1:2">
      <c r="A2190">
        <v>57216</v>
      </c>
      <c r="B2190" t="s">
        <v>3603</v>
      </c>
    </row>
    <row r="2191" spans="1:2">
      <c r="A2191">
        <v>57217</v>
      </c>
      <c r="B2191" t="s">
        <v>3604</v>
      </c>
    </row>
    <row r="2192" spans="1:2">
      <c r="A2192">
        <v>57218</v>
      </c>
      <c r="B2192" t="s">
        <v>8824</v>
      </c>
    </row>
    <row r="2193" spans="1:2">
      <c r="A2193">
        <v>57219</v>
      </c>
      <c r="B2193" t="s">
        <v>3605</v>
      </c>
    </row>
    <row r="2194" spans="1:2">
      <c r="A2194">
        <v>57220</v>
      </c>
      <c r="B2194" t="s">
        <v>3606</v>
      </c>
    </row>
    <row r="2195" spans="1:2">
      <c r="A2195">
        <v>57221</v>
      </c>
      <c r="B2195" t="s">
        <v>3607</v>
      </c>
    </row>
    <row r="2196" spans="1:2">
      <c r="A2196">
        <v>57222</v>
      </c>
      <c r="B2196" t="s">
        <v>3608</v>
      </c>
    </row>
    <row r="2197" spans="1:2">
      <c r="A2197">
        <v>57223</v>
      </c>
      <c r="B2197" t="s">
        <v>3609</v>
      </c>
    </row>
    <row r="2198" spans="1:2">
      <c r="A2198">
        <v>57224</v>
      </c>
      <c r="B2198" t="s">
        <v>3610</v>
      </c>
    </row>
    <row r="2199" spans="1:2">
      <c r="A2199">
        <v>57225</v>
      </c>
      <c r="B2199" t="s">
        <v>3611</v>
      </c>
    </row>
    <row r="2200" spans="1:2">
      <c r="A2200">
        <v>57226</v>
      </c>
      <c r="B2200" t="s">
        <v>3612</v>
      </c>
    </row>
    <row r="2201" spans="1:2">
      <c r="A2201">
        <v>57227</v>
      </c>
      <c r="B2201" t="s">
        <v>3613</v>
      </c>
    </row>
    <row r="2202" spans="1:2">
      <c r="A2202">
        <v>57228</v>
      </c>
      <c r="B2202" t="s">
        <v>3614</v>
      </c>
    </row>
    <row r="2203" spans="1:2">
      <c r="A2203">
        <v>57229</v>
      </c>
      <c r="B2203" t="s">
        <v>3615</v>
      </c>
    </row>
    <row r="2204" spans="1:2">
      <c r="A2204">
        <v>57230</v>
      </c>
      <c r="B2204" t="s">
        <v>3616</v>
      </c>
    </row>
    <row r="2205" spans="1:2">
      <c r="A2205">
        <v>57231</v>
      </c>
      <c r="B2205" t="s">
        <v>3617</v>
      </c>
    </row>
    <row r="2206" spans="1:2">
      <c r="A2206">
        <v>57232</v>
      </c>
      <c r="B2206" t="s">
        <v>3618</v>
      </c>
    </row>
    <row r="2207" spans="1:2">
      <c r="A2207">
        <v>57233</v>
      </c>
      <c r="B2207" t="s">
        <v>3619</v>
      </c>
    </row>
    <row r="2208" spans="1:2">
      <c r="A2208">
        <v>57234</v>
      </c>
      <c r="B2208" t="s">
        <v>3620</v>
      </c>
    </row>
    <row r="2209" spans="1:2">
      <c r="A2209" s="8">
        <v>57235</v>
      </c>
      <c r="B2209" s="8" t="s">
        <v>3621</v>
      </c>
    </row>
    <row r="2210" spans="1:2">
      <c r="A2210" s="8">
        <v>57236</v>
      </c>
      <c r="B2210" s="8" t="s">
        <v>3622</v>
      </c>
    </row>
    <row r="2211" spans="1:2">
      <c r="A2211" s="8">
        <v>57237</v>
      </c>
      <c r="B2211" s="8" t="s">
        <v>3623</v>
      </c>
    </row>
    <row r="2212" spans="1:2">
      <c r="A2212" s="8">
        <v>57238</v>
      </c>
      <c r="B2212" s="8" t="s">
        <v>3624</v>
      </c>
    </row>
    <row r="2213" spans="1:2">
      <c r="A2213" s="8">
        <v>57239</v>
      </c>
      <c r="B2213" s="8" t="s">
        <v>3625</v>
      </c>
    </row>
    <row r="2214" spans="1:2">
      <c r="A2214" s="8">
        <v>57240</v>
      </c>
      <c r="B2214" s="8" t="s">
        <v>3626</v>
      </c>
    </row>
    <row r="2215" spans="1:2">
      <c r="A2215" s="8">
        <v>57241</v>
      </c>
      <c r="B2215" s="8" t="s">
        <v>3627</v>
      </c>
    </row>
    <row r="2216" spans="1:2">
      <c r="A2216" s="8">
        <v>57242</v>
      </c>
      <c r="B2216" s="8" t="s">
        <v>3628</v>
      </c>
    </row>
    <row r="2218" spans="1:2">
      <c r="A2218" s="8">
        <v>62001</v>
      </c>
      <c r="B2218" s="8" t="s">
        <v>8162</v>
      </c>
    </row>
    <row r="2219" spans="1:2">
      <c r="A2219" s="8">
        <v>62002</v>
      </c>
      <c r="B2219" s="8" t="s">
        <v>8163</v>
      </c>
    </row>
    <row r="2220" spans="1:2">
      <c r="A2220" s="8">
        <v>62003</v>
      </c>
      <c r="B2220" s="8" t="s">
        <v>8164</v>
      </c>
    </row>
    <row r="2221" spans="1:2">
      <c r="A2221" s="8">
        <v>62004</v>
      </c>
      <c r="B2221" s="8" t="s">
        <v>8825</v>
      </c>
    </row>
    <row r="2222" spans="1:2">
      <c r="A2222" s="8">
        <v>62005</v>
      </c>
      <c r="B2222" s="8" t="s">
        <v>8165</v>
      </c>
    </row>
    <row r="2223" spans="1:2">
      <c r="A2223" s="8">
        <v>62006</v>
      </c>
      <c r="B2223" s="8" t="s">
        <v>8166</v>
      </c>
    </row>
    <row r="2224" spans="1:2">
      <c r="A2224" s="8">
        <v>62007</v>
      </c>
      <c r="B2224" s="8" t="s">
        <v>8167</v>
      </c>
    </row>
    <row r="2225" spans="1:2">
      <c r="A2225" s="8">
        <v>62008</v>
      </c>
      <c r="B2225" s="8" t="s">
        <v>8826</v>
      </c>
    </row>
    <row r="2226" spans="1:2">
      <c r="A2226" s="8">
        <v>62009</v>
      </c>
      <c r="B2226" s="8" t="s">
        <v>8168</v>
      </c>
    </row>
    <row r="2227" spans="1:2">
      <c r="A2227" s="8">
        <v>62010</v>
      </c>
      <c r="B2227" s="8" t="s">
        <v>8169</v>
      </c>
    </row>
    <row r="2228" spans="1:2">
      <c r="A2228" s="8">
        <v>62011</v>
      </c>
      <c r="B2228" s="8" t="s">
        <v>8170</v>
      </c>
    </row>
    <row r="2229" spans="1:2">
      <c r="A2229" s="8">
        <v>62012</v>
      </c>
      <c r="B2229" s="8" t="s">
        <v>8171</v>
      </c>
    </row>
    <row r="2230" spans="1:2">
      <c r="A2230" s="8">
        <v>62013</v>
      </c>
      <c r="B2230" s="8" t="s">
        <v>8172</v>
      </c>
    </row>
    <row r="2231" spans="1:2">
      <c r="A2231" s="8">
        <v>65001</v>
      </c>
      <c r="B2231" s="8">
        <v>1</v>
      </c>
    </row>
    <row r="2232" spans="1:2">
      <c r="A2232" s="8">
        <v>65002</v>
      </c>
      <c r="B2232" s="8">
        <v>2</v>
      </c>
    </row>
    <row r="2233" spans="1:2">
      <c r="A2233" s="8">
        <v>65003</v>
      </c>
      <c r="B2233" s="8">
        <v>3</v>
      </c>
    </row>
    <row r="2234" spans="1:2">
      <c r="A2234" s="8">
        <v>65004</v>
      </c>
      <c r="B2234" s="8">
        <v>4</v>
      </c>
    </row>
    <row r="2235" spans="1:2">
      <c r="A2235" s="8">
        <v>65005</v>
      </c>
      <c r="B2235" s="8">
        <v>5</v>
      </c>
    </row>
    <row r="2236" spans="1:2">
      <c r="A2236" s="8">
        <v>65006</v>
      </c>
      <c r="B2236" s="8">
        <v>6</v>
      </c>
    </row>
    <row r="2237" spans="1:2">
      <c r="A2237" s="8">
        <v>65007</v>
      </c>
      <c r="B2237" s="8">
        <v>9</v>
      </c>
    </row>
    <row r="2238" spans="1:2">
      <c r="A2238" s="8">
        <v>65008</v>
      </c>
      <c r="B2238" s="8">
        <v>10</v>
      </c>
    </row>
    <row r="2239" spans="1:2">
      <c r="A2239" s="8">
        <v>65009</v>
      </c>
      <c r="B2239" s="8">
        <v>11</v>
      </c>
    </row>
    <row r="2240" spans="1:2">
      <c r="A2240" s="8">
        <v>65010</v>
      </c>
      <c r="B2240" s="8">
        <v>12</v>
      </c>
    </row>
    <row r="2241" spans="1:2">
      <c r="A2241" s="8">
        <v>65011</v>
      </c>
      <c r="B2241" s="8">
        <v>13</v>
      </c>
    </row>
    <row r="2242" spans="1:2">
      <c r="A2242" s="8">
        <v>65012</v>
      </c>
      <c r="B2242" s="8">
        <v>14</v>
      </c>
    </row>
    <row r="2243" spans="1:2">
      <c r="A2243" s="8">
        <v>65013</v>
      </c>
      <c r="B2243" s="8">
        <v>7</v>
      </c>
    </row>
    <row r="2244" spans="1:2">
      <c r="A2244" s="8">
        <v>65014</v>
      </c>
      <c r="B2244" s="8">
        <v>8</v>
      </c>
    </row>
    <row r="2245" spans="1:2">
      <c r="A2245" s="8">
        <v>65015</v>
      </c>
      <c r="B2245" s="8">
        <v>15</v>
      </c>
    </row>
    <row r="2246" spans="1:2">
      <c r="A2246" s="8">
        <v>65016</v>
      </c>
      <c r="B2246" s="8">
        <v>16</v>
      </c>
    </row>
  </sheetData>
  <phoneticPr fontId="1" type="noConversion"/>
  <conditionalFormatting sqref="A44 A46 A48 A50">
    <cfRule type="containsText" dxfId="239" priority="4" operator="containsText" text="红水晶">
      <formula>NOT(ISERROR(SEARCH("红水晶",A44)))</formula>
    </cfRule>
  </conditionalFormatting>
  <conditionalFormatting sqref="A52:A71">
    <cfRule type="containsText" dxfId="238" priority="1" operator="containsText" text="红水晶">
      <formula>NOT(ISERROR(SEARCH("红水晶",A52)))</formula>
    </cfRule>
  </conditionalFormatting>
  <conditionalFormatting sqref="A44 A46 A48 A50">
    <cfRule type="duplicateValues" dxfId="237" priority="5"/>
  </conditionalFormatting>
  <conditionalFormatting sqref="A45 A47 A49 A51">
    <cfRule type="duplicateValues" dxfId="236" priority="3"/>
  </conditionalFormatting>
  <conditionalFormatting sqref="A45 A47 A49 A51">
    <cfRule type="containsText" dxfId="235" priority="2" operator="containsText" text="红水晶">
      <formula>NOT(ISERROR(SEARCH("红水晶",A45)))</formula>
    </cfRule>
  </conditionalFormatting>
  <conditionalFormatting sqref="A52:A71">
    <cfRule type="duplicateValues" dxfId="234" priority="6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52"/>
  <sheetViews>
    <sheetView workbookViewId="0">
      <pane xSplit="2" ySplit="2" topLeftCell="C313" activePane="bottomRight" state="frozen"/>
      <selection pane="topRight" activeCell="C1" sqref="C1"/>
      <selection pane="bottomLeft" activeCell="A3" sqref="A3"/>
      <selection pane="bottomRight" activeCell="I338" sqref="I338"/>
    </sheetView>
  </sheetViews>
  <sheetFormatPr defaultColWidth="8.875" defaultRowHeight="13.5"/>
  <cols>
    <col min="1" max="1" width="5.125" style="39" bestFit="1" customWidth="1"/>
    <col min="2" max="2" width="15.125" style="39" bestFit="1" customWidth="1"/>
    <col min="3" max="3" width="6.5" style="39" bestFit="1" customWidth="1"/>
    <col min="4" max="4" width="34" style="40" customWidth="1"/>
    <col min="5" max="5" width="18.125" style="40" customWidth="1"/>
    <col min="6" max="8" width="9.625" style="40" customWidth="1"/>
    <col min="9" max="9" width="7.625" style="39" bestFit="1" customWidth="1"/>
    <col min="10" max="10" width="8.625" style="39" bestFit="1" customWidth="1"/>
    <col min="11" max="11" width="11.375" style="39" bestFit="1" customWidth="1"/>
    <col min="12" max="12" width="8.375" style="39" bestFit="1" customWidth="1"/>
    <col min="13" max="14" width="7.625" style="39" bestFit="1" customWidth="1"/>
    <col min="15" max="16" width="5.5" style="39" bestFit="1" customWidth="1"/>
    <col min="17" max="17" width="6.625" style="39" bestFit="1" customWidth="1"/>
    <col min="18" max="18" width="5.375" style="39" bestFit="1" customWidth="1"/>
    <col min="19" max="19" width="7" style="39" bestFit="1" customWidth="1"/>
    <col min="20" max="20" width="5.625" style="39" bestFit="1" customWidth="1"/>
    <col min="21" max="22" width="5.625" style="39" customWidth="1"/>
    <col min="23" max="23" width="7.5" style="39" bestFit="1" customWidth="1"/>
    <col min="24" max="24" width="15.125" style="39" bestFit="1" customWidth="1"/>
    <col min="25" max="25" width="7.625" style="39" bestFit="1" customWidth="1"/>
    <col min="26" max="16384" width="8.875" style="39"/>
  </cols>
  <sheetData>
    <row r="1" spans="1:25">
      <c r="A1" s="39" t="s">
        <v>1566</v>
      </c>
      <c r="B1" s="39" t="s">
        <v>1567</v>
      </c>
      <c r="C1" s="39" t="s">
        <v>1568</v>
      </c>
      <c r="D1" s="40" t="s">
        <v>1570</v>
      </c>
      <c r="F1" s="40" t="s">
        <v>1538</v>
      </c>
      <c r="G1" s="40" t="s">
        <v>1539</v>
      </c>
      <c r="H1" s="40" t="s">
        <v>1540</v>
      </c>
      <c r="I1" s="39" t="s">
        <v>143</v>
      </c>
      <c r="J1" s="39" t="s">
        <v>1572</v>
      </c>
      <c r="K1" s="39" t="s">
        <v>1573</v>
      </c>
      <c r="L1" s="39" t="s">
        <v>9046</v>
      </c>
      <c r="M1" s="39" t="s">
        <v>2122</v>
      </c>
      <c r="N1" s="39" t="s">
        <v>2123</v>
      </c>
      <c r="O1" s="39" t="s">
        <v>377</v>
      </c>
      <c r="P1" s="39" t="s">
        <v>2124</v>
      </c>
      <c r="Q1" s="39" t="s">
        <v>134</v>
      </c>
      <c r="R1" s="39" t="s">
        <v>135</v>
      </c>
      <c r="S1" s="39" t="s">
        <v>136</v>
      </c>
      <c r="T1" s="39" t="s">
        <v>137</v>
      </c>
      <c r="W1" s="39" t="s">
        <v>1576</v>
      </c>
    </row>
    <row r="2" spans="1:25">
      <c r="A2" s="39" t="s">
        <v>1565</v>
      </c>
      <c r="B2" s="39" t="s">
        <v>3</v>
      </c>
      <c r="C2" s="39" t="s">
        <v>1445</v>
      </c>
      <c r="D2" s="40" t="s">
        <v>1569</v>
      </c>
      <c r="E2" s="41" t="s">
        <v>6009</v>
      </c>
      <c r="I2" s="39" t="s">
        <v>1571</v>
      </c>
      <c r="J2" s="39" t="s">
        <v>9225</v>
      </c>
      <c r="K2" s="39" t="s">
        <v>127</v>
      </c>
      <c r="L2" s="39" t="s">
        <v>9047</v>
      </c>
      <c r="M2" s="39" t="s">
        <v>2120</v>
      </c>
      <c r="N2" s="39" t="s">
        <v>2125</v>
      </c>
      <c r="O2" s="39" t="s">
        <v>378</v>
      </c>
      <c r="P2" s="39" t="s">
        <v>2121</v>
      </c>
      <c r="Q2" s="39" t="s">
        <v>138</v>
      </c>
      <c r="R2" s="39" t="s">
        <v>139</v>
      </c>
      <c r="S2" s="39" t="s">
        <v>140</v>
      </c>
      <c r="T2" s="39" t="s">
        <v>141</v>
      </c>
      <c r="W2" s="39" t="s">
        <v>1574</v>
      </c>
      <c r="Y2" s="39" t="s">
        <v>1575</v>
      </c>
    </row>
    <row r="3" spans="1:25">
      <c r="A3" s="39">
        <v>1</v>
      </c>
      <c r="B3" s="42" t="s">
        <v>659</v>
      </c>
      <c r="C3" s="39">
        <v>201</v>
      </c>
      <c r="D3" s="40" t="s">
        <v>1430</v>
      </c>
      <c r="E3" s="40" t="s">
        <v>6019</v>
      </c>
      <c r="I3" s="39">
        <v>5</v>
      </c>
      <c r="J3" s="39">
        <v>0</v>
      </c>
      <c r="K3" s="39">
        <v>1</v>
      </c>
      <c r="L3" s="39">
        <v>208</v>
      </c>
      <c r="M3" s="81">
        <v>12</v>
      </c>
      <c r="N3" s="81">
        <v>12</v>
      </c>
      <c r="O3" s="81">
        <v>13</v>
      </c>
      <c r="P3" s="81">
        <v>13</v>
      </c>
      <c r="Q3" s="81">
        <v>112</v>
      </c>
      <c r="R3" s="81">
        <v>98</v>
      </c>
      <c r="S3" s="81">
        <v>55</v>
      </c>
      <c r="T3" s="81">
        <v>55</v>
      </c>
      <c r="U3">
        <f t="shared" ref="U3:U66" si="0">IF(I3="","",L3*0.5+M3*3+N3*3+O3*5+P3*3+Q3+R3+S3+T3)</f>
        <v>600</v>
      </c>
      <c r="V3" s="39">
        <f>IF(I3="","",VLOOKUP(I3,'装备&amp;材料'!$D$1:$E$6,2,FALSE))</f>
        <v>600</v>
      </c>
      <c r="W3" s="39">
        <v>101</v>
      </c>
      <c r="X3" s="39" t="str">
        <f>VLOOKUP(W3,技能!A:B,2)</f>
        <v>殉道者</v>
      </c>
      <c r="Y3" s="39">
        <v>1</v>
      </c>
    </row>
    <row r="4" spans="1:25">
      <c r="L4" s="39" t="s">
        <v>84</v>
      </c>
      <c r="U4" t="str">
        <f t="shared" si="0"/>
        <v/>
      </c>
      <c r="V4" s="39" t="str">
        <f>IF(I4="","",VLOOKUP(I4,'装备&amp;材料'!$D$1:$E$6,2,FALSE))</f>
        <v/>
      </c>
      <c r="W4" s="39">
        <v>102</v>
      </c>
      <c r="X4" s="39" t="str">
        <f>VLOOKUP(W4,技能!A:B,2)</f>
        <v>血祭</v>
      </c>
      <c r="Y4" s="39">
        <v>2</v>
      </c>
    </row>
    <row r="5" spans="1:25">
      <c r="L5" s="39" t="s">
        <v>84</v>
      </c>
      <c r="U5" t="str">
        <f t="shared" si="0"/>
        <v/>
      </c>
      <c r="V5" s="39" t="str">
        <f>IF(I5="","",VLOOKUP(I5,'装备&amp;材料'!$D$1:$E$6,2,FALSE))</f>
        <v/>
      </c>
      <c r="W5" s="39">
        <v>103</v>
      </c>
      <c r="X5" s="39" t="str">
        <f>VLOOKUP(W5,技能!A:B,2)</f>
        <v>虚空</v>
      </c>
      <c r="Y5" s="39">
        <v>3</v>
      </c>
    </row>
    <row r="6" spans="1:25">
      <c r="L6" s="39" t="s">
        <v>84</v>
      </c>
      <c r="U6" t="str">
        <f t="shared" si="0"/>
        <v/>
      </c>
      <c r="V6" s="39" t="str">
        <f>IF(I6="","",VLOOKUP(I6,'装备&amp;材料'!$D$1:$E$6,2,FALSE))</f>
        <v/>
      </c>
      <c r="W6" s="39">
        <v>104</v>
      </c>
      <c r="X6" s="39" t="str">
        <f>VLOOKUP(W6,技能!A:B,2)</f>
        <v>天生狂战</v>
      </c>
      <c r="Y6" s="39">
        <v>4</v>
      </c>
    </row>
    <row r="7" spans="1:25">
      <c r="L7" s="39" t="s">
        <v>84</v>
      </c>
      <c r="U7" t="str">
        <f t="shared" si="0"/>
        <v/>
      </c>
      <c r="V7" s="39" t="str">
        <f>IF(I7="","",VLOOKUP(I7,'装备&amp;材料'!$D$1:$E$6,2,FALSE))</f>
        <v/>
      </c>
      <c r="W7" s="39">
        <v>105</v>
      </c>
      <c r="X7" s="39" t="str">
        <f>VLOOKUP(W7,技能!A:B,2)</f>
        <v>愤怒掌控</v>
      </c>
      <c r="Y7" s="39">
        <v>5</v>
      </c>
    </row>
    <row r="8" spans="1:25">
      <c r="A8" s="39">
        <v>2</v>
      </c>
      <c r="B8" s="43" t="s">
        <v>660</v>
      </c>
      <c r="C8" s="39">
        <v>202</v>
      </c>
      <c r="D8" s="40" t="s">
        <v>1383</v>
      </c>
      <c r="I8" s="39">
        <v>4</v>
      </c>
      <c r="J8" s="39">
        <v>1</v>
      </c>
      <c r="K8" s="39">
        <v>1</v>
      </c>
      <c r="L8" s="39">
        <v>164</v>
      </c>
      <c r="M8" s="82">
        <v>9</v>
      </c>
      <c r="N8" s="82">
        <v>9</v>
      </c>
      <c r="O8" s="82">
        <v>9</v>
      </c>
      <c r="P8" s="82">
        <v>9</v>
      </c>
      <c r="Q8" s="82">
        <v>105</v>
      </c>
      <c r="R8" s="82">
        <v>91</v>
      </c>
      <c r="S8" s="82">
        <v>48</v>
      </c>
      <c r="T8" s="82">
        <v>48</v>
      </c>
      <c r="U8">
        <f t="shared" si="0"/>
        <v>500</v>
      </c>
      <c r="V8" s="39">
        <f>IF(I8="","",VLOOKUP(I8,'装备&amp;材料'!$D$1:$E$6,2,FALSE))</f>
        <v>500</v>
      </c>
      <c r="W8" s="39">
        <v>201</v>
      </c>
      <c r="X8" s="39" t="str">
        <f>VLOOKUP(W8,技能!A:B,2)</f>
        <v>万物凋零</v>
      </c>
      <c r="Y8" s="39">
        <v>1</v>
      </c>
    </row>
    <row r="9" spans="1:25">
      <c r="L9" s="39" t="s">
        <v>84</v>
      </c>
      <c r="U9" t="str">
        <f t="shared" si="0"/>
        <v/>
      </c>
      <c r="V9" s="39" t="str">
        <f>IF(I9="","",VLOOKUP(I9,'装备&amp;材料'!$D$1:$E$6,2,FALSE))</f>
        <v/>
      </c>
      <c r="W9" s="39">
        <v>202</v>
      </c>
      <c r="X9" s="39" t="str">
        <f>VLOOKUP(W9,技能!A:B,2)</f>
        <v>赎罪</v>
      </c>
      <c r="Y9" s="39">
        <v>2</v>
      </c>
    </row>
    <row r="10" spans="1:25">
      <c r="L10" s="39" t="s">
        <v>84</v>
      </c>
      <c r="U10" t="str">
        <f t="shared" si="0"/>
        <v/>
      </c>
      <c r="V10" s="39" t="str">
        <f>IF(I10="","",VLOOKUP(I10,'装备&amp;材料'!$D$1:$E$6,2,FALSE))</f>
        <v/>
      </c>
      <c r="W10" s="39">
        <v>203</v>
      </c>
      <c r="X10" s="39" t="str">
        <f>VLOOKUP(W10,技能!A:B,2)</f>
        <v>获取</v>
      </c>
      <c r="Y10" s="39">
        <v>3</v>
      </c>
    </row>
    <row r="11" spans="1:25">
      <c r="L11" s="39" t="s">
        <v>84</v>
      </c>
      <c r="U11" t="str">
        <f t="shared" si="0"/>
        <v/>
      </c>
      <c r="V11" s="39" t="str">
        <f>IF(I11="","",VLOOKUP(I11,'装备&amp;材料'!$D$1:$E$6,2,FALSE))</f>
        <v/>
      </c>
      <c r="W11" s="39">
        <v>204</v>
      </c>
      <c r="X11" s="39" t="str">
        <f>VLOOKUP(W11,技能!A:B,2)</f>
        <v>上帝之胄</v>
      </c>
      <c r="Y11" s="39">
        <v>4</v>
      </c>
    </row>
    <row r="12" spans="1:25">
      <c r="L12" s="39" t="s">
        <v>84</v>
      </c>
      <c r="U12" t="str">
        <f t="shared" si="0"/>
        <v/>
      </c>
      <c r="V12" s="39" t="str">
        <f>IF(I12="","",VLOOKUP(I12,'装备&amp;材料'!$D$1:$E$6,2,FALSE))</f>
        <v/>
      </c>
      <c r="W12" s="39">
        <v>205</v>
      </c>
      <c r="X12" s="39" t="str">
        <f>VLOOKUP(W12,技能!A:B,2)</f>
        <v>神罚</v>
      </c>
      <c r="Y12" s="39">
        <v>5</v>
      </c>
    </row>
    <row r="13" spans="1:25">
      <c r="A13" s="39">
        <v>3</v>
      </c>
      <c r="B13" s="42" t="s">
        <v>661</v>
      </c>
      <c r="C13" s="39">
        <v>203</v>
      </c>
      <c r="D13" s="40" t="s">
        <v>1431</v>
      </c>
      <c r="I13" s="39">
        <v>5</v>
      </c>
      <c r="J13" s="39">
        <v>5</v>
      </c>
      <c r="K13" s="39">
        <v>1</v>
      </c>
      <c r="L13" s="39">
        <v>198</v>
      </c>
      <c r="M13" s="81">
        <v>12</v>
      </c>
      <c r="N13" s="81">
        <v>12</v>
      </c>
      <c r="O13" s="81">
        <v>12</v>
      </c>
      <c r="P13" s="81">
        <v>12</v>
      </c>
      <c r="Q13" s="81">
        <v>105</v>
      </c>
      <c r="R13" s="81">
        <v>112</v>
      </c>
      <c r="S13" s="81">
        <v>58</v>
      </c>
      <c r="T13" s="81">
        <v>58</v>
      </c>
      <c r="U13">
        <f t="shared" si="0"/>
        <v>600</v>
      </c>
      <c r="V13" s="39">
        <f>IF(I13="","",VLOOKUP(I13,'装备&amp;材料'!$D$1:$E$6,2,FALSE))</f>
        <v>600</v>
      </c>
      <c r="W13" s="39">
        <v>301</v>
      </c>
      <c r="X13" s="39" t="str">
        <f>VLOOKUP(W13,技能!A:B,2)</f>
        <v>万蛇噬体</v>
      </c>
      <c r="Y13" s="39">
        <v>1</v>
      </c>
    </row>
    <row r="14" spans="1:25">
      <c r="L14" s="39" t="s">
        <v>84</v>
      </c>
      <c r="U14" t="str">
        <f t="shared" si="0"/>
        <v/>
      </c>
      <c r="V14" s="39" t="str">
        <f>IF(I14="","",VLOOKUP(I14,'装备&amp;材料'!$D$1:$E$6,2,FALSE))</f>
        <v/>
      </c>
      <c r="W14" s="39">
        <v>302</v>
      </c>
      <c r="X14" s="39" t="str">
        <f>VLOOKUP(W14,技能!A:B,2)</f>
        <v>巫毒仪式</v>
      </c>
      <c r="Y14" s="39">
        <v>2</v>
      </c>
    </row>
    <row r="15" spans="1:25">
      <c r="L15" s="39" t="s">
        <v>84</v>
      </c>
      <c r="U15" t="str">
        <f t="shared" si="0"/>
        <v/>
      </c>
      <c r="V15" s="39" t="str">
        <f>IF(I15="","",VLOOKUP(I15,'装备&amp;材料'!$D$1:$E$6,2,FALSE))</f>
        <v/>
      </c>
      <c r="W15" s="39">
        <v>303</v>
      </c>
      <c r="X15" s="39" t="str">
        <f>VLOOKUP(W15,技能!A:B,2)</f>
        <v>致命毒药</v>
      </c>
      <c r="Y15" s="39">
        <v>3</v>
      </c>
    </row>
    <row r="16" spans="1:25">
      <c r="L16" s="39" t="s">
        <v>84</v>
      </c>
      <c r="U16" t="str">
        <f t="shared" si="0"/>
        <v/>
      </c>
      <c r="V16" s="39" t="str">
        <f>IF(I16="","",VLOOKUP(I16,'装备&amp;材料'!$D$1:$E$6,2,FALSE))</f>
        <v/>
      </c>
      <c r="W16" s="39">
        <v>304</v>
      </c>
      <c r="X16" s="39" t="str">
        <f>VLOOKUP(W16,技能!A:B,2)</f>
        <v>穿透迷雾</v>
      </c>
      <c r="Y16" s="39">
        <v>4</v>
      </c>
    </row>
    <row r="17" spans="1:25">
      <c r="L17" s="39" t="s">
        <v>84</v>
      </c>
      <c r="U17" t="str">
        <f t="shared" si="0"/>
        <v/>
      </c>
      <c r="V17" s="39" t="str">
        <f>IF(I17="","",VLOOKUP(I17,'装备&amp;材料'!$D$1:$E$6,2,FALSE))</f>
        <v/>
      </c>
      <c r="W17" s="39">
        <v>305</v>
      </c>
      <c r="X17" s="39" t="str">
        <f>VLOOKUP(W17,技能!A:B,2)</f>
        <v>沼泽协调</v>
      </c>
      <c r="Y17" s="39">
        <v>5</v>
      </c>
    </row>
    <row r="18" spans="1:25" ht="27">
      <c r="A18" s="39">
        <v>4</v>
      </c>
      <c r="B18" s="43" t="s">
        <v>662</v>
      </c>
      <c r="C18" s="39">
        <v>15</v>
      </c>
      <c r="D18" s="40" t="s">
        <v>6020</v>
      </c>
      <c r="E18" s="40" t="s">
        <v>6019</v>
      </c>
      <c r="I18" s="39">
        <v>4</v>
      </c>
      <c r="J18" s="39">
        <v>3</v>
      </c>
      <c r="K18" s="39">
        <v>1</v>
      </c>
      <c r="L18" s="39">
        <v>178</v>
      </c>
      <c r="M18" s="82">
        <v>9</v>
      </c>
      <c r="N18" s="82">
        <v>9</v>
      </c>
      <c r="O18" s="82">
        <v>9</v>
      </c>
      <c r="P18" s="82">
        <v>9</v>
      </c>
      <c r="Q18" s="82">
        <v>98</v>
      </c>
      <c r="R18" s="82">
        <v>91</v>
      </c>
      <c r="S18" s="82">
        <v>48</v>
      </c>
      <c r="T18" s="82">
        <v>48</v>
      </c>
      <c r="U18">
        <f t="shared" si="0"/>
        <v>500</v>
      </c>
      <c r="V18" s="39">
        <f>IF(I18="","",VLOOKUP(I18,'装备&amp;材料'!$D$1:$E$6,2,FALSE))</f>
        <v>500</v>
      </c>
      <c r="W18" s="39">
        <v>401</v>
      </c>
      <c r="X18" s="39" t="str">
        <f>VLOOKUP(W18,技能!A:B,2)</f>
        <v>冲心·隔空打穴</v>
      </c>
      <c r="Y18" s="39">
        <v>1</v>
      </c>
    </row>
    <row r="19" spans="1:25">
      <c r="L19" s="39" t="s">
        <v>84</v>
      </c>
      <c r="U19" t="str">
        <f t="shared" si="0"/>
        <v/>
      </c>
      <c r="V19" s="39" t="str">
        <f>IF(I19="","",VLOOKUP(I19,'装备&amp;材料'!$D$1:$E$6,2,FALSE))</f>
        <v/>
      </c>
      <c r="W19" s="39">
        <v>402</v>
      </c>
      <c r="X19" s="39" t="str">
        <f>VLOOKUP(W19,技能!A:B,2)</f>
        <v>七相·爆裂杀意</v>
      </c>
      <c r="Y19" s="39">
        <v>2</v>
      </c>
    </row>
    <row r="20" spans="1:25">
      <c r="L20" s="39" t="s">
        <v>84</v>
      </c>
      <c r="U20" t="str">
        <f t="shared" si="0"/>
        <v/>
      </c>
      <c r="V20" s="39" t="str">
        <f>IF(I20="","",VLOOKUP(I20,'装备&amp;材料'!$D$1:$E$6,2,FALSE))</f>
        <v/>
      </c>
      <c r="W20" s="39">
        <v>403</v>
      </c>
      <c r="X20" s="39" t="str">
        <f>VLOOKUP(W20,技能!A:B,2)</f>
        <v>超凡入圣</v>
      </c>
      <c r="Y20" s="39">
        <v>3</v>
      </c>
    </row>
    <row r="21" spans="1:25">
      <c r="L21" s="39" t="s">
        <v>84</v>
      </c>
      <c r="U21" t="str">
        <f t="shared" si="0"/>
        <v/>
      </c>
      <c r="V21" s="39" t="str">
        <f>IF(I21="","",VLOOKUP(I21,'装备&amp;材料'!$D$1:$E$6,2,FALSE))</f>
        <v/>
      </c>
      <c r="W21" s="39">
        <v>404</v>
      </c>
      <c r="X21" s="39" t="str">
        <f>VLOOKUP(W21,技能!A:B,2)</f>
        <v>先知先觉</v>
      </c>
      <c r="Y21" s="39">
        <v>4</v>
      </c>
    </row>
    <row r="22" spans="1:25">
      <c r="L22" s="39" t="s">
        <v>84</v>
      </c>
      <c r="U22" t="str">
        <f t="shared" si="0"/>
        <v/>
      </c>
      <c r="V22" s="39" t="str">
        <f>IF(I22="","",VLOOKUP(I22,'装备&amp;材料'!$D$1:$E$6,2,FALSE))</f>
        <v/>
      </c>
      <c r="W22" s="39">
        <v>405</v>
      </c>
      <c r="X22" s="39" t="str">
        <f>VLOOKUP(W22,技能!A:B,2)</f>
        <v>无情猛袭</v>
      </c>
      <c r="Y22" s="39">
        <v>5</v>
      </c>
    </row>
    <row r="23" spans="1:25" ht="27">
      <c r="A23" s="39">
        <v>5</v>
      </c>
      <c r="B23" s="44" t="s">
        <v>663</v>
      </c>
      <c r="C23" s="39">
        <v>265</v>
      </c>
      <c r="D23" s="40" t="s">
        <v>7061</v>
      </c>
      <c r="E23" s="40" t="s">
        <v>7096</v>
      </c>
      <c r="I23" s="39">
        <v>6</v>
      </c>
      <c r="J23" s="39">
        <v>4</v>
      </c>
      <c r="K23" s="39">
        <v>1</v>
      </c>
      <c r="L23" s="39">
        <v>274</v>
      </c>
      <c r="M23" s="83">
        <v>17</v>
      </c>
      <c r="N23" s="83">
        <v>17</v>
      </c>
      <c r="O23" s="83">
        <v>16</v>
      </c>
      <c r="P23" s="83">
        <v>17</v>
      </c>
      <c r="Q23" s="83">
        <v>129</v>
      </c>
      <c r="R23" s="83">
        <v>115</v>
      </c>
      <c r="S23" s="83">
        <v>68</v>
      </c>
      <c r="T23" s="83">
        <v>68</v>
      </c>
      <c r="U23">
        <f t="shared" si="0"/>
        <v>750</v>
      </c>
      <c r="V23" s="39">
        <f>IF(I23="","",VLOOKUP(I23,'装备&amp;材料'!$D$1:$E$6,2,FALSE))</f>
        <v>750</v>
      </c>
      <c r="W23" s="39">
        <v>501</v>
      </c>
      <c r="X23" s="39" t="str">
        <f>VLOOKUP(W23,技能!A:B,2)</f>
        <v>血魂诅咒</v>
      </c>
      <c r="Y23" s="39">
        <v>1</v>
      </c>
    </row>
    <row r="24" spans="1:25">
      <c r="A24" s="39" t="s">
        <v>84</v>
      </c>
      <c r="C24" s="39" t="s">
        <v>84</v>
      </c>
      <c r="L24" s="39" t="s">
        <v>84</v>
      </c>
      <c r="U24" t="str">
        <f t="shared" si="0"/>
        <v/>
      </c>
      <c r="V24" s="39" t="str">
        <f>IF(I24="","",VLOOKUP(I24,'装备&amp;材料'!$D$1:$E$6,2,FALSE))</f>
        <v/>
      </c>
      <c r="W24" s="39">
        <v>502</v>
      </c>
      <c r="X24" s="39" t="str">
        <f>VLOOKUP(W24,技能!A:B,2)</f>
        <v>深渊恐惧</v>
      </c>
      <c r="Y24" s="39">
        <v>2</v>
      </c>
    </row>
    <row r="25" spans="1:25">
      <c r="A25" s="39" t="s">
        <v>84</v>
      </c>
      <c r="C25" s="39" t="s">
        <v>84</v>
      </c>
      <c r="L25" s="39" t="s">
        <v>84</v>
      </c>
      <c r="U25" t="str">
        <f t="shared" si="0"/>
        <v/>
      </c>
      <c r="V25" s="39" t="str">
        <f>IF(I25="","",VLOOKUP(I25,'装备&amp;材料'!$D$1:$E$6,2,FALSE))</f>
        <v/>
      </c>
      <c r="W25" s="39">
        <v>503</v>
      </c>
      <c r="X25" s="39" t="str">
        <f>VLOOKUP(W25,技能!A:B,2)</f>
        <v>末日烈焰</v>
      </c>
      <c r="Y25" s="39">
        <v>3</v>
      </c>
    </row>
    <row r="26" spans="1:25">
      <c r="A26" s="39" t="s">
        <v>84</v>
      </c>
      <c r="C26" s="39" t="s">
        <v>84</v>
      </c>
      <c r="L26" s="39" t="s">
        <v>84</v>
      </c>
      <c r="U26" t="str">
        <f t="shared" si="0"/>
        <v/>
      </c>
      <c r="V26" s="39" t="str">
        <f>IF(I26="","",VLOOKUP(I26,'装备&amp;材料'!$D$1:$E$6,2,FALSE))</f>
        <v/>
      </c>
      <c r="W26" s="39">
        <v>504</v>
      </c>
      <c r="X26" s="39" t="str">
        <f>VLOOKUP(W26,技能!A:B,2)</f>
        <v>灵魂腐蚀</v>
      </c>
      <c r="Y26" s="39">
        <v>4</v>
      </c>
    </row>
    <row r="27" spans="1:25" ht="14.25">
      <c r="A27" s="39" t="s">
        <v>84</v>
      </c>
      <c r="C27" s="39" t="s">
        <v>84</v>
      </c>
      <c r="L27" s="39" t="s">
        <v>84</v>
      </c>
      <c r="M27" s="46"/>
      <c r="N27" s="46"/>
      <c r="O27" s="46"/>
      <c r="P27" s="46"/>
      <c r="Q27" s="46"/>
      <c r="R27" s="46"/>
      <c r="S27" s="46"/>
      <c r="T27" s="46"/>
      <c r="U27" t="str">
        <f t="shared" si="0"/>
        <v/>
      </c>
      <c r="V27" s="39" t="str">
        <f>IF(I27="","",VLOOKUP(I27,'装备&amp;材料'!$D$1:$E$6,2,FALSE))</f>
        <v/>
      </c>
      <c r="W27" s="39">
        <v>505</v>
      </c>
      <c r="X27" s="39" t="str">
        <f>VLOOKUP(W27,技能!A:B,2)</f>
        <v>死镰收割</v>
      </c>
      <c r="Y27" s="39">
        <v>5</v>
      </c>
    </row>
    <row r="28" spans="1:25" ht="14.25">
      <c r="A28" s="39">
        <v>6</v>
      </c>
      <c r="B28" s="45" t="s">
        <v>664</v>
      </c>
      <c r="C28" s="39">
        <v>206</v>
      </c>
      <c r="D28" s="40" t="s">
        <v>841</v>
      </c>
      <c r="I28" s="39">
        <v>6</v>
      </c>
      <c r="J28" s="39">
        <v>2</v>
      </c>
      <c r="K28" s="39">
        <v>1</v>
      </c>
      <c r="L28" s="46">
        <v>266</v>
      </c>
      <c r="M28" s="83">
        <v>17</v>
      </c>
      <c r="N28" s="83">
        <v>17</v>
      </c>
      <c r="O28" s="83">
        <v>16</v>
      </c>
      <c r="P28" s="83">
        <v>16</v>
      </c>
      <c r="Q28" s="83">
        <v>129</v>
      </c>
      <c r="R28" s="83">
        <v>122</v>
      </c>
      <c r="S28" s="83">
        <v>68</v>
      </c>
      <c r="T28" s="83">
        <v>68</v>
      </c>
      <c r="U28">
        <f t="shared" si="0"/>
        <v>750</v>
      </c>
      <c r="V28" s="39">
        <f>IF(I28="","",VLOOKUP(I28,'装备&amp;材料'!$D$1:$E$6,2,FALSE))</f>
        <v>750</v>
      </c>
      <c r="W28" s="39">
        <v>601</v>
      </c>
      <c r="X28" s="39" t="str">
        <f>VLOOKUP(W28,技能!A:B,2)</f>
        <v>月之祝福</v>
      </c>
      <c r="Y28" s="39">
        <v>1</v>
      </c>
    </row>
    <row r="29" spans="1:25">
      <c r="A29" s="39" t="s">
        <v>84</v>
      </c>
      <c r="C29" s="39" t="s">
        <v>84</v>
      </c>
      <c r="L29" s="39" t="s">
        <v>84</v>
      </c>
      <c r="U29" t="str">
        <f t="shared" si="0"/>
        <v/>
      </c>
      <c r="V29" s="39" t="str">
        <f>IF(I29="","",VLOOKUP(I29,'装备&amp;材料'!$D$1:$E$6,2,FALSE))</f>
        <v/>
      </c>
      <c r="W29" s="39">
        <v>602</v>
      </c>
      <c r="X29" s="39" t="str">
        <f>VLOOKUP(W29,技能!A:B,2)</f>
        <v>加速箭雨</v>
      </c>
      <c r="Y29" s="39">
        <v>2</v>
      </c>
    </row>
    <row r="30" spans="1:25">
      <c r="A30" s="39" t="s">
        <v>84</v>
      </c>
      <c r="C30" s="39" t="s">
        <v>84</v>
      </c>
      <c r="L30" s="39" t="s">
        <v>84</v>
      </c>
      <c r="U30" t="str">
        <f t="shared" si="0"/>
        <v/>
      </c>
      <c r="V30" s="39" t="str">
        <f>IF(I30="","",VLOOKUP(I30,'装备&amp;材料'!$D$1:$E$6,2,FALSE))</f>
        <v/>
      </c>
      <c r="W30" s="39">
        <v>603</v>
      </c>
      <c r="X30" s="39" t="str">
        <f>VLOOKUP(W30,技能!A:B,2)</f>
        <v>射法·玉天贯</v>
      </c>
      <c r="Y30" s="39">
        <v>3</v>
      </c>
    </row>
    <row r="31" spans="1:25">
      <c r="A31" s="39" t="s">
        <v>84</v>
      </c>
      <c r="C31" s="39" t="s">
        <v>84</v>
      </c>
      <c r="L31" s="39" t="s">
        <v>84</v>
      </c>
      <c r="U31" t="str">
        <f t="shared" si="0"/>
        <v/>
      </c>
      <c r="V31" s="39" t="str">
        <f>IF(I31="","",VLOOKUP(I31,'装备&amp;材料'!$D$1:$E$6,2,FALSE))</f>
        <v/>
      </c>
      <c r="W31" s="39">
        <v>604</v>
      </c>
      <c r="X31" s="39" t="str">
        <f>VLOOKUP(W31,技能!A:B,2)</f>
        <v>月光之舞</v>
      </c>
      <c r="Y31" s="39">
        <v>4</v>
      </c>
    </row>
    <row r="32" spans="1:25">
      <c r="A32" s="39" t="s">
        <v>84</v>
      </c>
      <c r="C32" s="39" t="s">
        <v>84</v>
      </c>
      <c r="L32" s="39" t="s">
        <v>84</v>
      </c>
      <c r="U32" t="str">
        <f t="shared" si="0"/>
        <v/>
      </c>
      <c r="V32" s="39" t="str">
        <f>IF(I32="","",VLOOKUP(I32,'装备&amp;材料'!$D$1:$E$6,2,FALSE))</f>
        <v/>
      </c>
      <c r="W32" s="39">
        <v>605</v>
      </c>
      <c r="X32" s="39" t="str">
        <f>VLOOKUP(W32,技能!A:B,2)</f>
        <v>月之陷阱</v>
      </c>
      <c r="Y32" s="39">
        <v>5</v>
      </c>
    </row>
    <row r="33" spans="1:25">
      <c r="A33" s="39">
        <v>7</v>
      </c>
      <c r="B33" s="42" t="s">
        <v>665</v>
      </c>
      <c r="C33" s="39">
        <v>207</v>
      </c>
      <c r="D33" s="40" t="s">
        <v>842</v>
      </c>
      <c r="I33" s="39">
        <v>5</v>
      </c>
      <c r="J33" s="39">
        <v>5</v>
      </c>
      <c r="K33" s="39">
        <v>1</v>
      </c>
      <c r="L33" s="39">
        <v>186</v>
      </c>
      <c r="M33" s="81">
        <v>13</v>
      </c>
      <c r="N33" s="81">
        <v>13</v>
      </c>
      <c r="O33" s="81">
        <v>12</v>
      </c>
      <c r="P33" s="81">
        <v>14</v>
      </c>
      <c r="Q33" s="81">
        <v>105</v>
      </c>
      <c r="R33" s="81">
        <v>112</v>
      </c>
      <c r="S33" s="81">
        <v>55</v>
      </c>
      <c r="T33" s="81">
        <v>55</v>
      </c>
      <c r="U33">
        <f t="shared" si="0"/>
        <v>600</v>
      </c>
      <c r="V33" s="39">
        <f>IF(I33="","",VLOOKUP(I33,'装备&amp;材料'!$D$1:$E$6,2,FALSE))</f>
        <v>600</v>
      </c>
      <c r="W33" s="39">
        <v>701</v>
      </c>
      <c r="X33" s="39" t="str">
        <f>VLOOKUP(W33,技能!A:B,2)</f>
        <v>暗黑雾都</v>
      </c>
      <c r="Y33" s="39">
        <v>1</v>
      </c>
    </row>
    <row r="34" spans="1:25">
      <c r="A34" s="39" t="s">
        <v>84</v>
      </c>
      <c r="C34" s="39" t="s">
        <v>84</v>
      </c>
      <c r="L34" s="39" t="s">
        <v>84</v>
      </c>
      <c r="U34" t="str">
        <f t="shared" si="0"/>
        <v/>
      </c>
      <c r="V34" s="39" t="str">
        <f>IF(I34="","",VLOOKUP(I34,'装备&amp;材料'!$D$1:$E$6,2,FALSE))</f>
        <v/>
      </c>
      <c r="W34" s="39">
        <v>702</v>
      </c>
      <c r="X34" s="39" t="str">
        <f>VLOOKUP(W34,技能!A:B,2)</f>
        <v>来自地狱</v>
      </c>
      <c r="Y34" s="39">
        <v>2</v>
      </c>
    </row>
    <row r="35" spans="1:25">
      <c r="A35" s="39" t="s">
        <v>84</v>
      </c>
      <c r="C35" s="39" t="s">
        <v>84</v>
      </c>
      <c r="L35" s="39" t="s">
        <v>84</v>
      </c>
      <c r="U35" t="str">
        <f t="shared" si="0"/>
        <v/>
      </c>
      <c r="V35" s="39" t="str">
        <f>IF(I35="","",VLOOKUP(I35,'装备&amp;材料'!$D$1:$E$6,2,FALSE))</f>
        <v/>
      </c>
      <c r="W35" s="39">
        <v>703</v>
      </c>
      <c r="X35" s="39" t="str">
        <f>VLOOKUP(W35,技能!A:B,2)</f>
        <v>开膛手</v>
      </c>
      <c r="Y35" s="39">
        <v>3</v>
      </c>
    </row>
    <row r="36" spans="1:25">
      <c r="A36" s="39" t="s">
        <v>84</v>
      </c>
      <c r="C36" s="39" t="s">
        <v>84</v>
      </c>
      <c r="L36" s="39" t="s">
        <v>84</v>
      </c>
      <c r="U36" t="str">
        <f t="shared" si="0"/>
        <v/>
      </c>
      <c r="V36" s="39" t="str">
        <f>IF(I36="","",VLOOKUP(I36,'装备&amp;材料'!$D$1:$E$6,2,FALSE))</f>
        <v/>
      </c>
      <c r="W36" s="39">
        <v>704</v>
      </c>
      <c r="X36" s="39" t="str">
        <f>VLOOKUP(W36,技能!A:B,2)</f>
        <v>外科手术</v>
      </c>
      <c r="Y36" s="39">
        <v>4</v>
      </c>
    </row>
    <row r="37" spans="1:25" ht="14.25">
      <c r="A37" s="39" t="s">
        <v>84</v>
      </c>
      <c r="C37" s="39" t="s">
        <v>84</v>
      </c>
      <c r="L37" s="39" t="s">
        <v>84</v>
      </c>
      <c r="M37" s="46"/>
      <c r="N37" s="46"/>
      <c r="O37" s="46"/>
      <c r="P37" s="46"/>
      <c r="Q37" s="46"/>
      <c r="R37" s="46"/>
      <c r="S37" s="46"/>
      <c r="T37" s="46"/>
      <c r="U37" t="str">
        <f t="shared" si="0"/>
        <v/>
      </c>
      <c r="V37" s="39" t="str">
        <f>IF(I37="","",VLOOKUP(I37,'装备&amp;材料'!$D$1:$E$6,2,FALSE))</f>
        <v/>
      </c>
      <c r="W37" s="39">
        <v>705</v>
      </c>
      <c r="X37" s="39" t="str">
        <f>VLOOKUP(W37,技能!A:B,2)</f>
        <v>百年孤寂</v>
      </c>
      <c r="Y37" s="39">
        <v>5</v>
      </c>
    </row>
    <row r="38" spans="1:25" ht="14.25">
      <c r="A38" s="39">
        <v>8</v>
      </c>
      <c r="B38" s="45" t="s">
        <v>666</v>
      </c>
      <c r="C38" s="39">
        <v>208</v>
      </c>
      <c r="D38" s="40" t="s">
        <v>843</v>
      </c>
      <c r="I38" s="39">
        <v>6</v>
      </c>
      <c r="J38" s="39">
        <v>5</v>
      </c>
      <c r="K38" s="39">
        <v>0</v>
      </c>
      <c r="L38" s="46">
        <v>270</v>
      </c>
      <c r="M38" s="83">
        <v>17</v>
      </c>
      <c r="N38" s="83">
        <v>17</v>
      </c>
      <c r="O38" s="83">
        <v>17</v>
      </c>
      <c r="P38" s="83">
        <v>16</v>
      </c>
      <c r="Q38" s="83">
        <v>115</v>
      </c>
      <c r="R38" s="83">
        <v>129</v>
      </c>
      <c r="S38" s="83">
        <v>68</v>
      </c>
      <c r="T38" s="83">
        <v>68</v>
      </c>
      <c r="U38">
        <f t="shared" si="0"/>
        <v>750</v>
      </c>
      <c r="V38" s="39">
        <f>IF(I38="","",VLOOKUP(I38,'装备&amp;材料'!$D$1:$E$6,2,FALSE))</f>
        <v>750</v>
      </c>
      <c r="W38" s="39">
        <v>801</v>
      </c>
      <c r="X38" s="39" t="str">
        <f>VLOOKUP(W38,技能!A:B,2)</f>
        <v>禁卫军</v>
      </c>
      <c r="Y38" s="39">
        <v>1</v>
      </c>
    </row>
    <row r="39" spans="1:25">
      <c r="A39" s="39" t="s">
        <v>84</v>
      </c>
      <c r="C39" s="39" t="s">
        <v>84</v>
      </c>
      <c r="L39" s="39" t="s">
        <v>84</v>
      </c>
      <c r="U39" t="str">
        <f t="shared" si="0"/>
        <v/>
      </c>
      <c r="V39" s="39" t="str">
        <f>IF(I39="","",VLOOKUP(I39,'装备&amp;材料'!$D$1:$E$6,2,FALSE))</f>
        <v/>
      </c>
      <c r="W39" s="39">
        <v>802</v>
      </c>
      <c r="X39" s="39" t="str">
        <f>VLOOKUP(W39,技能!A:B,2)</f>
        <v>尖刃</v>
      </c>
      <c r="Y39" s="39">
        <v>2</v>
      </c>
    </row>
    <row r="40" spans="1:25">
      <c r="A40" s="39" t="s">
        <v>84</v>
      </c>
      <c r="C40" s="39" t="s">
        <v>84</v>
      </c>
      <c r="L40" s="39" t="s">
        <v>84</v>
      </c>
      <c r="U40" t="str">
        <f t="shared" si="0"/>
        <v/>
      </c>
      <c r="V40" s="39" t="str">
        <f>IF(I40="","",VLOOKUP(I40,'装备&amp;材料'!$D$1:$E$6,2,FALSE))</f>
        <v/>
      </c>
      <c r="W40" s="39">
        <v>803</v>
      </c>
      <c r="X40" s="39" t="str">
        <f>VLOOKUP(W40,技能!A:B,2)</f>
        <v>大帝之怒</v>
      </c>
      <c r="Y40" s="39">
        <v>3</v>
      </c>
    </row>
    <row r="41" spans="1:25">
      <c r="A41" s="39" t="s">
        <v>84</v>
      </c>
      <c r="C41" s="39" t="s">
        <v>84</v>
      </c>
      <c r="L41" s="39" t="s">
        <v>84</v>
      </c>
      <c r="U41" t="str">
        <f t="shared" si="0"/>
        <v/>
      </c>
      <c r="V41" s="39" t="str">
        <f>IF(I41="","",VLOOKUP(I41,'装备&amp;材料'!$D$1:$E$6,2,FALSE))</f>
        <v/>
      </c>
      <c r="W41" s="39">
        <v>804</v>
      </c>
      <c r="X41" s="39" t="str">
        <f>VLOOKUP(W41,技能!A:B,2)</f>
        <v>格挡</v>
      </c>
      <c r="Y41" s="39">
        <v>4</v>
      </c>
    </row>
    <row r="42" spans="1:25">
      <c r="A42" s="39" t="s">
        <v>84</v>
      </c>
      <c r="C42" s="39" t="s">
        <v>84</v>
      </c>
      <c r="L42" s="39" t="s">
        <v>84</v>
      </c>
      <c r="U42" t="str">
        <f t="shared" si="0"/>
        <v/>
      </c>
      <c r="V42" s="39" t="str">
        <f>IF(I42="","",VLOOKUP(I42,'装备&amp;材料'!$D$1:$E$6,2,FALSE))</f>
        <v/>
      </c>
      <c r="W42" s="39">
        <v>805</v>
      </c>
      <c r="X42" s="39" t="str">
        <f>VLOOKUP(W42,技能!A:B,2)</f>
        <v>时空利刃</v>
      </c>
      <c r="Y42" s="39">
        <v>5</v>
      </c>
    </row>
    <row r="43" spans="1:25">
      <c r="A43" s="39">
        <v>9</v>
      </c>
      <c r="B43" s="43" t="s">
        <v>667</v>
      </c>
      <c r="C43" s="39">
        <v>209</v>
      </c>
      <c r="D43" s="40" t="s">
        <v>1384</v>
      </c>
      <c r="E43" s="40" t="s">
        <v>6012</v>
      </c>
      <c r="I43" s="39">
        <v>4</v>
      </c>
      <c r="J43" s="39">
        <v>2</v>
      </c>
      <c r="K43" s="39">
        <v>1</v>
      </c>
      <c r="L43" s="39">
        <v>160</v>
      </c>
      <c r="M43" s="82">
        <v>10</v>
      </c>
      <c r="N43" s="82">
        <v>10</v>
      </c>
      <c r="O43" s="82">
        <v>9</v>
      </c>
      <c r="P43" s="82">
        <v>9</v>
      </c>
      <c r="Q43" s="82">
        <v>105</v>
      </c>
      <c r="R43" s="82">
        <v>91</v>
      </c>
      <c r="S43" s="82">
        <v>48</v>
      </c>
      <c r="T43" s="82">
        <v>44</v>
      </c>
      <c r="U43">
        <f t="shared" si="0"/>
        <v>500</v>
      </c>
      <c r="V43" s="39">
        <f>IF(I43="","",VLOOKUP(I43,'装备&amp;材料'!$D$1:$E$6,2,FALSE))</f>
        <v>500</v>
      </c>
      <c r="W43" s="39">
        <v>901</v>
      </c>
      <c r="X43" s="39" t="str">
        <f>VLOOKUP(W43,技能!A:B,2)</f>
        <v>穿透弹</v>
      </c>
      <c r="Y43" s="39">
        <v>1</v>
      </c>
    </row>
    <row r="44" spans="1:25">
      <c r="A44" s="39" t="s">
        <v>84</v>
      </c>
      <c r="C44" s="39" t="s">
        <v>84</v>
      </c>
      <c r="L44" s="39" t="s">
        <v>84</v>
      </c>
      <c r="U44" t="str">
        <f t="shared" si="0"/>
        <v/>
      </c>
      <c r="V44" s="39" t="str">
        <f>IF(I44="","",VLOOKUP(I44,'装备&amp;材料'!$D$1:$E$6,2,FALSE))</f>
        <v/>
      </c>
      <c r="W44" s="39">
        <v>902</v>
      </c>
      <c r="X44" s="39" t="str">
        <f>VLOOKUP(W44,技能!A:B,2)</f>
        <v>激素</v>
      </c>
      <c r="Y44" s="39">
        <v>2</v>
      </c>
    </row>
    <row r="45" spans="1:25">
      <c r="A45" s="39" t="s">
        <v>84</v>
      </c>
      <c r="C45" s="39" t="s">
        <v>84</v>
      </c>
      <c r="L45" s="39" t="s">
        <v>84</v>
      </c>
      <c r="U45" t="str">
        <f t="shared" si="0"/>
        <v/>
      </c>
      <c r="V45" s="39" t="str">
        <f>IF(I45="","",VLOOKUP(I45,'装备&amp;材料'!$D$1:$E$6,2,FALSE))</f>
        <v/>
      </c>
      <c r="W45" s="39">
        <v>903</v>
      </c>
      <c r="X45" s="39" t="str">
        <f>VLOOKUP(W45,技能!A:B,2)</f>
        <v>武器改造</v>
      </c>
      <c r="Y45" s="39">
        <v>3</v>
      </c>
    </row>
    <row r="46" spans="1:25">
      <c r="A46" s="39" t="s">
        <v>84</v>
      </c>
      <c r="C46" s="39" t="s">
        <v>84</v>
      </c>
      <c r="L46" s="39" t="s">
        <v>84</v>
      </c>
      <c r="U46" t="str">
        <f t="shared" si="0"/>
        <v/>
      </c>
      <c r="V46" s="39" t="str">
        <f>IF(I46="","",VLOOKUP(I46,'装备&amp;材料'!$D$1:$E$6,2,FALSE))</f>
        <v/>
      </c>
      <c r="W46" s="39">
        <v>904</v>
      </c>
      <c r="X46" s="39" t="str">
        <f>VLOOKUP(W46,技能!A:B,2)</f>
        <v>高级瞄准镜</v>
      </c>
      <c r="Y46" s="39">
        <v>4</v>
      </c>
    </row>
    <row r="47" spans="1:25">
      <c r="A47" s="39" t="s">
        <v>84</v>
      </c>
      <c r="C47" s="39" t="s">
        <v>84</v>
      </c>
      <c r="L47" s="39" t="s">
        <v>84</v>
      </c>
      <c r="U47" t="str">
        <f t="shared" si="0"/>
        <v/>
      </c>
      <c r="V47" s="39" t="str">
        <f>IF(I47="","",VLOOKUP(I47,'装备&amp;材料'!$D$1:$E$6,2,FALSE))</f>
        <v/>
      </c>
      <c r="W47" s="39">
        <v>905</v>
      </c>
      <c r="X47" s="39" t="str">
        <f>VLOOKUP(W47,技能!A:B,2)</f>
        <v>吸血打击</v>
      </c>
      <c r="Y47" s="39">
        <v>5</v>
      </c>
    </row>
    <row r="48" spans="1:25">
      <c r="A48" s="39">
        <v>10</v>
      </c>
      <c r="B48" s="42" t="s">
        <v>668</v>
      </c>
      <c r="C48" s="39">
        <v>33</v>
      </c>
      <c r="D48" s="40" t="s">
        <v>844</v>
      </c>
      <c r="I48" s="39">
        <v>5</v>
      </c>
      <c r="J48" s="39">
        <v>1</v>
      </c>
      <c r="K48" s="39">
        <v>1</v>
      </c>
      <c r="L48" s="39">
        <v>182</v>
      </c>
      <c r="M48" s="81">
        <v>14</v>
      </c>
      <c r="N48" s="81">
        <v>14</v>
      </c>
      <c r="O48" s="81">
        <v>13</v>
      </c>
      <c r="P48" s="81">
        <v>11</v>
      </c>
      <c r="Q48" s="81">
        <v>112</v>
      </c>
      <c r="R48" s="81">
        <v>105</v>
      </c>
      <c r="S48" s="81">
        <v>55</v>
      </c>
      <c r="T48" s="81">
        <v>55</v>
      </c>
      <c r="U48">
        <f t="shared" si="0"/>
        <v>600</v>
      </c>
      <c r="V48" s="39">
        <f>IF(I48="","",VLOOKUP(I48,'装备&amp;材料'!$D$1:$E$6,2,FALSE))</f>
        <v>600</v>
      </c>
      <c r="W48" s="39">
        <v>1001</v>
      </c>
      <c r="X48" s="39" t="str">
        <f>VLOOKUP(W48,技能!A:B,2)</f>
        <v>棍棒打击</v>
      </c>
      <c r="Y48" s="39">
        <v>1</v>
      </c>
    </row>
    <row r="49" spans="1:25">
      <c r="A49" s="39" t="s">
        <v>84</v>
      </c>
      <c r="C49" s="39" t="s">
        <v>84</v>
      </c>
      <c r="L49" s="39" t="s">
        <v>84</v>
      </c>
      <c r="U49" t="str">
        <f t="shared" si="0"/>
        <v/>
      </c>
      <c r="V49" s="39" t="str">
        <f>IF(I49="","",VLOOKUP(I49,'装备&amp;材料'!$D$1:$E$6,2,FALSE))</f>
        <v/>
      </c>
      <c r="W49" s="39">
        <v>1002</v>
      </c>
      <c r="X49" s="39" t="str">
        <f>VLOOKUP(W49,技能!A:B,2)</f>
        <v>大闹天宫</v>
      </c>
      <c r="Y49" s="39">
        <v>2</v>
      </c>
    </row>
    <row r="50" spans="1:25">
      <c r="A50" s="39" t="s">
        <v>84</v>
      </c>
      <c r="C50" s="39" t="s">
        <v>84</v>
      </c>
      <c r="L50" s="39" t="s">
        <v>84</v>
      </c>
      <c r="U50" t="str">
        <f t="shared" si="0"/>
        <v/>
      </c>
      <c r="V50" s="39" t="str">
        <f>IF(I50="","",VLOOKUP(I50,'装备&amp;材料'!$D$1:$E$6,2,FALSE))</f>
        <v/>
      </c>
      <c r="W50" s="39">
        <v>1003</v>
      </c>
      <c r="X50" s="39" t="str">
        <f>VLOOKUP(W50,技能!A:B,2)</f>
        <v>至高荣誉</v>
      </c>
      <c r="Y50" s="39">
        <v>3</v>
      </c>
    </row>
    <row r="51" spans="1:25">
      <c r="A51" s="39" t="s">
        <v>84</v>
      </c>
      <c r="C51" s="39" t="s">
        <v>84</v>
      </c>
      <c r="L51" s="39" t="s">
        <v>84</v>
      </c>
      <c r="U51" t="str">
        <f t="shared" si="0"/>
        <v/>
      </c>
      <c r="V51" s="39" t="str">
        <f>IF(I51="","",VLOOKUP(I51,'装备&amp;材料'!$D$1:$E$6,2,FALSE))</f>
        <v/>
      </c>
      <c r="W51" s="39">
        <v>1004</v>
      </c>
      <c r="X51" s="39" t="str">
        <f>VLOOKUP(W51,技能!A:B,2)</f>
        <v>死亡之舞</v>
      </c>
      <c r="Y51" s="39">
        <v>4</v>
      </c>
    </row>
    <row r="52" spans="1:25" ht="14.25">
      <c r="A52" s="39" t="s">
        <v>84</v>
      </c>
      <c r="C52" s="39" t="s">
        <v>84</v>
      </c>
      <c r="L52" s="39" t="s">
        <v>84</v>
      </c>
      <c r="M52" s="50"/>
      <c r="N52" s="50"/>
      <c r="O52" s="50"/>
      <c r="P52" s="50"/>
      <c r="Q52" s="50"/>
      <c r="R52" s="50"/>
      <c r="S52" s="50"/>
      <c r="T52" s="50"/>
      <c r="U52" t="str">
        <f t="shared" si="0"/>
        <v/>
      </c>
      <c r="V52" s="39" t="str">
        <f>IF(I52="","",VLOOKUP(I52,'装备&amp;材料'!$D$1:$E$6,2,FALSE))</f>
        <v/>
      </c>
      <c r="W52" s="39">
        <v>1005</v>
      </c>
      <c r="X52" s="39" t="str">
        <f>VLOOKUP(W52,技能!A:B,2)</f>
        <v>腾云驾雾</v>
      </c>
      <c r="Y52" s="39">
        <v>5</v>
      </c>
    </row>
    <row r="53" spans="1:25" s="47" customFormat="1" ht="14.25">
      <c r="A53" s="47">
        <v>11</v>
      </c>
      <c r="B53" s="48" t="s">
        <v>669</v>
      </c>
      <c r="C53" s="47">
        <v>211</v>
      </c>
      <c r="D53" s="49" t="s">
        <v>1553</v>
      </c>
      <c r="E53" s="49"/>
      <c r="F53" s="47" t="s">
        <v>1554</v>
      </c>
      <c r="H53" s="47" t="s">
        <v>1552</v>
      </c>
      <c r="I53" s="47">
        <v>6</v>
      </c>
      <c r="J53" s="47">
        <v>4</v>
      </c>
      <c r="K53" s="47">
        <v>1</v>
      </c>
      <c r="L53" s="50">
        <v>276</v>
      </c>
      <c r="M53" s="83">
        <v>17</v>
      </c>
      <c r="N53" s="83">
        <v>17</v>
      </c>
      <c r="O53" s="83">
        <v>17</v>
      </c>
      <c r="P53" s="83">
        <v>16</v>
      </c>
      <c r="Q53" s="83">
        <v>129</v>
      </c>
      <c r="R53" s="83">
        <v>115</v>
      </c>
      <c r="S53" s="83">
        <v>66</v>
      </c>
      <c r="T53" s="83">
        <v>67</v>
      </c>
      <c r="U53">
        <f t="shared" si="0"/>
        <v>750</v>
      </c>
      <c r="V53" s="39">
        <f>IF(I53="","",VLOOKUP(I53,'装备&amp;材料'!$D$1:$E$6,2,FALSE))</f>
        <v>750</v>
      </c>
      <c r="W53" s="47">
        <v>1103</v>
      </c>
      <c r="X53" s="47" t="str">
        <f>VLOOKUP(W53,技能!A:B,2)</f>
        <v>恶魔变身</v>
      </c>
      <c r="Y53" s="47">
        <v>1</v>
      </c>
    </row>
    <row r="54" spans="1:25">
      <c r="A54" s="39" t="s">
        <v>84</v>
      </c>
      <c r="C54" s="39" t="s">
        <v>84</v>
      </c>
      <c r="L54" s="39" t="s">
        <v>84</v>
      </c>
      <c r="U54" t="str">
        <f t="shared" si="0"/>
        <v/>
      </c>
      <c r="V54" s="39" t="str">
        <f>IF(I54="","",VLOOKUP(I54,'装备&amp;材料'!$D$1:$E$6,2,FALSE))</f>
        <v/>
      </c>
      <c r="W54" s="39">
        <v>1104</v>
      </c>
      <c r="X54" s="39" t="str">
        <f>VLOOKUP(W54,技能!A:B,2)</f>
        <v>多重射击</v>
      </c>
      <c r="Y54" s="39">
        <v>2</v>
      </c>
    </row>
    <row r="55" spans="1:25">
      <c r="A55" s="39" t="s">
        <v>84</v>
      </c>
      <c r="C55" s="39" t="s">
        <v>84</v>
      </c>
      <c r="L55" s="39" t="s">
        <v>84</v>
      </c>
      <c r="U55" t="str">
        <f t="shared" si="0"/>
        <v/>
      </c>
      <c r="V55" s="39" t="str">
        <f>IF(I55="","",VLOOKUP(I55,'装备&amp;材料'!$D$1:$E$6,2,FALSE))</f>
        <v/>
      </c>
      <c r="W55" s="39">
        <v>1102</v>
      </c>
      <c r="X55" s="39" t="str">
        <f>VLOOKUP(W55,技能!A:B,2)</f>
        <v>飞舞之刃</v>
      </c>
      <c r="Y55" s="39">
        <v>3</v>
      </c>
    </row>
    <row r="56" spans="1:25">
      <c r="A56" s="39" t="s">
        <v>84</v>
      </c>
      <c r="C56" s="39" t="s">
        <v>84</v>
      </c>
      <c r="L56" s="39" t="s">
        <v>84</v>
      </c>
      <c r="U56" t="str">
        <f t="shared" si="0"/>
        <v/>
      </c>
      <c r="V56" s="39" t="str">
        <f>IF(I56="","",VLOOKUP(I56,'装备&amp;材料'!$D$1:$E$6,2,FALSE))</f>
        <v/>
      </c>
      <c r="W56" s="39">
        <v>1101</v>
      </c>
      <c r="X56" s="39" t="str">
        <f>VLOOKUP(W56,技能!A:B,2)</f>
        <v>猎魔人</v>
      </c>
      <c r="Y56" s="39">
        <v>4</v>
      </c>
    </row>
    <row r="57" spans="1:25" ht="14.25">
      <c r="A57" s="39" t="s">
        <v>84</v>
      </c>
      <c r="C57" s="39" t="s">
        <v>84</v>
      </c>
      <c r="L57" s="39" t="s">
        <v>84</v>
      </c>
      <c r="M57" s="46"/>
      <c r="N57" s="46"/>
      <c r="O57" s="46"/>
      <c r="P57" s="46"/>
      <c r="Q57" s="46"/>
      <c r="R57" s="46"/>
      <c r="S57" s="46"/>
      <c r="T57" s="46"/>
      <c r="U57" t="str">
        <f t="shared" si="0"/>
        <v/>
      </c>
      <c r="V57" s="39" t="str">
        <f>IF(I57="","",VLOOKUP(I57,'装备&amp;材料'!$D$1:$E$6,2,FALSE))</f>
        <v/>
      </c>
      <c r="W57" s="39">
        <v>1105</v>
      </c>
      <c r="X57" s="39" t="str">
        <f>VLOOKUP(W57,技能!A:B,2)</f>
        <v>扫射</v>
      </c>
      <c r="Y57" s="39">
        <v>5</v>
      </c>
    </row>
    <row r="58" spans="1:25" ht="40.5">
      <c r="A58" s="39">
        <v>12</v>
      </c>
      <c r="B58" s="45" t="s">
        <v>670</v>
      </c>
      <c r="C58" s="39">
        <v>212</v>
      </c>
      <c r="D58" s="51" t="s">
        <v>1555</v>
      </c>
      <c r="E58" s="51"/>
      <c r="F58" s="40" t="s">
        <v>1550</v>
      </c>
      <c r="H58" s="40" t="s">
        <v>1551</v>
      </c>
      <c r="I58" s="39">
        <v>6</v>
      </c>
      <c r="J58" s="39">
        <v>0</v>
      </c>
      <c r="K58" s="39">
        <v>1</v>
      </c>
      <c r="L58" s="46">
        <v>284</v>
      </c>
      <c r="M58" s="83">
        <v>16</v>
      </c>
      <c r="N58" s="83">
        <v>16</v>
      </c>
      <c r="O58" s="83">
        <v>17</v>
      </c>
      <c r="P58" s="83">
        <v>17</v>
      </c>
      <c r="Q58" s="83">
        <v>115</v>
      </c>
      <c r="R58" s="83">
        <v>122</v>
      </c>
      <c r="S58" s="83">
        <v>69</v>
      </c>
      <c r="T58" s="83">
        <v>70</v>
      </c>
      <c r="U58">
        <f t="shared" si="0"/>
        <v>750</v>
      </c>
      <c r="V58" s="39">
        <f>IF(I58="","",VLOOKUP(I58,'装备&amp;材料'!$D$1:$E$6,2,FALSE))</f>
        <v>750</v>
      </c>
      <c r="W58" s="39">
        <v>1201</v>
      </c>
      <c r="X58" s="39" t="str">
        <f>VLOOKUP(W58,技能!A:B,2)</f>
        <v>独裁者</v>
      </c>
      <c r="Y58" s="39">
        <v>1</v>
      </c>
    </row>
    <row r="59" spans="1:25">
      <c r="A59" s="39" t="s">
        <v>84</v>
      </c>
      <c r="C59" s="39" t="s">
        <v>84</v>
      </c>
      <c r="L59" s="39" t="s">
        <v>84</v>
      </c>
      <c r="U59" t="str">
        <f t="shared" si="0"/>
        <v/>
      </c>
      <c r="V59" s="39" t="str">
        <f>IF(I59="","",VLOOKUP(I59,'装备&amp;材料'!$D$1:$E$6,2,FALSE))</f>
        <v/>
      </c>
      <c r="W59" s="39">
        <v>1202</v>
      </c>
      <c r="X59" s="39" t="str">
        <f>VLOOKUP(W59,技能!A:B,2)</f>
        <v>灵魂收割</v>
      </c>
      <c r="Y59" s="39">
        <v>2</v>
      </c>
    </row>
    <row r="60" spans="1:25">
      <c r="A60" s="39" t="s">
        <v>84</v>
      </c>
      <c r="C60" s="39" t="s">
        <v>84</v>
      </c>
      <c r="L60" s="39" t="s">
        <v>84</v>
      </c>
      <c r="U60" t="str">
        <f t="shared" si="0"/>
        <v/>
      </c>
      <c r="V60" s="39" t="str">
        <f>IF(I60="","",VLOOKUP(I60,'装备&amp;材料'!$D$1:$E$6,2,FALSE))</f>
        <v/>
      </c>
      <c r="W60" s="39">
        <v>1204</v>
      </c>
      <c r="X60" s="39" t="str">
        <f>VLOOKUP(W60,技能!A:B,2)</f>
        <v>全军突击</v>
      </c>
      <c r="Y60" s="39">
        <v>3</v>
      </c>
    </row>
    <row r="61" spans="1:25">
      <c r="A61" s="39" t="s">
        <v>84</v>
      </c>
      <c r="C61" s="39" t="s">
        <v>84</v>
      </c>
      <c r="L61" s="39" t="s">
        <v>84</v>
      </c>
      <c r="U61" t="str">
        <f t="shared" si="0"/>
        <v/>
      </c>
      <c r="V61" s="39" t="str">
        <f>IF(I61="","",VLOOKUP(I61,'装备&amp;材料'!$D$1:$E$6,2,FALSE))</f>
        <v/>
      </c>
      <c r="W61" s="39">
        <v>1203</v>
      </c>
      <c r="X61" s="39" t="str">
        <f>VLOOKUP(W61,技能!A:B,2)</f>
        <v>霜之哀伤</v>
      </c>
      <c r="Y61" s="39">
        <v>4</v>
      </c>
    </row>
    <row r="62" spans="1:25">
      <c r="A62" s="39" t="s">
        <v>84</v>
      </c>
      <c r="C62" s="39" t="s">
        <v>84</v>
      </c>
      <c r="L62" s="39" t="s">
        <v>84</v>
      </c>
      <c r="U62" t="str">
        <f t="shared" si="0"/>
        <v/>
      </c>
      <c r="V62" s="39" t="str">
        <f>IF(I62="","",VLOOKUP(I62,'装备&amp;材料'!$D$1:$E$6,2,FALSE))</f>
        <v/>
      </c>
      <c r="W62" s="39">
        <v>1205</v>
      </c>
      <c r="X62" s="39" t="str">
        <f>VLOOKUP(W62,技能!A:B,2)</f>
        <v>煽动</v>
      </c>
      <c r="Y62" s="39">
        <v>5</v>
      </c>
    </row>
    <row r="63" spans="1:25">
      <c r="A63" s="39">
        <v>13</v>
      </c>
      <c r="B63" s="43" t="s">
        <v>671</v>
      </c>
      <c r="C63" s="39">
        <v>213</v>
      </c>
      <c r="D63" s="40" t="s">
        <v>845</v>
      </c>
      <c r="I63" s="39">
        <v>4</v>
      </c>
      <c r="J63" s="39">
        <v>5</v>
      </c>
      <c r="K63" s="39">
        <v>0</v>
      </c>
      <c r="L63" s="39">
        <v>164</v>
      </c>
      <c r="M63" s="82">
        <v>9</v>
      </c>
      <c r="N63" s="82">
        <v>9</v>
      </c>
      <c r="O63" s="82">
        <v>9</v>
      </c>
      <c r="P63" s="82">
        <v>9</v>
      </c>
      <c r="Q63" s="82">
        <v>91</v>
      </c>
      <c r="R63" s="82">
        <v>105</v>
      </c>
      <c r="S63" s="82">
        <v>48</v>
      </c>
      <c r="T63" s="82">
        <v>48</v>
      </c>
      <c r="U63">
        <f t="shared" si="0"/>
        <v>500</v>
      </c>
      <c r="V63" s="39">
        <f>IF(I63="","",VLOOKUP(I63,'装备&amp;材料'!$D$1:$E$6,2,FALSE))</f>
        <v>500</v>
      </c>
      <c r="W63" s="39">
        <v>1301</v>
      </c>
      <c r="X63" s="39" t="str">
        <f>VLOOKUP(W63,技能!A:B,2)</f>
        <v>火球术</v>
      </c>
      <c r="Y63" s="39">
        <v>1</v>
      </c>
    </row>
    <row r="64" spans="1:25">
      <c r="A64" s="39" t="s">
        <v>84</v>
      </c>
      <c r="C64" s="39" t="s">
        <v>84</v>
      </c>
      <c r="L64" s="39" t="s">
        <v>84</v>
      </c>
      <c r="U64" t="str">
        <f t="shared" si="0"/>
        <v/>
      </c>
      <c r="V64" s="39" t="str">
        <f>IF(I64="","",VLOOKUP(I64,'装备&amp;材料'!$D$1:$E$6,2,FALSE))</f>
        <v/>
      </c>
      <c r="W64" s="39">
        <v>1302</v>
      </c>
      <c r="X64" s="39" t="str">
        <f>VLOOKUP(W64,技能!A:B,2)</f>
        <v>爆燃</v>
      </c>
      <c r="Y64" s="39">
        <v>2</v>
      </c>
    </row>
    <row r="65" spans="1:25">
      <c r="A65" s="39" t="s">
        <v>84</v>
      </c>
      <c r="C65" s="39" t="s">
        <v>84</v>
      </c>
      <c r="L65" s="39" t="s">
        <v>84</v>
      </c>
      <c r="U65" t="str">
        <f t="shared" si="0"/>
        <v/>
      </c>
      <c r="V65" s="39" t="str">
        <f>IF(I65="","",VLOOKUP(I65,'装备&amp;材料'!$D$1:$E$6,2,FALSE))</f>
        <v/>
      </c>
      <c r="W65" s="39">
        <v>1303</v>
      </c>
      <c r="X65" s="39" t="str">
        <f>VLOOKUP(W65,技能!A:B,2)</f>
        <v>炎爆术</v>
      </c>
      <c r="Y65" s="39">
        <v>3</v>
      </c>
    </row>
    <row r="66" spans="1:25">
      <c r="A66" s="39" t="s">
        <v>84</v>
      </c>
      <c r="C66" s="39" t="s">
        <v>84</v>
      </c>
      <c r="L66" s="39" t="s">
        <v>84</v>
      </c>
      <c r="U66" t="str">
        <f t="shared" si="0"/>
        <v/>
      </c>
      <c r="V66" s="39" t="str">
        <f>IF(I66="","",VLOOKUP(I66,'装备&amp;材料'!$D$1:$E$6,2,FALSE))</f>
        <v/>
      </c>
      <c r="W66" s="39">
        <v>1304</v>
      </c>
      <c r="X66" s="39" t="str">
        <f>VLOOKUP(W66,技能!A:B,2)</f>
        <v>驭火大师</v>
      </c>
      <c r="Y66" s="39">
        <v>4</v>
      </c>
    </row>
    <row r="67" spans="1:25">
      <c r="A67" s="39" t="s">
        <v>84</v>
      </c>
      <c r="C67" s="39" t="s">
        <v>84</v>
      </c>
      <c r="L67" s="39" t="s">
        <v>84</v>
      </c>
      <c r="U67" t="str">
        <f t="shared" ref="U67:U130" si="1">IF(I67="","",L67*0.5+M67*3+N67*3+O67*5+P67*3+Q67+R67+S67+T67)</f>
        <v/>
      </c>
      <c r="V67" s="39" t="str">
        <f>IF(I67="","",VLOOKUP(I67,'装备&amp;材料'!$D$1:$E$6,2,FALSE))</f>
        <v/>
      </c>
      <c r="W67" s="39">
        <v>1305</v>
      </c>
      <c r="X67" s="39" t="str">
        <f>VLOOKUP(W67,技能!A:B,2)</f>
        <v>热能对流</v>
      </c>
      <c r="Y67" s="39">
        <v>5</v>
      </c>
    </row>
    <row r="68" spans="1:25">
      <c r="A68" s="39">
        <v>14</v>
      </c>
      <c r="B68" s="43" t="s">
        <v>672</v>
      </c>
      <c r="C68" s="39">
        <v>214</v>
      </c>
      <c r="D68" s="40" t="s">
        <v>1385</v>
      </c>
      <c r="H68" s="40" t="s">
        <v>1556</v>
      </c>
      <c r="I68" s="39">
        <v>4</v>
      </c>
      <c r="J68" s="39">
        <v>3</v>
      </c>
      <c r="K68" s="39">
        <v>1</v>
      </c>
      <c r="L68" s="39">
        <v>192</v>
      </c>
      <c r="M68" s="82">
        <v>8</v>
      </c>
      <c r="N68" s="82">
        <v>8</v>
      </c>
      <c r="O68" s="82">
        <v>9</v>
      </c>
      <c r="P68" s="82">
        <v>9</v>
      </c>
      <c r="Q68" s="82">
        <v>84</v>
      </c>
      <c r="R68" s="82">
        <v>98</v>
      </c>
      <c r="S68" s="82">
        <v>51</v>
      </c>
      <c r="T68" s="82">
        <v>51</v>
      </c>
      <c r="U68">
        <f t="shared" si="1"/>
        <v>500</v>
      </c>
      <c r="V68" s="39">
        <f>IF(I68="","",VLOOKUP(I68,'装备&amp;材料'!$D$1:$E$6,2,FALSE))</f>
        <v>500</v>
      </c>
      <c r="W68" s="39">
        <v>1401</v>
      </c>
      <c r="X68" s="39" t="str">
        <f>VLOOKUP(W68,技能!A:B,2)</f>
        <v>温柔相</v>
      </c>
      <c r="Y68" s="39">
        <v>1</v>
      </c>
    </row>
    <row r="69" spans="1:25">
      <c r="A69" s="39" t="s">
        <v>84</v>
      </c>
      <c r="C69" s="39" t="s">
        <v>84</v>
      </c>
      <c r="L69" s="39" t="s">
        <v>84</v>
      </c>
      <c r="U69" t="str">
        <f t="shared" si="1"/>
        <v/>
      </c>
      <c r="V69" s="39" t="str">
        <f>IF(I69="","",VLOOKUP(I69,'装备&amp;材料'!$D$1:$E$6,2,FALSE))</f>
        <v/>
      </c>
      <c r="W69" s="39">
        <v>1402</v>
      </c>
      <c r="X69" s="39" t="str">
        <f>VLOOKUP(W69,技能!A:B,2)</f>
        <v>舞王相</v>
      </c>
      <c r="Y69" s="39">
        <v>2</v>
      </c>
    </row>
    <row r="70" spans="1:25">
      <c r="A70" s="39" t="s">
        <v>84</v>
      </c>
      <c r="C70" s="39" t="s">
        <v>84</v>
      </c>
      <c r="L70" s="39" t="s">
        <v>84</v>
      </c>
      <c r="U70" t="str">
        <f t="shared" si="1"/>
        <v/>
      </c>
      <c r="V70" s="39" t="str">
        <f>IF(I70="","",VLOOKUP(I70,'装备&amp;材料'!$D$1:$E$6,2,FALSE))</f>
        <v/>
      </c>
      <c r="W70" s="39">
        <v>1403</v>
      </c>
      <c r="X70" s="39" t="str">
        <f>VLOOKUP(W70,技能!A:B,2)</f>
        <v>比那卡</v>
      </c>
      <c r="Y70" s="39">
        <v>3</v>
      </c>
    </row>
    <row r="71" spans="1:25">
      <c r="A71" s="39" t="s">
        <v>84</v>
      </c>
      <c r="C71" s="39" t="s">
        <v>84</v>
      </c>
      <c r="L71" s="39" t="s">
        <v>84</v>
      </c>
      <c r="U71" t="str">
        <f t="shared" si="1"/>
        <v/>
      </c>
      <c r="V71" s="39" t="str">
        <f>IF(I71="","",VLOOKUP(I71,'装备&amp;材料'!$D$1:$E$6,2,FALSE))</f>
        <v/>
      </c>
      <c r="W71" s="39">
        <v>1404</v>
      </c>
      <c r="X71" s="39" t="str">
        <f>VLOOKUP(W71,技能!A:B,2)</f>
        <v>恐怖相</v>
      </c>
      <c r="Y71" s="39">
        <v>4</v>
      </c>
    </row>
    <row r="72" spans="1:25" ht="14.25">
      <c r="A72" s="39" t="s">
        <v>84</v>
      </c>
      <c r="C72" s="39" t="s">
        <v>84</v>
      </c>
      <c r="L72" s="39" t="s">
        <v>84</v>
      </c>
      <c r="M72" s="46"/>
      <c r="N72" s="46"/>
      <c r="O72" s="46"/>
      <c r="P72" s="46"/>
      <c r="Q72" s="46"/>
      <c r="R72" s="46"/>
      <c r="S72" s="46"/>
      <c r="T72" s="46"/>
      <c r="U72" t="str">
        <f t="shared" si="1"/>
        <v/>
      </c>
      <c r="V72" s="39" t="str">
        <f>IF(I72="","",VLOOKUP(I72,'装备&amp;材料'!$D$1:$E$6,2,FALSE))</f>
        <v/>
      </c>
      <c r="W72" s="39">
        <v>1405</v>
      </c>
      <c r="X72" s="39" t="str">
        <f>VLOOKUP(W72,技能!A:B,2)</f>
        <v>阿贾伽瓦</v>
      </c>
      <c r="Y72" s="39">
        <v>5</v>
      </c>
    </row>
    <row r="73" spans="1:25" ht="14.25">
      <c r="A73" s="39">
        <v>15</v>
      </c>
      <c r="B73" s="45" t="s">
        <v>673</v>
      </c>
      <c r="C73" s="39">
        <v>215</v>
      </c>
      <c r="D73" s="40" t="s">
        <v>846</v>
      </c>
      <c r="I73" s="39">
        <v>6</v>
      </c>
      <c r="J73" s="39">
        <v>2</v>
      </c>
      <c r="K73" s="39">
        <v>1</v>
      </c>
      <c r="L73" s="46">
        <v>288</v>
      </c>
      <c r="M73" s="83">
        <v>17</v>
      </c>
      <c r="N73" s="83">
        <v>17</v>
      </c>
      <c r="O73" s="83">
        <v>16</v>
      </c>
      <c r="P73" s="83">
        <v>16</v>
      </c>
      <c r="Q73" s="83">
        <v>129</v>
      </c>
      <c r="R73" s="83">
        <v>108</v>
      </c>
      <c r="S73" s="83">
        <v>69</v>
      </c>
      <c r="T73" s="83">
        <v>70</v>
      </c>
      <c r="U73">
        <f t="shared" si="1"/>
        <v>750</v>
      </c>
      <c r="V73" s="39">
        <f>IF(I73="","",VLOOKUP(I73,'装备&amp;材料'!$D$1:$E$6,2,FALSE))</f>
        <v>750</v>
      </c>
      <c r="W73" s="39">
        <v>1501</v>
      </c>
      <c r="X73" s="39" t="str">
        <f>VLOOKUP(W73,技能!A:B,2)</f>
        <v>三千世界</v>
      </c>
      <c r="Y73" s="39">
        <v>1</v>
      </c>
    </row>
    <row r="74" spans="1:25">
      <c r="A74" s="39" t="s">
        <v>84</v>
      </c>
      <c r="C74" s="39" t="s">
        <v>84</v>
      </c>
      <c r="L74" s="39" t="s">
        <v>84</v>
      </c>
      <c r="U74" t="str">
        <f t="shared" si="1"/>
        <v/>
      </c>
      <c r="V74" s="39" t="str">
        <f>IF(I74="","",VLOOKUP(I74,'装备&amp;材料'!$D$1:$E$6,2,FALSE))</f>
        <v/>
      </c>
      <c r="W74" s="39">
        <v>1502</v>
      </c>
      <c r="X74" s="39" t="str">
        <f>VLOOKUP(W74,技能!A:B,2)</f>
        <v>烈火流星</v>
      </c>
      <c r="Y74" s="39">
        <v>2</v>
      </c>
    </row>
    <row r="75" spans="1:25">
      <c r="A75" s="39" t="s">
        <v>84</v>
      </c>
      <c r="C75" s="39" t="s">
        <v>84</v>
      </c>
      <c r="L75" s="39" t="s">
        <v>84</v>
      </c>
      <c r="U75" t="str">
        <f t="shared" si="1"/>
        <v/>
      </c>
      <c r="V75" s="39" t="str">
        <f>IF(I75="","",VLOOKUP(I75,'装备&amp;材料'!$D$1:$E$6,2,FALSE))</f>
        <v/>
      </c>
      <c r="W75" s="39">
        <v>1503</v>
      </c>
      <c r="X75" s="39" t="str">
        <f>VLOOKUP(W75,技能!A:B,2)</f>
        <v>冲击波</v>
      </c>
      <c r="Y75" s="39">
        <v>3</v>
      </c>
    </row>
    <row r="76" spans="1:25">
      <c r="A76" s="39" t="s">
        <v>84</v>
      </c>
      <c r="C76" s="39" t="s">
        <v>84</v>
      </c>
      <c r="L76" s="39" t="s">
        <v>84</v>
      </c>
      <c r="U76" t="str">
        <f t="shared" si="1"/>
        <v/>
      </c>
      <c r="V76" s="39" t="str">
        <f>IF(I76="","",VLOOKUP(I76,'装备&amp;材料'!$D$1:$E$6,2,FALSE))</f>
        <v/>
      </c>
      <c r="W76" s="39">
        <v>1504</v>
      </c>
      <c r="X76" s="39" t="str">
        <f>VLOOKUP(W76,技能!A:B,2)</f>
        <v>天下布武</v>
      </c>
      <c r="Y76" s="39">
        <v>4</v>
      </c>
    </row>
    <row r="77" spans="1:25">
      <c r="A77" s="39" t="s">
        <v>84</v>
      </c>
      <c r="C77" s="39" t="s">
        <v>84</v>
      </c>
      <c r="L77" s="39" t="s">
        <v>84</v>
      </c>
      <c r="U77" t="str">
        <f t="shared" si="1"/>
        <v/>
      </c>
      <c r="V77" s="39" t="str">
        <f>IF(I77="","",VLOOKUP(I77,'装备&amp;材料'!$D$1:$E$6,2,FALSE))</f>
        <v/>
      </c>
      <c r="W77" s="39">
        <v>1505</v>
      </c>
      <c r="X77" s="39" t="str">
        <f>VLOOKUP(W77,技能!A:B,2)</f>
        <v>本能寺之怨</v>
      </c>
      <c r="Y77" s="39">
        <v>5</v>
      </c>
    </row>
    <row r="78" spans="1:25">
      <c r="A78" s="39">
        <v>16</v>
      </c>
      <c r="B78" s="43" t="s">
        <v>674</v>
      </c>
      <c r="C78" s="39">
        <v>216</v>
      </c>
      <c r="D78" s="40" t="s">
        <v>6021</v>
      </c>
      <c r="E78" s="40" t="s">
        <v>6013</v>
      </c>
      <c r="G78" s="40" t="s">
        <v>1557</v>
      </c>
      <c r="I78" s="39">
        <v>4</v>
      </c>
      <c r="J78" s="39">
        <v>3</v>
      </c>
      <c r="K78" s="39">
        <v>1</v>
      </c>
      <c r="L78" s="39">
        <v>194</v>
      </c>
      <c r="M78" s="82">
        <v>8</v>
      </c>
      <c r="N78" s="82">
        <v>8</v>
      </c>
      <c r="O78" s="82">
        <v>9</v>
      </c>
      <c r="P78" s="82">
        <v>9</v>
      </c>
      <c r="Q78" s="82">
        <v>91</v>
      </c>
      <c r="R78" s="82">
        <v>84</v>
      </c>
      <c r="S78" s="82">
        <v>54</v>
      </c>
      <c r="T78" s="82">
        <v>54</v>
      </c>
      <c r="U78">
        <f t="shared" si="1"/>
        <v>500</v>
      </c>
      <c r="V78" s="39">
        <f>IF(I78="","",VLOOKUP(I78,'装备&amp;材料'!$D$1:$E$6,2,FALSE))</f>
        <v>500</v>
      </c>
      <c r="W78" s="39">
        <v>1601</v>
      </c>
      <c r="X78" s="39" t="str">
        <f>VLOOKUP(W78,技能!A:B,2)</f>
        <v>装甲强化</v>
      </c>
      <c r="Y78" s="39">
        <v>1</v>
      </c>
    </row>
    <row r="79" spans="1:25">
      <c r="A79" s="39" t="s">
        <v>84</v>
      </c>
      <c r="C79" s="39" t="s">
        <v>84</v>
      </c>
      <c r="L79" s="39" t="s">
        <v>84</v>
      </c>
      <c r="U79" t="str">
        <f t="shared" si="1"/>
        <v/>
      </c>
      <c r="V79" s="39" t="str">
        <f>IF(I79="","",VLOOKUP(I79,'装备&amp;材料'!$D$1:$E$6,2,FALSE))</f>
        <v/>
      </c>
      <c r="W79" s="39">
        <v>1602</v>
      </c>
      <c r="X79" s="39" t="str">
        <f>VLOOKUP(W79,技能!A:B,2)</f>
        <v>裂地猛击</v>
      </c>
      <c r="Y79" s="39">
        <v>2</v>
      </c>
    </row>
    <row r="80" spans="1:25">
      <c r="A80" s="39" t="s">
        <v>84</v>
      </c>
      <c r="C80" s="39" t="s">
        <v>84</v>
      </c>
      <c r="L80" s="39" t="s">
        <v>84</v>
      </c>
      <c r="U80" t="str">
        <f t="shared" si="1"/>
        <v/>
      </c>
      <c r="V80" s="39" t="str">
        <f>IF(I80="","",VLOOKUP(I80,'装备&amp;材料'!$D$1:$E$6,2,FALSE))</f>
        <v/>
      </c>
      <c r="W80" s="39">
        <v>1603</v>
      </c>
      <c r="X80" s="39" t="str">
        <f>VLOOKUP(W80,技能!A:B,2)</f>
        <v>火箭重锤</v>
      </c>
      <c r="Y80" s="39">
        <v>3</v>
      </c>
    </row>
    <row r="81" spans="1:25">
      <c r="A81" s="39" t="s">
        <v>84</v>
      </c>
      <c r="C81" s="39" t="s">
        <v>84</v>
      </c>
      <c r="L81" s="39" t="s">
        <v>84</v>
      </c>
      <c r="U81" t="str">
        <f t="shared" si="1"/>
        <v/>
      </c>
      <c r="V81" s="39" t="str">
        <f>IF(I81="","",VLOOKUP(I81,'装备&amp;材料'!$D$1:$E$6,2,FALSE))</f>
        <v/>
      </c>
      <c r="W81" s="39">
        <v>1604</v>
      </c>
      <c r="X81" s="39" t="str">
        <f>VLOOKUP(W81,技能!A:B,2)</f>
        <v>烈焰打击</v>
      </c>
      <c r="Y81" s="39">
        <v>4</v>
      </c>
    </row>
    <row r="82" spans="1:25">
      <c r="A82" s="39" t="s">
        <v>84</v>
      </c>
      <c r="C82" s="39" t="s">
        <v>84</v>
      </c>
      <c r="L82" s="39" t="s">
        <v>84</v>
      </c>
      <c r="U82" t="str">
        <f t="shared" si="1"/>
        <v/>
      </c>
      <c r="V82" s="39" t="str">
        <f>IF(I82="","",VLOOKUP(I82,'装备&amp;材料'!$D$1:$E$6,2,FALSE))</f>
        <v/>
      </c>
      <c r="W82" s="39">
        <v>1605</v>
      </c>
      <c r="X82" s="39" t="str">
        <f>VLOOKUP(W82,技能!A:B,2)</f>
        <v>虎痴意志</v>
      </c>
      <c r="Y82" s="39">
        <v>5</v>
      </c>
    </row>
    <row r="83" spans="1:25" ht="27">
      <c r="A83" s="39">
        <v>17</v>
      </c>
      <c r="B83" s="42" t="s">
        <v>675</v>
      </c>
      <c r="C83" s="39">
        <v>217</v>
      </c>
      <c r="D83" s="52" t="s">
        <v>6017</v>
      </c>
      <c r="E83" s="40" t="s">
        <v>7097</v>
      </c>
      <c r="G83" s="40" t="s">
        <v>1558</v>
      </c>
      <c r="I83" s="39">
        <v>5</v>
      </c>
      <c r="J83" s="39">
        <v>3</v>
      </c>
      <c r="K83" s="39">
        <v>1</v>
      </c>
      <c r="L83" s="39">
        <v>182</v>
      </c>
      <c r="M83" s="81">
        <v>13</v>
      </c>
      <c r="N83" s="81">
        <v>13</v>
      </c>
      <c r="O83" s="81">
        <v>13</v>
      </c>
      <c r="P83" s="81">
        <v>12</v>
      </c>
      <c r="Q83" s="81">
        <v>113</v>
      </c>
      <c r="R83" s="81">
        <v>104</v>
      </c>
      <c r="S83" s="81">
        <v>58</v>
      </c>
      <c r="T83" s="81">
        <v>55</v>
      </c>
      <c r="U83">
        <f t="shared" si="1"/>
        <v>600</v>
      </c>
      <c r="V83" s="39">
        <f>IF(I83="","",VLOOKUP(I83,'装备&amp;材料'!$D$1:$E$6,2,FALSE))</f>
        <v>600</v>
      </c>
      <c r="W83" s="39">
        <v>1701</v>
      </c>
      <c r="X83" s="39" t="str">
        <f>VLOOKUP(W83,技能!A:B,2)</f>
        <v>最后一击</v>
      </c>
      <c r="Y83" s="39">
        <v>1</v>
      </c>
    </row>
    <row r="84" spans="1:25">
      <c r="A84" s="39" t="s">
        <v>84</v>
      </c>
      <c r="C84" s="39" t="s">
        <v>84</v>
      </c>
      <c r="L84" s="39" t="s">
        <v>84</v>
      </c>
      <c r="U84" t="str">
        <f t="shared" si="1"/>
        <v/>
      </c>
      <c r="V84" s="39" t="str">
        <f>IF(I84="","",VLOOKUP(I84,'装备&amp;材料'!$D$1:$E$6,2,FALSE))</f>
        <v/>
      </c>
      <c r="W84" s="39">
        <v>1702</v>
      </c>
      <c r="X84" s="39" t="str">
        <f>VLOOKUP(W84,技能!A:B,2)</f>
        <v>暴走</v>
      </c>
      <c r="Y84" s="39">
        <v>2</v>
      </c>
    </row>
    <row r="85" spans="1:25">
      <c r="A85" s="39" t="s">
        <v>84</v>
      </c>
      <c r="C85" s="39" t="s">
        <v>84</v>
      </c>
      <c r="L85" s="39" t="s">
        <v>84</v>
      </c>
      <c r="U85" t="str">
        <f t="shared" si="1"/>
        <v/>
      </c>
      <c r="V85" s="39" t="str">
        <f>IF(I85="","",VLOOKUP(I85,'装备&amp;材料'!$D$1:$E$6,2,FALSE))</f>
        <v/>
      </c>
      <c r="W85" s="39">
        <v>1703</v>
      </c>
      <c r="X85" s="39" t="str">
        <f>VLOOKUP(W85,技能!A:B,2)</f>
        <v>弱点探查</v>
      </c>
      <c r="Y85" s="39">
        <v>3</v>
      </c>
    </row>
    <row r="86" spans="1:25">
      <c r="A86" s="39" t="s">
        <v>84</v>
      </c>
      <c r="C86" s="39" t="s">
        <v>84</v>
      </c>
      <c r="L86" s="39" t="s">
        <v>84</v>
      </c>
      <c r="U86" t="str">
        <f t="shared" si="1"/>
        <v/>
      </c>
      <c r="V86" s="39" t="str">
        <f>IF(I86="","",VLOOKUP(I86,'装备&amp;材料'!$D$1:$E$6,2,FALSE))</f>
        <v/>
      </c>
      <c r="W86" s="39">
        <v>1704</v>
      </c>
      <c r="X86" s="39" t="str">
        <f>VLOOKUP(W86,技能!A:B,2)</f>
        <v>强化吸血</v>
      </c>
      <c r="Y86" s="39">
        <v>4</v>
      </c>
    </row>
    <row r="87" spans="1:25" ht="14.25">
      <c r="A87" s="39" t="s">
        <v>84</v>
      </c>
      <c r="C87" s="39" t="s">
        <v>84</v>
      </c>
      <c r="L87" s="39" t="s">
        <v>84</v>
      </c>
      <c r="M87" s="46"/>
      <c r="N87" s="46"/>
      <c r="O87" s="46"/>
      <c r="P87" s="46"/>
      <c r="Q87" s="46"/>
      <c r="R87" s="46"/>
      <c r="S87" s="46"/>
      <c r="T87" s="46"/>
      <c r="U87" t="str">
        <f t="shared" si="1"/>
        <v/>
      </c>
      <c r="V87" s="39" t="str">
        <f>IF(I87="","",VLOOKUP(I87,'装备&amp;材料'!$D$1:$E$6,2,FALSE))</f>
        <v/>
      </c>
      <c r="W87" s="39">
        <v>1705</v>
      </c>
      <c r="X87" s="39" t="str">
        <f>VLOOKUP(W87,技能!A:B,2)</f>
        <v>超强回复</v>
      </c>
      <c r="Y87" s="39">
        <v>5</v>
      </c>
    </row>
    <row r="88" spans="1:25" ht="40.5">
      <c r="A88" s="39">
        <v>18</v>
      </c>
      <c r="B88" s="45" t="s">
        <v>676</v>
      </c>
      <c r="C88" s="39">
        <v>218</v>
      </c>
      <c r="D88" s="40" t="s">
        <v>847</v>
      </c>
      <c r="H88" s="40" t="s">
        <v>1559</v>
      </c>
      <c r="I88" s="39">
        <v>6</v>
      </c>
      <c r="J88" s="39">
        <v>1</v>
      </c>
      <c r="K88" s="39">
        <v>0</v>
      </c>
      <c r="L88" s="46">
        <v>280</v>
      </c>
      <c r="M88" s="83">
        <v>16</v>
      </c>
      <c r="N88" s="83">
        <v>16</v>
      </c>
      <c r="O88" s="83">
        <v>16</v>
      </c>
      <c r="P88" s="83">
        <v>16</v>
      </c>
      <c r="Q88" s="83">
        <v>125</v>
      </c>
      <c r="R88" s="83">
        <v>119</v>
      </c>
      <c r="S88" s="83">
        <v>71</v>
      </c>
      <c r="T88" s="83">
        <v>71</v>
      </c>
      <c r="U88">
        <f t="shared" si="1"/>
        <v>750</v>
      </c>
      <c r="V88" s="39">
        <f>IF(I88="","",VLOOKUP(I88,'装备&amp;材料'!$D$1:$E$6,2,FALSE))</f>
        <v>750</v>
      </c>
      <c r="W88" s="39">
        <v>1801</v>
      </c>
      <c r="X88" s="39" t="str">
        <f>VLOOKUP(W88,技能!A:B,2)</f>
        <v>交流电</v>
      </c>
      <c r="Y88" s="39">
        <v>1</v>
      </c>
    </row>
    <row r="89" spans="1:25">
      <c r="A89" s="39" t="s">
        <v>84</v>
      </c>
      <c r="C89" s="39" t="s">
        <v>84</v>
      </c>
      <c r="L89" s="39" t="s">
        <v>84</v>
      </c>
      <c r="U89" t="str">
        <f t="shared" si="1"/>
        <v/>
      </c>
      <c r="V89" s="39" t="str">
        <f>IF(I89="","",VLOOKUP(I89,'装备&amp;材料'!$D$1:$E$6,2,FALSE))</f>
        <v/>
      </c>
      <c r="W89" s="39">
        <v>1802</v>
      </c>
      <c r="X89" s="39" t="str">
        <f>VLOOKUP(W89,技能!A:B,2)</f>
        <v>【普通攻击】</v>
      </c>
      <c r="Y89" s="39">
        <v>2</v>
      </c>
    </row>
    <row r="90" spans="1:25">
      <c r="A90" s="39" t="s">
        <v>84</v>
      </c>
      <c r="C90" s="39" t="s">
        <v>84</v>
      </c>
      <c r="L90" s="39" t="s">
        <v>84</v>
      </c>
      <c r="U90" t="str">
        <f t="shared" si="1"/>
        <v/>
      </c>
      <c r="V90" s="39" t="str">
        <f>IF(I90="","",VLOOKUP(I90,'装备&amp;材料'!$D$1:$E$6,2,FALSE))</f>
        <v/>
      </c>
      <c r="W90" s="39">
        <v>1803</v>
      </c>
      <c r="X90" s="39" t="str">
        <f>VLOOKUP(W90,技能!A:B,2)</f>
        <v>碳化棉丝灯</v>
      </c>
      <c r="Y90" s="39">
        <v>3</v>
      </c>
    </row>
    <row r="91" spans="1:25">
      <c r="A91" s="39" t="s">
        <v>84</v>
      </c>
      <c r="C91" s="39" t="s">
        <v>84</v>
      </c>
      <c r="L91" s="39" t="s">
        <v>84</v>
      </c>
      <c r="U91" t="str">
        <f t="shared" si="1"/>
        <v/>
      </c>
      <c r="V91" s="39" t="str">
        <f>IF(I91="","",VLOOKUP(I91,'装备&amp;材料'!$D$1:$E$6,2,FALSE))</f>
        <v/>
      </c>
      <c r="W91" s="39">
        <v>1804</v>
      </c>
      <c r="X91" s="39" t="str">
        <f>VLOOKUP(W91,技能!A:B,2)</f>
        <v>发明家</v>
      </c>
      <c r="Y91" s="39">
        <v>4</v>
      </c>
    </row>
    <row r="92" spans="1:25">
      <c r="A92" s="39" t="s">
        <v>84</v>
      </c>
      <c r="C92" s="39" t="s">
        <v>84</v>
      </c>
      <c r="L92" s="39" t="s">
        <v>84</v>
      </c>
      <c r="U92" t="str">
        <f t="shared" si="1"/>
        <v/>
      </c>
      <c r="V92" s="39" t="str">
        <f>IF(I92="","",VLOOKUP(I92,'装备&amp;材料'!$D$1:$E$6,2,FALSE))</f>
        <v/>
      </c>
      <c r="W92" s="39">
        <v>1805</v>
      </c>
      <c r="X92" s="39" t="str">
        <f>VLOOKUP(W92,技能!A:B,2)</f>
        <v>【吟唱】</v>
      </c>
      <c r="Y92" s="39">
        <v>5</v>
      </c>
    </row>
    <row r="93" spans="1:25" ht="27">
      <c r="A93" s="39">
        <v>19</v>
      </c>
      <c r="B93" s="42" t="s">
        <v>677</v>
      </c>
      <c r="C93" s="39">
        <v>44</v>
      </c>
      <c r="D93" s="40" t="s">
        <v>1386</v>
      </c>
      <c r="H93" s="40" t="s">
        <v>1560</v>
      </c>
      <c r="I93" s="39">
        <v>5</v>
      </c>
      <c r="J93" s="39">
        <v>5</v>
      </c>
      <c r="K93" s="39">
        <v>1</v>
      </c>
      <c r="L93" s="39">
        <v>190</v>
      </c>
      <c r="M93" s="81">
        <v>12</v>
      </c>
      <c r="N93" s="81">
        <v>12</v>
      </c>
      <c r="O93" s="81">
        <v>12</v>
      </c>
      <c r="P93" s="81">
        <v>13</v>
      </c>
      <c r="Q93" s="81">
        <v>105</v>
      </c>
      <c r="R93" s="81">
        <v>119</v>
      </c>
      <c r="S93" s="81">
        <v>55</v>
      </c>
      <c r="T93" s="81">
        <v>55</v>
      </c>
      <c r="U93">
        <f t="shared" si="1"/>
        <v>600</v>
      </c>
      <c r="V93" s="39">
        <f>IF(I93="","",VLOOKUP(I93,'装备&amp;材料'!$D$1:$E$6,2,FALSE))</f>
        <v>600</v>
      </c>
      <c r="W93" s="39">
        <v>1901</v>
      </c>
      <c r="X93" s="39" t="str">
        <f>VLOOKUP(W93,技能!A:B,2)</f>
        <v>重隶</v>
      </c>
      <c r="Y93" s="39">
        <v>1</v>
      </c>
    </row>
    <row r="94" spans="1:25">
      <c r="A94" s="39" t="s">
        <v>84</v>
      </c>
      <c r="C94" s="39" t="s">
        <v>84</v>
      </c>
      <c r="L94" s="39" t="s">
        <v>84</v>
      </c>
      <c r="U94" t="str">
        <f t="shared" si="1"/>
        <v/>
      </c>
      <c r="V94" s="39" t="str">
        <f>IF(I94="","",VLOOKUP(I94,'装备&amp;材料'!$D$1:$E$6,2,FALSE))</f>
        <v/>
      </c>
      <c r="W94" s="39">
        <v>1902</v>
      </c>
      <c r="X94" s="39" t="str">
        <f>VLOOKUP(W94,技能!A:B,2)</f>
        <v>巧篆</v>
      </c>
      <c r="Y94" s="39">
        <v>2</v>
      </c>
    </row>
    <row r="95" spans="1:25">
      <c r="A95" s="39" t="s">
        <v>84</v>
      </c>
      <c r="C95" s="39" t="s">
        <v>84</v>
      </c>
      <c r="L95" s="39" t="s">
        <v>84</v>
      </c>
      <c r="U95" t="str">
        <f t="shared" si="1"/>
        <v/>
      </c>
      <c r="V95" s="39" t="str">
        <f>IF(I95="","",VLOOKUP(I95,'装备&amp;材料'!$D$1:$E$6,2,FALSE))</f>
        <v/>
      </c>
      <c r="W95" s="39">
        <v>1903</v>
      </c>
      <c r="X95" s="39" t="str">
        <f>VLOOKUP(W95,技能!A:B,2)</f>
        <v>乱草</v>
      </c>
      <c r="Y95" s="39">
        <v>3</v>
      </c>
    </row>
    <row r="96" spans="1:25">
      <c r="A96" s="39" t="s">
        <v>84</v>
      </c>
      <c r="C96" s="39" t="s">
        <v>84</v>
      </c>
      <c r="L96" s="39" t="s">
        <v>84</v>
      </c>
      <c r="U96" t="str">
        <f t="shared" si="1"/>
        <v/>
      </c>
      <c r="V96" s="39" t="str">
        <f>IF(I96="","",VLOOKUP(I96,'装备&amp;材料'!$D$1:$E$6,2,FALSE))</f>
        <v/>
      </c>
      <c r="W96" s="39">
        <v>1904</v>
      </c>
      <c r="X96" s="39" t="str">
        <f>VLOOKUP(W96,技能!A:B,2)</f>
        <v>轻行</v>
      </c>
      <c r="Y96" s="39">
        <v>4</v>
      </c>
    </row>
    <row r="97" spans="1:25">
      <c r="A97" s="39" t="s">
        <v>84</v>
      </c>
      <c r="C97" s="39" t="s">
        <v>84</v>
      </c>
      <c r="L97" s="39" t="s">
        <v>84</v>
      </c>
      <c r="U97" t="str">
        <f t="shared" si="1"/>
        <v/>
      </c>
      <c r="V97" s="39" t="str">
        <f>IF(I97="","",VLOOKUP(I97,'装备&amp;材料'!$D$1:$E$6,2,FALSE))</f>
        <v/>
      </c>
      <c r="W97" s="39">
        <v>1905</v>
      </c>
      <c r="X97" s="39" t="str">
        <f>VLOOKUP(W97,技能!A:B,2)</f>
        <v>正楷</v>
      </c>
      <c r="Y97" s="39">
        <v>5</v>
      </c>
    </row>
    <row r="98" spans="1:25">
      <c r="A98" s="39">
        <v>20</v>
      </c>
      <c r="B98" s="43" t="s">
        <v>678</v>
      </c>
      <c r="C98" s="39">
        <v>29</v>
      </c>
      <c r="D98" s="40" t="s">
        <v>848</v>
      </c>
      <c r="I98" s="39">
        <v>4</v>
      </c>
      <c r="J98" s="39">
        <v>3</v>
      </c>
      <c r="K98" s="39">
        <v>1</v>
      </c>
      <c r="L98" s="39">
        <v>192</v>
      </c>
      <c r="M98" s="82">
        <v>8</v>
      </c>
      <c r="N98" s="82">
        <v>8</v>
      </c>
      <c r="O98" s="82">
        <v>9</v>
      </c>
      <c r="P98" s="82">
        <v>9</v>
      </c>
      <c r="Q98" s="82">
        <v>91</v>
      </c>
      <c r="R98" s="82">
        <v>91</v>
      </c>
      <c r="S98" s="82">
        <v>51</v>
      </c>
      <c r="T98" s="82">
        <v>51</v>
      </c>
      <c r="U98">
        <f t="shared" si="1"/>
        <v>500</v>
      </c>
      <c r="V98" s="39">
        <f>IF(I98="","",VLOOKUP(I98,'装备&amp;材料'!$D$1:$E$6,2,FALSE))</f>
        <v>500</v>
      </c>
      <c r="W98" s="39">
        <v>2001</v>
      </c>
      <c r="X98" s="39" t="str">
        <f>VLOOKUP(W98,技能!A:B,2)</f>
        <v>战神</v>
      </c>
      <c r="Y98" s="39">
        <v>1</v>
      </c>
    </row>
    <row r="99" spans="1:25">
      <c r="A99" s="39" t="s">
        <v>84</v>
      </c>
      <c r="C99" s="39" t="s">
        <v>84</v>
      </c>
      <c r="L99" s="39" t="s">
        <v>84</v>
      </c>
      <c r="U99" t="str">
        <f t="shared" si="1"/>
        <v/>
      </c>
      <c r="V99" s="39" t="str">
        <f>IF(I99="","",VLOOKUP(I99,'装备&amp;材料'!$D$1:$E$6,2,FALSE))</f>
        <v/>
      </c>
      <c r="W99" s="39">
        <v>2002</v>
      </c>
      <c r="X99" s="39" t="str">
        <f>VLOOKUP(W99,技能!A:B,2)</f>
        <v>坚韧</v>
      </c>
      <c r="Y99" s="39">
        <v>2</v>
      </c>
    </row>
    <row r="100" spans="1:25">
      <c r="A100" s="39" t="s">
        <v>84</v>
      </c>
      <c r="C100" s="39" t="s">
        <v>84</v>
      </c>
      <c r="L100" s="39" t="s">
        <v>84</v>
      </c>
      <c r="U100" t="str">
        <f t="shared" si="1"/>
        <v/>
      </c>
      <c r="V100" s="39" t="str">
        <f>IF(I100="","",VLOOKUP(I100,'装备&amp;材料'!$D$1:$E$6,2,FALSE))</f>
        <v/>
      </c>
      <c r="W100" s="39">
        <v>2003</v>
      </c>
      <c r="X100" s="39" t="str">
        <f>VLOOKUP(W100,技能!A:B,2)</f>
        <v>勇气</v>
      </c>
      <c r="Y100" s="39">
        <v>3</v>
      </c>
    </row>
    <row r="101" spans="1:25">
      <c r="A101" s="39" t="s">
        <v>84</v>
      </c>
      <c r="C101" s="39" t="s">
        <v>84</v>
      </c>
      <c r="L101" s="39" t="s">
        <v>84</v>
      </c>
      <c r="U101" t="str">
        <f t="shared" si="1"/>
        <v/>
      </c>
      <c r="V101" s="39" t="str">
        <f>IF(I101="","",VLOOKUP(I101,'装备&amp;材料'!$D$1:$E$6,2,FALSE))</f>
        <v/>
      </c>
      <c r="W101" s="39">
        <v>2004</v>
      </c>
      <c r="X101" s="39" t="str">
        <f>VLOOKUP(W101,技能!A:B,2)</f>
        <v>审判</v>
      </c>
      <c r="Y101" s="39">
        <v>4</v>
      </c>
    </row>
    <row r="102" spans="1:25" ht="14.25">
      <c r="A102" s="39" t="s">
        <v>84</v>
      </c>
      <c r="C102" s="39" t="s">
        <v>84</v>
      </c>
      <c r="L102" s="39" t="s">
        <v>84</v>
      </c>
      <c r="M102" s="46"/>
      <c r="N102" s="46"/>
      <c r="O102" s="46"/>
      <c r="P102" s="46"/>
      <c r="Q102" s="46"/>
      <c r="R102" s="46"/>
      <c r="S102" s="46"/>
      <c r="T102" s="46"/>
      <c r="U102" t="str">
        <f t="shared" si="1"/>
        <v/>
      </c>
      <c r="V102" s="39" t="str">
        <f>IF(I102="","",VLOOKUP(I102,'装备&amp;材料'!$D$1:$E$6,2,FALSE))</f>
        <v/>
      </c>
      <c r="W102" s="39">
        <v>2005</v>
      </c>
      <c r="X102" s="39" t="str">
        <f>VLOOKUP(W102,技能!A:B,2)</f>
        <v>致命打击</v>
      </c>
      <c r="Y102" s="39">
        <v>5</v>
      </c>
    </row>
    <row r="103" spans="1:25" ht="14.25">
      <c r="A103" s="39">
        <v>21</v>
      </c>
      <c r="B103" s="45" t="s">
        <v>679</v>
      </c>
      <c r="C103" s="39">
        <v>221</v>
      </c>
      <c r="D103" s="40" t="s">
        <v>1387</v>
      </c>
      <c r="I103" s="39">
        <v>6</v>
      </c>
      <c r="J103" s="39">
        <v>6</v>
      </c>
      <c r="K103" s="39">
        <v>0</v>
      </c>
      <c r="L103" s="46">
        <v>300</v>
      </c>
      <c r="M103" s="83">
        <v>16</v>
      </c>
      <c r="N103" s="83">
        <v>16</v>
      </c>
      <c r="O103" s="83">
        <v>17</v>
      </c>
      <c r="P103" s="83">
        <v>16</v>
      </c>
      <c r="Q103" s="83">
        <v>115</v>
      </c>
      <c r="R103" s="83">
        <v>114</v>
      </c>
      <c r="S103" s="83">
        <v>71</v>
      </c>
      <c r="T103" s="83">
        <v>71</v>
      </c>
      <c r="U103">
        <f t="shared" si="1"/>
        <v>750</v>
      </c>
      <c r="V103" s="39">
        <f>IF(I103="","",VLOOKUP(I103,'装备&amp;材料'!$D$1:$E$6,2,FALSE))</f>
        <v>750</v>
      </c>
      <c r="W103" s="39">
        <v>2101</v>
      </c>
      <c r="X103" s="39" t="str">
        <f>VLOOKUP(W103,技能!A:B,2)</f>
        <v>地狱诅咒</v>
      </c>
      <c r="Y103" s="39">
        <v>1</v>
      </c>
    </row>
    <row r="104" spans="1:25">
      <c r="A104" s="39" t="s">
        <v>84</v>
      </c>
      <c r="C104" s="39" t="s">
        <v>84</v>
      </c>
      <c r="L104" s="39" t="s">
        <v>84</v>
      </c>
      <c r="U104" t="str">
        <f t="shared" si="1"/>
        <v/>
      </c>
      <c r="V104" s="39" t="str">
        <f>IF(I104="","",VLOOKUP(I104,'装备&amp;材料'!$D$1:$E$6,2,FALSE))</f>
        <v/>
      </c>
      <c r="W104" s="39">
        <v>2102</v>
      </c>
      <c r="X104" s="39" t="str">
        <f>VLOOKUP(W104,技能!A:B,2)</f>
        <v>魂引之灯</v>
      </c>
      <c r="Y104" s="39">
        <v>2</v>
      </c>
    </row>
    <row r="105" spans="1:25">
      <c r="A105" s="39" t="s">
        <v>84</v>
      </c>
      <c r="C105" s="39" t="s">
        <v>84</v>
      </c>
      <c r="L105" s="39" t="s">
        <v>84</v>
      </c>
      <c r="U105" t="str">
        <f t="shared" si="1"/>
        <v/>
      </c>
      <c r="V105" s="39" t="str">
        <f>IF(I105="","",VLOOKUP(I105,'装备&amp;材料'!$D$1:$E$6,2,FALSE))</f>
        <v/>
      </c>
      <c r="W105" s="39">
        <v>2103</v>
      </c>
      <c r="X105" s="39" t="str">
        <f>VLOOKUP(W105,技能!A:B,2)</f>
        <v>厄运钟摆</v>
      </c>
      <c r="Y105" s="39">
        <v>3</v>
      </c>
    </row>
    <row r="106" spans="1:25">
      <c r="A106" s="39" t="s">
        <v>84</v>
      </c>
      <c r="C106" s="39" t="s">
        <v>84</v>
      </c>
      <c r="L106" s="39" t="s">
        <v>84</v>
      </c>
      <c r="U106" t="str">
        <f t="shared" si="1"/>
        <v/>
      </c>
      <c r="V106" s="39" t="str">
        <f>IF(I106="","",VLOOKUP(I106,'装备&amp;材料'!$D$1:$E$6,2,FALSE))</f>
        <v/>
      </c>
      <c r="W106" s="39">
        <v>2104</v>
      </c>
      <c r="X106" s="39" t="str">
        <f>VLOOKUP(W106,技能!A:B,2)</f>
        <v>幽魂监牢</v>
      </c>
      <c r="Y106" s="39">
        <v>4</v>
      </c>
    </row>
    <row r="107" spans="1:25">
      <c r="A107" s="39" t="s">
        <v>84</v>
      </c>
      <c r="C107" s="39" t="s">
        <v>84</v>
      </c>
      <c r="L107" s="39" t="s">
        <v>84</v>
      </c>
      <c r="U107" t="str">
        <f t="shared" si="1"/>
        <v/>
      </c>
      <c r="V107" s="39" t="str">
        <f>IF(I107="","",VLOOKUP(I107,'装备&amp;材料'!$D$1:$E$6,2,FALSE))</f>
        <v/>
      </c>
      <c r="W107" s="39">
        <v>2105</v>
      </c>
      <c r="X107" s="39" t="str">
        <f>VLOOKUP(W107,技能!A:B,2)</f>
        <v>死亡判决</v>
      </c>
      <c r="Y107" s="39">
        <v>5</v>
      </c>
    </row>
    <row r="108" spans="1:25">
      <c r="A108" s="39">
        <v>22</v>
      </c>
      <c r="B108" s="42" t="s">
        <v>831</v>
      </c>
      <c r="C108" s="39">
        <v>3</v>
      </c>
      <c r="D108" s="40" t="s">
        <v>1388</v>
      </c>
      <c r="H108" s="40" t="s">
        <v>1561</v>
      </c>
      <c r="I108" s="39">
        <v>5</v>
      </c>
      <c r="J108" s="53">
        <v>2</v>
      </c>
      <c r="K108" s="39">
        <v>1</v>
      </c>
      <c r="L108" s="39">
        <v>174</v>
      </c>
      <c r="M108" s="81">
        <v>13</v>
      </c>
      <c r="N108" s="81">
        <v>13</v>
      </c>
      <c r="O108" s="81">
        <v>13</v>
      </c>
      <c r="P108" s="81">
        <v>12</v>
      </c>
      <c r="Q108" s="81">
        <v>112</v>
      </c>
      <c r="R108" s="81">
        <v>112</v>
      </c>
      <c r="S108" s="81">
        <v>55</v>
      </c>
      <c r="T108" s="81">
        <v>55</v>
      </c>
      <c r="U108">
        <f t="shared" si="1"/>
        <v>600</v>
      </c>
      <c r="V108" s="39">
        <f>IF(I108="","",VLOOKUP(I108,'装备&amp;材料'!$D$1:$E$6,2,FALSE))</f>
        <v>600</v>
      </c>
      <c r="W108" s="39">
        <v>2201</v>
      </c>
      <c r="X108" s="39" t="str">
        <f>VLOOKUP(W108,技能!A:B,2)</f>
        <v>秘术射击</v>
      </c>
      <c r="Y108" s="39">
        <v>1</v>
      </c>
    </row>
    <row r="109" spans="1:25">
      <c r="A109" s="39" t="s">
        <v>84</v>
      </c>
      <c r="C109" s="39" t="s">
        <v>84</v>
      </c>
      <c r="L109" s="39" t="s">
        <v>84</v>
      </c>
      <c r="U109" t="str">
        <f t="shared" si="1"/>
        <v/>
      </c>
      <c r="V109" s="39" t="str">
        <f>IF(I109="","",VLOOKUP(I109,'装备&amp;材料'!$D$1:$E$6,2,FALSE))</f>
        <v/>
      </c>
      <c r="W109" s="39">
        <v>2202</v>
      </c>
      <c r="X109" s="39" t="str">
        <f>VLOOKUP(W109,技能!A:B,2)</f>
        <v>秘术强化</v>
      </c>
      <c r="Y109" s="39">
        <v>2</v>
      </c>
    </row>
    <row r="110" spans="1:25">
      <c r="A110" s="39" t="s">
        <v>84</v>
      </c>
      <c r="C110" s="39" t="s">
        <v>84</v>
      </c>
      <c r="L110" s="39" t="s">
        <v>84</v>
      </c>
      <c r="U110" t="str">
        <f t="shared" si="1"/>
        <v/>
      </c>
      <c r="V110" s="39" t="str">
        <f>IF(I110="","",VLOOKUP(I110,'装备&amp;材料'!$D$1:$E$6,2,FALSE))</f>
        <v/>
      </c>
      <c r="W110" s="39">
        <v>2203</v>
      </c>
      <c r="X110" s="39" t="str">
        <f>VLOOKUP(W110,技能!A:B,2)</f>
        <v>精准弹幕</v>
      </c>
      <c r="Y110" s="39">
        <v>3</v>
      </c>
    </row>
    <row r="111" spans="1:25">
      <c r="A111" s="39" t="s">
        <v>84</v>
      </c>
      <c r="C111" s="39" t="s">
        <v>84</v>
      </c>
      <c r="L111" s="39" t="s">
        <v>84</v>
      </c>
      <c r="U111" t="str">
        <f t="shared" si="1"/>
        <v/>
      </c>
      <c r="V111" s="39" t="str">
        <f>IF(I111="","",VLOOKUP(I111,'装备&amp;材料'!$D$1:$E$6,2,FALSE))</f>
        <v/>
      </c>
      <c r="W111" s="39">
        <v>2204</v>
      </c>
      <c r="X111" s="39" t="str">
        <f>VLOOKUP(W111,技能!A:B,2)</f>
        <v>多重弹幕</v>
      </c>
      <c r="Y111" s="39">
        <v>4</v>
      </c>
    </row>
    <row r="112" spans="1:25">
      <c r="A112" s="39" t="s">
        <v>84</v>
      </c>
      <c r="C112" s="39" t="s">
        <v>84</v>
      </c>
      <c r="L112" s="39" t="s">
        <v>84</v>
      </c>
      <c r="U112" t="str">
        <f t="shared" si="1"/>
        <v/>
      </c>
      <c r="V112" s="39" t="str">
        <f>IF(I112="","",VLOOKUP(I112,'装备&amp;材料'!$D$1:$E$6,2,FALSE))</f>
        <v/>
      </c>
      <c r="W112" s="39">
        <v>2205</v>
      </c>
      <c r="X112" s="39" t="str">
        <f>VLOOKUP(W112,技能!A:B,2)</f>
        <v>强化弹幕</v>
      </c>
      <c r="Y112" s="39">
        <v>5</v>
      </c>
    </row>
    <row r="113" spans="1:25">
      <c r="A113" s="39">
        <v>23</v>
      </c>
      <c r="B113" s="43" t="s">
        <v>680</v>
      </c>
      <c r="C113" s="39">
        <v>18</v>
      </c>
      <c r="D113" s="40" t="s">
        <v>1389</v>
      </c>
      <c r="I113" s="39">
        <v>4</v>
      </c>
      <c r="J113" s="39">
        <v>5</v>
      </c>
      <c r="K113" s="39">
        <v>1</v>
      </c>
      <c r="L113" s="39">
        <v>192</v>
      </c>
      <c r="M113" s="82">
        <v>8</v>
      </c>
      <c r="N113" s="82">
        <v>8</v>
      </c>
      <c r="O113" s="82">
        <v>9</v>
      </c>
      <c r="P113" s="82">
        <v>9</v>
      </c>
      <c r="Q113" s="82">
        <v>85</v>
      </c>
      <c r="R113" s="82">
        <v>97</v>
      </c>
      <c r="S113" s="82">
        <v>50</v>
      </c>
      <c r="T113" s="82">
        <v>52</v>
      </c>
      <c r="U113">
        <f t="shared" si="1"/>
        <v>500</v>
      </c>
      <c r="V113" s="39">
        <f>IF(I113="","",VLOOKUP(I113,'装备&amp;材料'!$D$1:$E$6,2,FALSE))</f>
        <v>500</v>
      </c>
      <c r="W113" s="39">
        <v>2301</v>
      </c>
      <c r="X113" s="39" t="str">
        <f>VLOOKUP(W113,技能!A:B,2)</f>
        <v>欢乐时光</v>
      </c>
      <c r="Y113" s="39">
        <v>1</v>
      </c>
    </row>
    <row r="114" spans="1:25">
      <c r="A114" s="39" t="s">
        <v>84</v>
      </c>
      <c r="C114" s="39" t="s">
        <v>84</v>
      </c>
      <c r="L114" s="39" t="s">
        <v>84</v>
      </c>
      <c r="U114" t="str">
        <f t="shared" si="1"/>
        <v/>
      </c>
      <c r="V114" s="39" t="str">
        <f>IF(I114="","",VLOOKUP(I114,'装备&amp;材料'!$D$1:$E$6,2,FALSE))</f>
        <v/>
      </c>
      <c r="W114" s="39">
        <v>2302</v>
      </c>
      <c r="X114" s="39" t="str">
        <f>VLOOKUP(W114,技能!A:B,2)</f>
        <v>滚动酒桶</v>
      </c>
      <c r="Y114" s="39">
        <v>2</v>
      </c>
    </row>
    <row r="115" spans="1:25">
      <c r="A115" s="39" t="s">
        <v>84</v>
      </c>
      <c r="C115" s="39" t="s">
        <v>84</v>
      </c>
      <c r="L115" s="39" t="s">
        <v>84</v>
      </c>
      <c r="U115" t="str">
        <f t="shared" si="1"/>
        <v/>
      </c>
      <c r="V115" s="39" t="str">
        <f>IF(I115="","",VLOOKUP(I115,'装备&amp;材料'!$D$1:$E$6,2,FALSE))</f>
        <v/>
      </c>
      <c r="W115" s="39">
        <v>2303</v>
      </c>
      <c r="X115" s="39" t="str">
        <f>VLOOKUP(W115,技能!A:B,2)</f>
        <v>酒神狂暴</v>
      </c>
      <c r="Y115" s="39">
        <v>3</v>
      </c>
    </row>
    <row r="116" spans="1:25">
      <c r="A116" s="39" t="s">
        <v>84</v>
      </c>
      <c r="C116" s="39" t="s">
        <v>84</v>
      </c>
      <c r="L116" s="39" t="s">
        <v>84</v>
      </c>
      <c r="U116" t="str">
        <f t="shared" si="1"/>
        <v/>
      </c>
      <c r="V116" s="39" t="str">
        <f>IF(I116="","",VLOOKUP(I116,'装备&amp;材料'!$D$1:$E$6,2,FALSE))</f>
        <v/>
      </c>
      <c r="W116" s="39">
        <v>2304</v>
      </c>
      <c r="X116" s="39" t="str">
        <f>VLOOKUP(W116,技能!A:B,2)</f>
        <v>发酒疯</v>
      </c>
      <c r="Y116" s="39">
        <v>4</v>
      </c>
    </row>
    <row r="117" spans="1:25" ht="14.25">
      <c r="A117" s="39" t="s">
        <v>84</v>
      </c>
      <c r="C117" s="39" t="s">
        <v>84</v>
      </c>
      <c r="L117" s="39" t="s">
        <v>84</v>
      </c>
      <c r="M117" s="46"/>
      <c r="N117" s="46"/>
      <c r="O117" s="46"/>
      <c r="P117" s="46"/>
      <c r="Q117" s="46"/>
      <c r="R117" s="46"/>
      <c r="S117" s="46"/>
      <c r="T117" s="46"/>
      <c r="U117" t="str">
        <f t="shared" si="1"/>
        <v/>
      </c>
      <c r="V117" s="39" t="str">
        <f>IF(I117="","",VLOOKUP(I117,'装备&amp;材料'!$D$1:$E$6,2,FALSE))</f>
        <v/>
      </c>
      <c r="W117" s="39">
        <v>2305</v>
      </c>
      <c r="X117" s="39" t="str">
        <f>VLOOKUP(W117,技能!A:B,2)</f>
        <v>酒神之威</v>
      </c>
      <c r="Y117" s="39">
        <v>5</v>
      </c>
    </row>
    <row r="118" spans="1:25" ht="14.25">
      <c r="A118" s="39">
        <v>24</v>
      </c>
      <c r="B118" s="45" t="s">
        <v>681</v>
      </c>
      <c r="C118" s="39">
        <v>224</v>
      </c>
      <c r="D118" s="40" t="s">
        <v>849</v>
      </c>
      <c r="I118" s="39">
        <v>6</v>
      </c>
      <c r="J118" s="39">
        <v>4</v>
      </c>
      <c r="K118" s="39">
        <v>0</v>
      </c>
      <c r="L118" s="46">
        <v>272</v>
      </c>
      <c r="M118" s="83">
        <v>17</v>
      </c>
      <c r="N118" s="83">
        <v>17</v>
      </c>
      <c r="O118" s="83">
        <v>17</v>
      </c>
      <c r="P118" s="83">
        <v>16</v>
      </c>
      <c r="Q118" s="83">
        <v>130</v>
      </c>
      <c r="R118" s="83">
        <v>113</v>
      </c>
      <c r="S118" s="83">
        <v>68</v>
      </c>
      <c r="T118" s="83">
        <v>68</v>
      </c>
      <c r="U118">
        <f t="shared" si="1"/>
        <v>750</v>
      </c>
      <c r="V118" s="39">
        <f>IF(I118="","",VLOOKUP(I118,'装备&amp;材料'!$D$1:$E$6,2,FALSE))</f>
        <v>750</v>
      </c>
      <c r="W118" s="39">
        <v>2401</v>
      </c>
      <c r="X118" s="39" t="str">
        <f>VLOOKUP(W118,技能!A:B,2)</f>
        <v>炼狱鬼斩</v>
      </c>
      <c r="Y118" s="39">
        <v>1</v>
      </c>
    </row>
    <row r="119" spans="1:25">
      <c r="A119" s="39" t="s">
        <v>84</v>
      </c>
      <c r="C119" s="39" t="s">
        <v>84</v>
      </c>
      <c r="L119" s="39" t="s">
        <v>84</v>
      </c>
      <c r="U119" t="str">
        <f t="shared" si="1"/>
        <v/>
      </c>
      <c r="V119" s="39" t="str">
        <f>IF(I119="","",VLOOKUP(I119,'装备&amp;材料'!$D$1:$E$6,2,FALSE))</f>
        <v/>
      </c>
      <c r="W119" s="39">
        <v>2402</v>
      </c>
      <c r="X119" s="39" t="str">
        <f>VLOOKUP(W119,技能!A:B,2)</f>
        <v>心眼</v>
      </c>
      <c r="Y119" s="39">
        <v>2</v>
      </c>
    </row>
    <row r="120" spans="1:25">
      <c r="A120" s="39" t="s">
        <v>84</v>
      </c>
      <c r="C120" s="39" t="s">
        <v>84</v>
      </c>
      <c r="L120" s="39" t="s">
        <v>84</v>
      </c>
      <c r="U120" t="str">
        <f t="shared" si="1"/>
        <v/>
      </c>
      <c r="V120" s="39" t="str">
        <f>IF(I120="","",VLOOKUP(I120,'装备&amp;材料'!$D$1:$E$6,2,FALSE))</f>
        <v/>
      </c>
      <c r="W120" s="39">
        <v>2403</v>
      </c>
      <c r="X120" s="39" t="str">
        <f>VLOOKUP(W120,技能!A:B,2)</f>
        <v>真剑</v>
      </c>
      <c r="Y120" s="39">
        <v>3</v>
      </c>
    </row>
    <row r="121" spans="1:25">
      <c r="A121" s="39" t="s">
        <v>84</v>
      </c>
      <c r="C121" s="39" t="s">
        <v>84</v>
      </c>
      <c r="L121" s="39" t="s">
        <v>84</v>
      </c>
      <c r="U121" t="str">
        <f t="shared" si="1"/>
        <v/>
      </c>
      <c r="V121" s="39" t="str">
        <f>IF(I121="","",VLOOKUP(I121,'装备&amp;材料'!$D$1:$E$6,2,FALSE))</f>
        <v/>
      </c>
      <c r="W121" s="39">
        <v>2404</v>
      </c>
      <c r="X121" s="39" t="str">
        <f>VLOOKUP(W121,技能!A:B,2)</f>
        <v>魍魉·近藤</v>
      </c>
      <c r="Y121" s="39">
        <v>4</v>
      </c>
    </row>
    <row r="122" spans="1:25">
      <c r="A122" s="39" t="s">
        <v>84</v>
      </c>
      <c r="C122" s="39" t="s">
        <v>84</v>
      </c>
      <c r="L122" s="39" t="s">
        <v>84</v>
      </c>
      <c r="U122" t="str">
        <f t="shared" si="1"/>
        <v/>
      </c>
      <c r="V122" s="39" t="str">
        <f>IF(I122="","",VLOOKUP(I122,'装备&amp;材料'!$D$1:$E$6,2,FALSE))</f>
        <v/>
      </c>
      <c r="W122" s="39">
        <v>2405</v>
      </c>
      <c r="X122" s="39" t="str">
        <f>VLOOKUP(W122,技能!A:B,2)</f>
        <v>魍魉·冲田</v>
      </c>
      <c r="Y122" s="39">
        <v>5</v>
      </c>
    </row>
    <row r="123" spans="1:25" ht="27">
      <c r="A123" s="39">
        <v>25</v>
      </c>
      <c r="B123" s="43" t="s">
        <v>682</v>
      </c>
      <c r="C123" s="39">
        <v>43</v>
      </c>
      <c r="D123" s="40" t="s">
        <v>1390</v>
      </c>
      <c r="H123" s="40" t="s">
        <v>1562</v>
      </c>
      <c r="I123" s="39">
        <v>4</v>
      </c>
      <c r="J123" s="39">
        <v>4</v>
      </c>
      <c r="K123" s="39">
        <v>1</v>
      </c>
      <c r="L123" s="39">
        <v>164</v>
      </c>
      <c r="M123" s="82">
        <v>9</v>
      </c>
      <c r="N123" s="82">
        <v>9</v>
      </c>
      <c r="O123" s="82">
        <v>9</v>
      </c>
      <c r="P123" s="82">
        <v>9</v>
      </c>
      <c r="Q123" s="82">
        <v>103</v>
      </c>
      <c r="R123" s="82">
        <v>93</v>
      </c>
      <c r="S123" s="82">
        <v>48</v>
      </c>
      <c r="T123" s="82">
        <v>48</v>
      </c>
      <c r="U123">
        <f t="shared" si="1"/>
        <v>500</v>
      </c>
      <c r="V123" s="39">
        <f>IF(I123="","",VLOOKUP(I123,'装备&amp;材料'!$D$1:$E$6,2,FALSE))</f>
        <v>500</v>
      </c>
      <c r="W123" s="39">
        <v>2501</v>
      </c>
      <c r="X123" s="39" t="str">
        <f>VLOOKUP(W123,技能!A:B,2)</f>
        <v>鬼斧神工</v>
      </c>
      <c r="Y123" s="39">
        <v>1</v>
      </c>
    </row>
    <row r="124" spans="1:25">
      <c r="A124" s="39" t="s">
        <v>84</v>
      </c>
      <c r="C124" s="39" t="s">
        <v>84</v>
      </c>
      <c r="L124" s="39" t="s">
        <v>84</v>
      </c>
      <c r="U124" t="str">
        <f t="shared" si="1"/>
        <v/>
      </c>
      <c r="V124" s="39" t="str">
        <f>IF(I124="","",VLOOKUP(I124,'装备&amp;材料'!$D$1:$E$6,2,FALSE))</f>
        <v/>
      </c>
      <c r="W124" s="39">
        <v>2502</v>
      </c>
      <c r="X124" s="39" t="str">
        <f>VLOOKUP(W124,技能!A:B,2)</f>
        <v>地火</v>
      </c>
      <c r="Y124" s="39">
        <v>2</v>
      </c>
    </row>
    <row r="125" spans="1:25">
      <c r="A125" s="39" t="s">
        <v>84</v>
      </c>
      <c r="C125" s="39" t="s">
        <v>84</v>
      </c>
      <c r="L125" s="39" t="s">
        <v>84</v>
      </c>
      <c r="U125" t="str">
        <f t="shared" si="1"/>
        <v/>
      </c>
      <c r="V125" s="39" t="str">
        <f>IF(I125="","",VLOOKUP(I125,'装备&amp;材料'!$D$1:$E$6,2,FALSE))</f>
        <v/>
      </c>
      <c r="W125" s="39">
        <v>2503</v>
      </c>
      <c r="X125" s="39" t="str">
        <f>VLOOKUP(W125,技能!A:B,2)</f>
        <v>千锤</v>
      </c>
      <c r="Y125" s="39">
        <v>3</v>
      </c>
    </row>
    <row r="126" spans="1:25">
      <c r="A126" s="39" t="s">
        <v>84</v>
      </c>
      <c r="C126" s="39" t="s">
        <v>84</v>
      </c>
      <c r="L126" s="39" t="s">
        <v>84</v>
      </c>
      <c r="U126" t="str">
        <f t="shared" si="1"/>
        <v/>
      </c>
      <c r="V126" s="39" t="str">
        <f>IF(I126="","",VLOOKUP(I126,'装备&amp;材料'!$D$1:$E$6,2,FALSE))</f>
        <v/>
      </c>
      <c r="W126" s="39">
        <v>2504</v>
      </c>
      <c r="X126" s="39" t="str">
        <f>VLOOKUP(W126,技能!A:B,2)</f>
        <v>百炼</v>
      </c>
      <c r="Y126" s="39">
        <v>4</v>
      </c>
    </row>
    <row r="127" spans="1:25">
      <c r="A127" s="39" t="s">
        <v>84</v>
      </c>
      <c r="C127" s="39" t="s">
        <v>84</v>
      </c>
      <c r="L127" s="39" t="s">
        <v>84</v>
      </c>
      <c r="U127" t="str">
        <f t="shared" si="1"/>
        <v/>
      </c>
      <c r="V127" s="39" t="str">
        <f>IF(I127="","",VLOOKUP(I127,'装备&amp;材料'!$D$1:$E$6,2,FALSE))</f>
        <v/>
      </c>
      <c r="W127" s="39">
        <v>2505</v>
      </c>
      <c r="X127" s="39" t="str">
        <f>VLOOKUP(W127,技能!A:B,2)</f>
        <v>万神殿</v>
      </c>
      <c r="Y127" s="39">
        <v>5</v>
      </c>
    </row>
    <row r="128" spans="1:25">
      <c r="A128" s="39">
        <v>26</v>
      </c>
      <c r="B128" s="42" t="s">
        <v>683</v>
      </c>
      <c r="C128" s="39">
        <v>226</v>
      </c>
      <c r="D128" s="40" t="s">
        <v>1391</v>
      </c>
      <c r="I128" s="39">
        <v>5</v>
      </c>
      <c r="J128" s="39">
        <v>5</v>
      </c>
      <c r="K128" s="39">
        <v>0</v>
      </c>
      <c r="L128" s="39">
        <v>174</v>
      </c>
      <c r="M128" s="81">
        <v>13</v>
      </c>
      <c r="N128" s="81">
        <v>13</v>
      </c>
      <c r="O128" s="81">
        <v>13</v>
      </c>
      <c r="P128" s="81">
        <v>12</v>
      </c>
      <c r="Q128" s="81">
        <v>104</v>
      </c>
      <c r="R128" s="81">
        <v>120</v>
      </c>
      <c r="S128" s="81">
        <v>55</v>
      </c>
      <c r="T128" s="81">
        <v>55</v>
      </c>
      <c r="U128">
        <f t="shared" si="1"/>
        <v>600</v>
      </c>
      <c r="V128" s="39">
        <f>IF(I128="","",VLOOKUP(I128,'装备&amp;材料'!$D$1:$E$6,2,FALSE))</f>
        <v>600</v>
      </c>
      <c r="W128" s="39">
        <v>2601</v>
      </c>
      <c r="X128" s="39" t="str">
        <f>VLOOKUP(W128,技能!A:B,2)</f>
        <v>黄金苹果</v>
      </c>
      <c r="Y128" s="39">
        <v>1</v>
      </c>
    </row>
    <row r="129" spans="1:25">
      <c r="A129" s="39" t="s">
        <v>84</v>
      </c>
      <c r="C129" s="39" t="s">
        <v>84</v>
      </c>
      <c r="L129" s="39" t="s">
        <v>84</v>
      </c>
      <c r="U129" t="str">
        <f t="shared" si="1"/>
        <v/>
      </c>
      <c r="V129" s="39" t="str">
        <f>IF(I129="","",VLOOKUP(I129,'装备&amp;材料'!$D$1:$E$6,2,FALSE))</f>
        <v/>
      </c>
      <c r="W129" s="39">
        <v>2602</v>
      </c>
      <c r="X129" s="39" t="str">
        <f>VLOOKUP(W129,技能!A:B,2)</f>
        <v>女神之芳华</v>
      </c>
      <c r="Y129" s="39">
        <v>2</v>
      </c>
    </row>
    <row r="130" spans="1:25">
      <c r="A130" s="39" t="s">
        <v>84</v>
      </c>
      <c r="C130" s="39" t="s">
        <v>84</v>
      </c>
      <c r="L130" s="39" t="s">
        <v>84</v>
      </c>
      <c r="U130" t="str">
        <f t="shared" si="1"/>
        <v/>
      </c>
      <c r="V130" s="39" t="str">
        <f>IF(I130="","",VLOOKUP(I130,'装备&amp;材料'!$D$1:$E$6,2,FALSE))</f>
        <v/>
      </c>
      <c r="W130" s="39">
        <v>2603</v>
      </c>
      <c r="X130" s="39" t="str">
        <f>VLOOKUP(W130,技能!A:B,2)</f>
        <v>桃金娘</v>
      </c>
      <c r="Y130" s="39">
        <v>3</v>
      </c>
    </row>
    <row r="131" spans="1:25">
      <c r="A131" s="39" t="s">
        <v>84</v>
      </c>
      <c r="C131" s="39" t="s">
        <v>84</v>
      </c>
      <c r="L131" s="39" t="s">
        <v>84</v>
      </c>
      <c r="U131" t="str">
        <f t="shared" ref="U131:U194" si="2">IF(I131="","",L131*0.5+M131*3+N131*3+O131*5+P131*3+Q131+R131+S131+T131)</f>
        <v/>
      </c>
      <c r="V131" s="39" t="str">
        <f>IF(I131="","",VLOOKUP(I131,'装备&amp;材料'!$D$1:$E$6,2,FALSE))</f>
        <v/>
      </c>
      <c r="W131" s="39">
        <v>2604</v>
      </c>
      <c r="X131" s="39" t="str">
        <f>VLOOKUP(W131,技能!A:B,2)</f>
        <v>爱神之吻</v>
      </c>
      <c r="Y131" s="39">
        <v>4</v>
      </c>
    </row>
    <row r="132" spans="1:25">
      <c r="A132" s="39" t="s">
        <v>84</v>
      </c>
      <c r="C132" s="39" t="s">
        <v>84</v>
      </c>
      <c r="L132" s="39" t="s">
        <v>84</v>
      </c>
      <c r="U132" t="str">
        <f t="shared" si="2"/>
        <v/>
      </c>
      <c r="V132" s="39" t="str">
        <f>IF(I132="","",VLOOKUP(I132,'装备&amp;材料'!$D$1:$E$6,2,FALSE))</f>
        <v/>
      </c>
      <c r="W132" s="39">
        <v>2605</v>
      </c>
      <c r="X132" s="39" t="str">
        <f>VLOOKUP(W132,技能!A:B,2)</f>
        <v>国色天香</v>
      </c>
      <c r="Y132" s="39">
        <v>5</v>
      </c>
    </row>
    <row r="133" spans="1:25">
      <c r="A133" s="39">
        <v>27</v>
      </c>
      <c r="B133" s="43" t="s">
        <v>684</v>
      </c>
      <c r="C133" s="39">
        <v>40006</v>
      </c>
      <c r="D133" s="40" t="s">
        <v>850</v>
      </c>
      <c r="I133" s="39">
        <v>4</v>
      </c>
      <c r="J133" s="39">
        <v>2</v>
      </c>
      <c r="K133" s="39">
        <v>1</v>
      </c>
      <c r="L133" s="39">
        <v>166</v>
      </c>
      <c r="M133" s="82">
        <v>10</v>
      </c>
      <c r="N133" s="82">
        <v>10</v>
      </c>
      <c r="O133" s="82">
        <v>9</v>
      </c>
      <c r="P133" s="82">
        <v>10</v>
      </c>
      <c r="Q133" s="82">
        <v>106</v>
      </c>
      <c r="R133" s="82">
        <v>88</v>
      </c>
      <c r="S133" s="82">
        <v>44</v>
      </c>
      <c r="T133" s="82">
        <v>44</v>
      </c>
      <c r="U133">
        <f t="shared" si="2"/>
        <v>500</v>
      </c>
      <c r="V133" s="39">
        <f>IF(I133="","",VLOOKUP(I133,'装备&amp;材料'!$D$1:$E$6,2,FALSE))</f>
        <v>500</v>
      </c>
      <c r="W133" s="39">
        <v>2701</v>
      </c>
      <c r="X133" s="39" t="str">
        <f>VLOOKUP(W133,技能!A:B,2)</f>
        <v>燧发枪</v>
      </c>
      <c r="Y133" s="39">
        <v>1</v>
      </c>
    </row>
    <row r="134" spans="1:25">
      <c r="A134" s="39" t="s">
        <v>84</v>
      </c>
      <c r="C134" s="39" t="s">
        <v>84</v>
      </c>
      <c r="L134" s="39" t="s">
        <v>84</v>
      </c>
      <c r="U134" t="str">
        <f t="shared" si="2"/>
        <v/>
      </c>
      <c r="V134" s="39" t="str">
        <f>IF(I134="","",VLOOKUP(I134,'装备&amp;材料'!$D$1:$E$6,2,FALSE))</f>
        <v/>
      </c>
      <c r="W134" s="39">
        <v>2702</v>
      </c>
      <c r="X134" s="39" t="str">
        <f>VLOOKUP(W134,技能!A:B,2)</f>
        <v>船载火炮</v>
      </c>
      <c r="Y134" s="39">
        <v>2</v>
      </c>
    </row>
    <row r="135" spans="1:25">
      <c r="A135" s="39" t="s">
        <v>84</v>
      </c>
      <c r="C135" s="39" t="s">
        <v>84</v>
      </c>
      <c r="L135" s="39" t="s">
        <v>84</v>
      </c>
      <c r="U135" t="str">
        <f t="shared" si="2"/>
        <v/>
      </c>
      <c r="V135" s="39" t="str">
        <f>IF(I135="","",VLOOKUP(I135,'装备&amp;材料'!$D$1:$E$6,2,FALSE))</f>
        <v/>
      </c>
      <c r="W135" s="39">
        <v>2703</v>
      </c>
      <c r="X135" s="39" t="str">
        <f>VLOOKUP(W135,技能!A:B,2)</f>
        <v>黑火药</v>
      </c>
      <c r="Y135" s="39">
        <v>3</v>
      </c>
    </row>
    <row r="136" spans="1:25">
      <c r="A136" s="39" t="s">
        <v>84</v>
      </c>
      <c r="C136" s="39" t="s">
        <v>84</v>
      </c>
      <c r="L136" s="39" t="s">
        <v>84</v>
      </c>
      <c r="U136" t="str">
        <f t="shared" si="2"/>
        <v/>
      </c>
      <c r="V136" s="39" t="str">
        <f>IF(I136="","",VLOOKUP(I136,'装备&amp;材料'!$D$1:$E$6,2,FALSE))</f>
        <v/>
      </c>
      <c r="W136" s="39">
        <v>2704</v>
      </c>
      <c r="X136" s="39" t="str">
        <f>VLOOKUP(W136,技能!A:B,2)</f>
        <v>航海六分仪</v>
      </c>
      <c r="Y136" s="39">
        <v>4</v>
      </c>
    </row>
    <row r="137" spans="1:25">
      <c r="A137" s="39" t="s">
        <v>84</v>
      </c>
      <c r="C137" s="39" t="s">
        <v>84</v>
      </c>
      <c r="L137" s="39" t="s">
        <v>84</v>
      </c>
      <c r="U137" t="str">
        <f t="shared" si="2"/>
        <v/>
      </c>
      <c r="V137" s="39" t="str">
        <f>IF(I137="","",VLOOKUP(I137,'装备&amp;材料'!$D$1:$E$6,2,FALSE))</f>
        <v/>
      </c>
      <c r="W137" s="39">
        <v>2705</v>
      </c>
      <c r="X137" s="39" t="str">
        <f>VLOOKUP(W137,技能!A:B,2)</f>
        <v>弹药强化</v>
      </c>
      <c r="Y137" s="39">
        <v>5</v>
      </c>
    </row>
    <row r="138" spans="1:25" ht="27">
      <c r="A138" s="39">
        <v>28</v>
      </c>
      <c r="B138" s="43" t="s">
        <v>685</v>
      </c>
      <c r="C138" s="39">
        <v>228</v>
      </c>
      <c r="D138" s="40" t="s">
        <v>851</v>
      </c>
      <c r="H138" s="40" t="s">
        <v>1563</v>
      </c>
      <c r="I138" s="39">
        <v>4</v>
      </c>
      <c r="J138" s="39">
        <v>3</v>
      </c>
      <c r="K138" s="39">
        <v>1</v>
      </c>
      <c r="L138" s="39">
        <v>200</v>
      </c>
      <c r="M138" s="82">
        <v>8</v>
      </c>
      <c r="N138" s="82">
        <v>8</v>
      </c>
      <c r="O138" s="82">
        <v>11</v>
      </c>
      <c r="P138" s="82">
        <v>9</v>
      </c>
      <c r="Q138" s="82">
        <v>91</v>
      </c>
      <c r="R138" s="82">
        <v>83</v>
      </c>
      <c r="S138" s="82">
        <v>48</v>
      </c>
      <c r="T138" s="82">
        <v>48</v>
      </c>
      <c r="U138">
        <f t="shared" si="2"/>
        <v>500</v>
      </c>
      <c r="V138" s="39">
        <f>IF(I138="","",VLOOKUP(I138,'装备&amp;材料'!$D$1:$E$6,2,FALSE))</f>
        <v>500</v>
      </c>
      <c r="W138" s="39">
        <v>2801</v>
      </c>
      <c r="X138" s="39" t="str">
        <f>VLOOKUP(W138,技能!A:B,2)</f>
        <v>酷刑</v>
      </c>
      <c r="Y138" s="39">
        <v>1</v>
      </c>
    </row>
    <row r="139" spans="1:25">
      <c r="A139" s="39" t="s">
        <v>84</v>
      </c>
      <c r="C139" s="39" t="s">
        <v>84</v>
      </c>
      <c r="L139" s="39" t="s">
        <v>84</v>
      </c>
      <c r="U139" t="str">
        <f t="shared" si="2"/>
        <v/>
      </c>
      <c r="V139" s="39" t="str">
        <f>IF(I139="","",VLOOKUP(I139,'装备&amp;材料'!$D$1:$E$6,2,FALSE))</f>
        <v/>
      </c>
      <c r="W139" s="39">
        <v>2802</v>
      </c>
      <c r="X139" s="39" t="str">
        <f>VLOOKUP(W139,技能!A:B,2)</f>
        <v>血祭</v>
      </c>
      <c r="Y139" s="39">
        <v>2</v>
      </c>
    </row>
    <row r="140" spans="1:25">
      <c r="A140" s="39" t="s">
        <v>84</v>
      </c>
      <c r="C140" s="39" t="s">
        <v>84</v>
      </c>
      <c r="L140" s="39" t="s">
        <v>84</v>
      </c>
      <c r="U140" t="str">
        <f t="shared" si="2"/>
        <v/>
      </c>
      <c r="V140" s="39" t="str">
        <f>IF(I140="","",VLOOKUP(I140,'装备&amp;材料'!$D$1:$E$6,2,FALSE))</f>
        <v/>
      </c>
      <c r="W140" s="39">
        <v>2803</v>
      </c>
      <c r="X140" s="39" t="str">
        <f>VLOOKUP(W140,技能!A:B,2)</f>
        <v>烙印之刑</v>
      </c>
      <c r="Y140" s="39">
        <v>3</v>
      </c>
    </row>
    <row r="141" spans="1:25">
      <c r="A141" s="39" t="s">
        <v>84</v>
      </c>
      <c r="C141" s="39" t="s">
        <v>84</v>
      </c>
      <c r="L141" s="39" t="s">
        <v>84</v>
      </c>
      <c r="U141" t="str">
        <f t="shared" si="2"/>
        <v/>
      </c>
      <c r="V141" s="39" t="str">
        <f>IF(I141="","",VLOOKUP(I141,'装备&amp;材料'!$D$1:$E$6,2,FALSE))</f>
        <v/>
      </c>
      <c r="W141" s="39">
        <v>2804</v>
      </c>
      <c r="X141" s="39" t="str">
        <f>VLOOKUP(W141,技能!A:B,2)</f>
        <v>死亡之握</v>
      </c>
      <c r="Y141" s="39">
        <v>4</v>
      </c>
    </row>
    <row r="142" spans="1:25">
      <c r="A142" s="39" t="s">
        <v>84</v>
      </c>
      <c r="C142" s="39" t="s">
        <v>84</v>
      </c>
      <c r="L142" s="39" t="s">
        <v>84</v>
      </c>
      <c r="U142" t="str">
        <f t="shared" si="2"/>
        <v/>
      </c>
      <c r="V142" s="39" t="str">
        <f>IF(I142="","",VLOOKUP(I142,'装备&amp;材料'!$D$1:$E$6,2,FALSE))</f>
        <v/>
      </c>
      <c r="W142" s="39">
        <v>2805</v>
      </c>
      <c r="X142" s="39" t="str">
        <f>VLOOKUP(W142,技能!A:B,2)</f>
        <v>疯狂之身</v>
      </c>
      <c r="Y142" s="39">
        <v>5</v>
      </c>
    </row>
    <row r="143" spans="1:25" ht="27">
      <c r="A143" s="39">
        <v>29</v>
      </c>
      <c r="B143" s="42" t="s">
        <v>686</v>
      </c>
      <c r="C143" s="39">
        <v>12</v>
      </c>
      <c r="D143" s="40" t="s">
        <v>1392</v>
      </c>
      <c r="E143" s="40" t="s">
        <v>6016</v>
      </c>
      <c r="I143" s="39">
        <v>5</v>
      </c>
      <c r="J143" s="39">
        <v>5</v>
      </c>
      <c r="K143" s="39">
        <v>1</v>
      </c>
      <c r="L143" s="39">
        <v>194</v>
      </c>
      <c r="M143" s="81">
        <v>13</v>
      </c>
      <c r="N143" s="81">
        <v>13</v>
      </c>
      <c r="O143" s="81">
        <v>12</v>
      </c>
      <c r="P143" s="81">
        <v>13</v>
      </c>
      <c r="Q143" s="81">
        <v>105</v>
      </c>
      <c r="R143" s="81">
        <v>111</v>
      </c>
      <c r="S143" s="81">
        <v>55</v>
      </c>
      <c r="T143" s="81">
        <v>55</v>
      </c>
      <c r="U143">
        <f t="shared" si="2"/>
        <v>600</v>
      </c>
      <c r="V143" s="39">
        <f>IF(I143="","",VLOOKUP(I143,'装备&amp;材料'!$D$1:$E$6,2,FALSE))</f>
        <v>600</v>
      </c>
      <c r="W143" s="39">
        <v>2901</v>
      </c>
      <c r="X143" s="39" t="str">
        <f>VLOOKUP(W143,技能!A:B,2)</f>
        <v>豪火球</v>
      </c>
      <c r="Y143" s="39">
        <v>1</v>
      </c>
    </row>
    <row r="144" spans="1:25">
      <c r="A144" s="39" t="s">
        <v>84</v>
      </c>
      <c r="C144" s="39" t="s">
        <v>84</v>
      </c>
      <c r="L144" s="39" t="s">
        <v>84</v>
      </c>
      <c r="U144" t="str">
        <f t="shared" si="2"/>
        <v/>
      </c>
      <c r="V144" s="39" t="str">
        <f>IF(I144="","",VLOOKUP(I144,'装备&amp;材料'!$D$1:$E$6,2,FALSE))</f>
        <v/>
      </c>
      <c r="W144" s="39">
        <v>2902</v>
      </c>
      <c r="X144" s="39" t="str">
        <f>VLOOKUP(W144,技能!A:B,2)</f>
        <v>火遁·凤仙火</v>
      </c>
      <c r="Y144" s="39">
        <v>2</v>
      </c>
    </row>
    <row r="145" spans="1:25">
      <c r="A145" s="39" t="s">
        <v>84</v>
      </c>
      <c r="C145" s="39" t="s">
        <v>84</v>
      </c>
      <c r="L145" s="39" t="s">
        <v>84</v>
      </c>
      <c r="U145" t="str">
        <f t="shared" si="2"/>
        <v/>
      </c>
      <c r="V145" s="39" t="str">
        <f>IF(I145="","",VLOOKUP(I145,'装备&amp;材料'!$D$1:$E$6,2,FALSE))</f>
        <v/>
      </c>
      <c r="W145" s="39">
        <v>2903</v>
      </c>
      <c r="X145" s="39" t="str">
        <f>VLOOKUP(W145,技能!A:B,2)</f>
        <v>嗜火</v>
      </c>
      <c r="Y145" s="39">
        <v>3</v>
      </c>
    </row>
    <row r="146" spans="1:25">
      <c r="A146" s="39" t="s">
        <v>84</v>
      </c>
      <c r="C146" s="39" t="s">
        <v>84</v>
      </c>
      <c r="L146" s="39" t="s">
        <v>84</v>
      </c>
      <c r="U146" t="str">
        <f t="shared" si="2"/>
        <v/>
      </c>
      <c r="V146" s="39" t="str">
        <f>IF(I146="","",VLOOKUP(I146,'装备&amp;材料'!$D$1:$E$6,2,FALSE))</f>
        <v/>
      </c>
      <c r="W146" s="39">
        <v>2904</v>
      </c>
      <c r="X146" s="39" t="str">
        <f>VLOOKUP(W146,技能!A:B,2)</f>
        <v>阴影破坏者</v>
      </c>
      <c r="Y146" s="39">
        <v>4</v>
      </c>
    </row>
    <row r="147" spans="1:25">
      <c r="A147" s="39" t="s">
        <v>84</v>
      </c>
      <c r="C147" s="39" t="s">
        <v>84</v>
      </c>
      <c r="L147" s="39" t="s">
        <v>84</v>
      </c>
      <c r="U147" t="str">
        <f t="shared" si="2"/>
        <v/>
      </c>
      <c r="V147" s="39" t="str">
        <f>IF(I147="","",VLOOKUP(I147,'装备&amp;材料'!$D$1:$E$6,2,FALSE))</f>
        <v/>
      </c>
      <c r="W147" s="39">
        <v>2905</v>
      </c>
      <c r="X147" s="39" t="str">
        <f>VLOOKUP(W147,技能!A:B,2)</f>
        <v>焚烧</v>
      </c>
      <c r="Y147" s="39">
        <v>5</v>
      </c>
    </row>
    <row r="148" spans="1:25">
      <c r="A148" s="39">
        <v>30</v>
      </c>
      <c r="B148" s="45" t="s">
        <v>687</v>
      </c>
      <c r="C148" s="39">
        <v>36</v>
      </c>
      <c r="D148" s="40" t="s">
        <v>852</v>
      </c>
      <c r="I148" s="39">
        <v>6</v>
      </c>
      <c r="J148" s="39">
        <v>2</v>
      </c>
      <c r="K148" s="39">
        <v>1</v>
      </c>
      <c r="L148" s="39">
        <v>278</v>
      </c>
      <c r="M148" s="83">
        <v>17</v>
      </c>
      <c r="N148" s="83">
        <v>17</v>
      </c>
      <c r="O148" s="83">
        <v>16</v>
      </c>
      <c r="P148" s="83">
        <v>16</v>
      </c>
      <c r="Q148" s="83">
        <v>130</v>
      </c>
      <c r="R148" s="83">
        <v>115</v>
      </c>
      <c r="S148" s="83">
        <v>68</v>
      </c>
      <c r="T148" s="83">
        <v>68</v>
      </c>
      <c r="U148">
        <f t="shared" si="2"/>
        <v>750</v>
      </c>
      <c r="V148" s="39">
        <f>IF(I148="","",VLOOKUP(I148,'装备&amp;材料'!$D$1:$E$6,2,FALSE))</f>
        <v>750</v>
      </c>
      <c r="W148" s="39">
        <v>3001</v>
      </c>
      <c r="X148" s="39" t="str">
        <f>VLOOKUP(W148,技能!A:B,2)</f>
        <v>雷切</v>
      </c>
      <c r="Y148" s="39">
        <v>1</v>
      </c>
    </row>
    <row r="149" spans="1:25">
      <c r="A149" s="39" t="s">
        <v>84</v>
      </c>
      <c r="C149" s="39" t="s">
        <v>84</v>
      </c>
      <c r="L149" s="39" t="s">
        <v>84</v>
      </c>
      <c r="U149" t="str">
        <f t="shared" si="2"/>
        <v/>
      </c>
      <c r="V149" s="39" t="str">
        <f>IF(I149="","",VLOOKUP(I149,'装备&amp;材料'!$D$1:$E$6,2,FALSE))</f>
        <v/>
      </c>
      <c r="W149" s="39">
        <v>3002</v>
      </c>
      <c r="X149" s="39" t="str">
        <f>VLOOKUP(W149,技能!A:B,2)</f>
        <v>空蝉</v>
      </c>
      <c r="Y149" s="39">
        <v>2</v>
      </c>
    </row>
    <row r="150" spans="1:25">
      <c r="A150" s="39" t="s">
        <v>84</v>
      </c>
      <c r="C150" s="39" t="s">
        <v>84</v>
      </c>
      <c r="L150" s="39" t="s">
        <v>84</v>
      </c>
      <c r="U150" t="str">
        <f t="shared" si="2"/>
        <v/>
      </c>
      <c r="V150" s="39" t="str">
        <f>IF(I150="","",VLOOKUP(I150,'装备&amp;材料'!$D$1:$E$6,2,FALSE))</f>
        <v/>
      </c>
      <c r="W150" s="39">
        <v>3003</v>
      </c>
      <c r="X150" s="39" t="str">
        <f>VLOOKUP(W150,技能!A:B,2)</f>
        <v>忍法</v>
      </c>
      <c r="Y150" s="39">
        <v>3</v>
      </c>
    </row>
    <row r="151" spans="1:25">
      <c r="A151" s="39" t="s">
        <v>84</v>
      </c>
      <c r="C151" s="39" t="s">
        <v>84</v>
      </c>
      <c r="L151" s="39" t="s">
        <v>84</v>
      </c>
      <c r="U151" t="str">
        <f t="shared" si="2"/>
        <v/>
      </c>
      <c r="V151" s="39" t="str">
        <f>IF(I151="","",VLOOKUP(I151,'装备&amp;材料'!$D$1:$E$6,2,FALSE))</f>
        <v/>
      </c>
      <c r="W151" s="39">
        <v>3004</v>
      </c>
      <c r="X151" s="39" t="str">
        <f>VLOOKUP(W151,技能!A:B,2)</f>
        <v>暗杀</v>
      </c>
      <c r="Y151" s="39">
        <v>4</v>
      </c>
    </row>
    <row r="152" spans="1:25">
      <c r="A152" s="39" t="s">
        <v>84</v>
      </c>
      <c r="C152" s="39" t="s">
        <v>84</v>
      </c>
      <c r="L152" s="39" t="s">
        <v>84</v>
      </c>
      <c r="U152" t="str">
        <f t="shared" si="2"/>
        <v/>
      </c>
      <c r="V152" s="39" t="str">
        <f>IF(I152="","",VLOOKUP(I152,'装备&amp;材料'!$D$1:$E$6,2,FALSE))</f>
        <v/>
      </c>
      <c r="W152" s="39">
        <v>3005</v>
      </c>
      <c r="X152" s="39" t="str">
        <f>VLOOKUP(W152,技能!A:B,2)</f>
        <v>秘·千年杀</v>
      </c>
      <c r="Y152" s="39">
        <v>5</v>
      </c>
    </row>
    <row r="153" spans="1:25">
      <c r="A153" s="39">
        <v>31</v>
      </c>
      <c r="B153" s="42" t="s">
        <v>688</v>
      </c>
      <c r="C153" s="39">
        <v>231</v>
      </c>
      <c r="D153" s="40" t="s">
        <v>1393</v>
      </c>
      <c r="I153" s="39">
        <v>5</v>
      </c>
      <c r="J153" s="39">
        <v>4</v>
      </c>
      <c r="K153" s="39">
        <v>0</v>
      </c>
      <c r="L153" s="39">
        <v>180</v>
      </c>
      <c r="M153" s="81">
        <v>14</v>
      </c>
      <c r="N153" s="81">
        <v>14</v>
      </c>
      <c r="O153" s="81">
        <v>12</v>
      </c>
      <c r="P153" s="81">
        <v>13</v>
      </c>
      <c r="Q153" s="81">
        <v>104</v>
      </c>
      <c r="R153" s="81">
        <v>113</v>
      </c>
      <c r="S153" s="81">
        <v>55</v>
      </c>
      <c r="T153" s="81">
        <v>55</v>
      </c>
      <c r="U153">
        <f t="shared" si="2"/>
        <v>600</v>
      </c>
      <c r="V153" s="39">
        <f>IF(I153="","",VLOOKUP(I153,'装备&amp;材料'!$D$1:$E$6,2,FALSE))</f>
        <v>600</v>
      </c>
      <c r="W153" s="39">
        <v>3101</v>
      </c>
      <c r="X153" s="39" t="str">
        <f>VLOOKUP(W153,技能!A:B,2)</f>
        <v>雷吼剑</v>
      </c>
      <c r="Y153" s="39">
        <v>1</v>
      </c>
    </row>
    <row r="154" spans="1:25">
      <c r="A154" s="39" t="s">
        <v>84</v>
      </c>
      <c r="C154" s="39" t="s">
        <v>84</v>
      </c>
      <c r="L154" s="39" t="s">
        <v>84</v>
      </c>
      <c r="U154" t="str">
        <f t="shared" si="2"/>
        <v/>
      </c>
      <c r="V154" s="39" t="str">
        <f>IF(I154="","",VLOOKUP(I154,'装备&amp;材料'!$D$1:$E$6,2,FALSE))</f>
        <v/>
      </c>
      <c r="W154" s="39">
        <v>3102</v>
      </c>
      <c r="X154" s="39" t="str">
        <f>VLOOKUP(W154,技能!A:B,2)</f>
        <v>影分身</v>
      </c>
      <c r="Y154" s="39">
        <v>2</v>
      </c>
    </row>
    <row r="155" spans="1:25">
      <c r="A155" s="39" t="s">
        <v>84</v>
      </c>
      <c r="C155" s="39" t="s">
        <v>84</v>
      </c>
      <c r="L155" s="39" t="s">
        <v>84</v>
      </c>
      <c r="U155" t="str">
        <f t="shared" si="2"/>
        <v/>
      </c>
      <c r="V155" s="39" t="str">
        <f>IF(I155="","",VLOOKUP(I155,'装备&amp;材料'!$D$1:$E$6,2,FALSE))</f>
        <v/>
      </c>
      <c r="W155" s="39">
        <v>3103</v>
      </c>
      <c r="X155" s="39" t="str">
        <f>VLOOKUP(W155,技能!A:B,2)</f>
        <v>雷华</v>
      </c>
      <c r="Y155" s="39">
        <v>3</v>
      </c>
    </row>
    <row r="156" spans="1:25">
      <c r="A156" s="39" t="s">
        <v>84</v>
      </c>
      <c r="C156" s="39" t="s">
        <v>84</v>
      </c>
      <c r="L156" s="39" t="s">
        <v>84</v>
      </c>
      <c r="U156" t="str">
        <f t="shared" si="2"/>
        <v/>
      </c>
      <c r="V156" s="39" t="str">
        <f>IF(I156="","",VLOOKUP(I156,'装备&amp;材料'!$D$1:$E$6,2,FALSE))</f>
        <v/>
      </c>
      <c r="W156" s="39">
        <v>3104</v>
      </c>
      <c r="X156" s="39" t="str">
        <f>VLOOKUP(W156,技能!A:B,2)</f>
        <v>兽玉强化</v>
      </c>
      <c r="Y156" s="39">
        <v>4</v>
      </c>
    </row>
    <row r="157" spans="1:25">
      <c r="A157" s="39" t="s">
        <v>84</v>
      </c>
      <c r="C157" s="39" t="s">
        <v>84</v>
      </c>
      <c r="L157" s="39" t="s">
        <v>84</v>
      </c>
      <c r="U157" t="str">
        <f t="shared" si="2"/>
        <v/>
      </c>
      <c r="V157" s="39" t="str">
        <f>IF(I157="","",VLOOKUP(I157,'装备&amp;材料'!$D$1:$E$6,2,FALSE))</f>
        <v/>
      </c>
      <c r="W157" s="39">
        <v>3105</v>
      </c>
      <c r="X157" s="39" t="str">
        <f>VLOOKUP(W157,技能!A:B,2)</f>
        <v>能量扩充</v>
      </c>
      <c r="Y157" s="39">
        <v>5</v>
      </c>
    </row>
    <row r="158" spans="1:25">
      <c r="A158" s="39">
        <v>32</v>
      </c>
      <c r="B158" s="44" t="s">
        <v>6010</v>
      </c>
      <c r="C158" s="39">
        <v>232</v>
      </c>
      <c r="D158" s="40" t="s">
        <v>1394</v>
      </c>
      <c r="E158" s="40" t="s">
        <v>6011</v>
      </c>
      <c r="I158" s="39">
        <v>6</v>
      </c>
      <c r="J158" s="39">
        <v>1</v>
      </c>
      <c r="K158" s="39">
        <v>1</v>
      </c>
      <c r="L158" s="39">
        <v>276</v>
      </c>
      <c r="M158" s="83">
        <v>17</v>
      </c>
      <c r="N158" s="83">
        <v>17</v>
      </c>
      <c r="O158" s="83">
        <v>17</v>
      </c>
      <c r="P158" s="83">
        <v>17</v>
      </c>
      <c r="Q158" s="83">
        <v>135</v>
      </c>
      <c r="R158" s="83">
        <v>109</v>
      </c>
      <c r="S158" s="83">
        <v>65</v>
      </c>
      <c r="T158" s="83">
        <v>65</v>
      </c>
      <c r="U158">
        <f t="shared" si="2"/>
        <v>750</v>
      </c>
      <c r="V158" s="39">
        <f>IF(I158="","",VLOOKUP(I158,'装备&amp;材料'!$D$1:$E$6,2,FALSE))</f>
        <v>750</v>
      </c>
      <c r="W158" s="39">
        <v>3201</v>
      </c>
      <c r="X158" s="39" t="str">
        <f>VLOOKUP(W158,技能!A:B,2)</f>
        <v>狩物佛钉</v>
      </c>
      <c r="Y158" s="39">
        <v>1</v>
      </c>
    </row>
    <row r="159" spans="1:25">
      <c r="A159" s="39" t="s">
        <v>84</v>
      </c>
      <c r="C159" s="39" t="s">
        <v>84</v>
      </c>
      <c r="L159" s="39" t="s">
        <v>84</v>
      </c>
      <c r="U159" t="str">
        <f t="shared" si="2"/>
        <v/>
      </c>
      <c r="V159" s="39" t="str">
        <f>IF(I159="","",VLOOKUP(I159,'装备&amp;材料'!$D$1:$E$6,2,FALSE))</f>
        <v/>
      </c>
      <c r="W159" s="39">
        <v>3202</v>
      </c>
      <c r="X159" s="39" t="str">
        <f>VLOOKUP(W159,技能!A:B,2)</f>
        <v>三界金猿文殊</v>
      </c>
      <c r="Y159" s="39">
        <v>2</v>
      </c>
    </row>
    <row r="160" spans="1:25">
      <c r="A160" s="39" t="s">
        <v>84</v>
      </c>
      <c r="C160" s="39" t="s">
        <v>84</v>
      </c>
      <c r="L160" s="39" t="s">
        <v>84</v>
      </c>
      <c r="U160" t="str">
        <f t="shared" si="2"/>
        <v/>
      </c>
      <c r="V160" s="39" t="str">
        <f>IF(I160="","",VLOOKUP(I160,'装备&amp;材料'!$D$1:$E$6,2,FALSE))</f>
        <v/>
      </c>
      <c r="W160" s="39">
        <v>3203</v>
      </c>
      <c r="X160" s="39" t="str">
        <f>VLOOKUP(W160,技能!A:B,2)</f>
        <v>刀狩令</v>
      </c>
      <c r="Y160" s="39">
        <v>3</v>
      </c>
    </row>
    <row r="161" spans="1:25">
      <c r="A161" s="39" t="s">
        <v>84</v>
      </c>
      <c r="C161" s="39" t="s">
        <v>84</v>
      </c>
      <c r="L161" s="39" t="s">
        <v>84</v>
      </c>
      <c r="U161" t="str">
        <f t="shared" si="2"/>
        <v/>
      </c>
      <c r="V161" s="39" t="str">
        <f>IF(I161="","",VLOOKUP(I161,'装备&amp;材料'!$D$1:$E$6,2,FALSE))</f>
        <v/>
      </c>
      <c r="W161" s="39">
        <v>3204</v>
      </c>
      <c r="X161" s="39" t="str">
        <f>VLOOKUP(W161,技能!A:B,2)</f>
        <v>日轮</v>
      </c>
      <c r="Y161" s="39">
        <v>4</v>
      </c>
    </row>
    <row r="162" spans="1:25">
      <c r="A162" s="39" t="s">
        <v>84</v>
      </c>
      <c r="C162" s="39" t="s">
        <v>84</v>
      </c>
      <c r="L162" s="39" t="s">
        <v>84</v>
      </c>
      <c r="U162" t="str">
        <f t="shared" si="2"/>
        <v/>
      </c>
      <c r="V162" s="39" t="str">
        <f>IF(I162="","",VLOOKUP(I162,'装备&amp;材料'!$D$1:$E$6,2,FALSE))</f>
        <v/>
      </c>
      <c r="W162" s="39">
        <v>3205</v>
      </c>
      <c r="X162" s="39" t="str">
        <f>VLOOKUP(W162,技能!A:B,2)</f>
        <v>能量扩充</v>
      </c>
      <c r="Y162" s="39">
        <v>5</v>
      </c>
    </row>
    <row r="163" spans="1:25">
      <c r="A163" s="39">
        <v>33</v>
      </c>
      <c r="B163" s="54" t="s">
        <v>689</v>
      </c>
      <c r="C163" s="39">
        <v>233</v>
      </c>
      <c r="D163" s="40" t="s">
        <v>853</v>
      </c>
      <c r="I163" s="39">
        <v>5</v>
      </c>
      <c r="J163" s="39">
        <v>4</v>
      </c>
      <c r="K163" s="39">
        <v>1</v>
      </c>
      <c r="L163" s="39">
        <v>196</v>
      </c>
      <c r="M163" s="81">
        <v>12</v>
      </c>
      <c r="N163" s="81">
        <v>12</v>
      </c>
      <c r="O163" s="81">
        <v>13</v>
      </c>
      <c r="P163" s="81">
        <v>12</v>
      </c>
      <c r="Q163" s="81">
        <v>111</v>
      </c>
      <c r="R163" s="81">
        <v>105</v>
      </c>
      <c r="S163" s="81">
        <v>56</v>
      </c>
      <c r="T163" s="81">
        <v>57</v>
      </c>
      <c r="U163">
        <f t="shared" si="2"/>
        <v>600</v>
      </c>
      <c r="V163" s="39">
        <f>IF(I163="","",VLOOKUP(I163,'装备&amp;材料'!$D$1:$E$6,2,FALSE))</f>
        <v>600</v>
      </c>
      <c r="W163" s="39">
        <v>3301</v>
      </c>
      <c r="X163" s="39" t="str">
        <f>VLOOKUP(W163,技能!A:B,2)</f>
        <v>神采奕奕</v>
      </c>
      <c r="Y163" s="39">
        <v>1</v>
      </c>
    </row>
    <row r="164" spans="1:25">
      <c r="A164" s="39" t="s">
        <v>84</v>
      </c>
      <c r="C164" s="39" t="s">
        <v>84</v>
      </c>
      <c r="L164" s="39" t="s">
        <v>84</v>
      </c>
      <c r="U164" t="str">
        <f t="shared" si="2"/>
        <v/>
      </c>
      <c r="V164" s="39" t="str">
        <f>IF(I164="","",VLOOKUP(I164,'装备&amp;材料'!$D$1:$E$6,2,FALSE))</f>
        <v/>
      </c>
      <c r="W164" s="39">
        <v>3302</v>
      </c>
      <c r="X164" s="39" t="str">
        <f>VLOOKUP(W164,技能!A:B,2)</f>
        <v>撒手锏</v>
      </c>
      <c r="Y164" s="39">
        <v>2</v>
      </c>
    </row>
    <row r="165" spans="1:25">
      <c r="A165" s="39" t="s">
        <v>84</v>
      </c>
      <c r="C165" s="39" t="s">
        <v>84</v>
      </c>
      <c r="L165" s="39" t="s">
        <v>84</v>
      </c>
      <c r="U165" t="str">
        <f t="shared" si="2"/>
        <v/>
      </c>
      <c r="V165" s="39" t="str">
        <f>IF(I165="","",VLOOKUP(I165,'装备&amp;材料'!$D$1:$E$6,2,FALSE))</f>
        <v/>
      </c>
      <c r="W165" s="39">
        <v>3303</v>
      </c>
      <c r="X165" s="39" t="str">
        <f>VLOOKUP(W165,技能!A:B,2)</f>
        <v>提炉枪</v>
      </c>
      <c r="Y165" s="39">
        <v>3</v>
      </c>
    </row>
    <row r="166" spans="1:25">
      <c r="A166" s="39" t="s">
        <v>84</v>
      </c>
      <c r="C166" s="39" t="s">
        <v>84</v>
      </c>
      <c r="L166" s="39" t="s">
        <v>84</v>
      </c>
      <c r="U166" t="str">
        <f t="shared" si="2"/>
        <v/>
      </c>
      <c r="V166" s="39" t="str">
        <f>IF(I166="","",VLOOKUP(I166,'装备&amp;材料'!$D$1:$E$6,2,FALSE))</f>
        <v/>
      </c>
      <c r="W166" s="39">
        <v>3304</v>
      </c>
      <c r="X166" s="39" t="str">
        <f>VLOOKUP(W166,技能!A:B,2)</f>
        <v>月光之灵</v>
      </c>
      <c r="Y166" s="39">
        <v>4</v>
      </c>
    </row>
    <row r="167" spans="1:25">
      <c r="A167" s="39" t="s">
        <v>84</v>
      </c>
      <c r="C167" s="39" t="s">
        <v>84</v>
      </c>
      <c r="L167" s="39" t="s">
        <v>84</v>
      </c>
      <c r="U167" t="str">
        <f t="shared" si="2"/>
        <v/>
      </c>
      <c r="V167" s="39" t="str">
        <f>IF(I167="","",VLOOKUP(I167,'装备&amp;材料'!$D$1:$E$6,2,FALSE))</f>
        <v/>
      </c>
      <c r="W167" s="39">
        <v>3305</v>
      </c>
      <c r="X167" s="39" t="str">
        <f>VLOOKUP(W167,技能!A:B,2)</f>
        <v>破军之怒</v>
      </c>
      <c r="Y167" s="39">
        <v>5</v>
      </c>
    </row>
    <row r="168" spans="1:25">
      <c r="A168" s="39">
        <v>34</v>
      </c>
      <c r="B168" s="55" t="s">
        <v>690</v>
      </c>
      <c r="C168" s="39">
        <v>234</v>
      </c>
      <c r="D168" s="40" t="s">
        <v>854</v>
      </c>
      <c r="I168" s="39">
        <v>4</v>
      </c>
      <c r="J168" s="39">
        <v>1</v>
      </c>
      <c r="K168" s="39">
        <v>0</v>
      </c>
      <c r="L168" s="39">
        <v>172</v>
      </c>
      <c r="M168" s="82">
        <v>9</v>
      </c>
      <c r="N168" s="82">
        <v>9</v>
      </c>
      <c r="O168" s="82">
        <v>9</v>
      </c>
      <c r="P168" s="82">
        <v>9</v>
      </c>
      <c r="Q168" s="82">
        <v>98</v>
      </c>
      <c r="R168" s="82">
        <v>91</v>
      </c>
      <c r="S168" s="82">
        <v>51</v>
      </c>
      <c r="T168" s="82">
        <v>48</v>
      </c>
      <c r="U168">
        <f t="shared" si="2"/>
        <v>500</v>
      </c>
      <c r="V168" s="39">
        <f>IF(I168="","",VLOOKUP(I168,'装备&amp;材料'!$D$1:$E$6,2,FALSE))</f>
        <v>500</v>
      </c>
      <c r="W168" s="39">
        <v>3401</v>
      </c>
      <c r="X168" s="39" t="str">
        <f>VLOOKUP(W168,技能!A:B,2)</f>
        <v>钢皮</v>
      </c>
      <c r="Y168" s="39">
        <v>1</v>
      </c>
    </row>
    <row r="169" spans="1:25">
      <c r="A169" s="39" t="s">
        <v>84</v>
      </c>
      <c r="C169" s="39" t="s">
        <v>84</v>
      </c>
      <c r="L169" s="39" t="s">
        <v>84</v>
      </c>
      <c r="U169" t="str">
        <f t="shared" si="2"/>
        <v/>
      </c>
      <c r="V169" s="39" t="str">
        <f>IF(I169="","",VLOOKUP(I169,'装备&amp;材料'!$D$1:$E$6,2,FALSE))</f>
        <v/>
      </c>
      <c r="W169" s="39">
        <v>3402</v>
      </c>
      <c r="X169" s="39" t="str">
        <f>VLOOKUP(W169,技能!A:B,2)</f>
        <v>狂暴</v>
      </c>
      <c r="Y169" s="39">
        <v>2</v>
      </c>
    </row>
    <row r="170" spans="1:25">
      <c r="A170" s="39" t="s">
        <v>84</v>
      </c>
      <c r="C170" s="39" t="s">
        <v>84</v>
      </c>
      <c r="L170" s="39" t="s">
        <v>84</v>
      </c>
      <c r="U170" t="str">
        <f t="shared" si="2"/>
        <v/>
      </c>
      <c r="V170" s="39" t="str">
        <f>IF(I170="","",VLOOKUP(I170,'装备&amp;材料'!$D$1:$E$6,2,FALSE))</f>
        <v/>
      </c>
      <c r="W170" s="39">
        <v>3403</v>
      </c>
      <c r="X170" s="39" t="str">
        <f>VLOOKUP(W170,技能!A:B,2)</f>
        <v>鬼哭旋风</v>
      </c>
      <c r="Y170" s="39">
        <v>3</v>
      </c>
    </row>
    <row r="171" spans="1:25">
      <c r="A171" s="39" t="s">
        <v>84</v>
      </c>
      <c r="C171" s="39" t="s">
        <v>84</v>
      </c>
      <c r="L171" s="39" t="s">
        <v>84</v>
      </c>
      <c r="U171" t="str">
        <f t="shared" si="2"/>
        <v/>
      </c>
      <c r="V171" s="39" t="str">
        <f>IF(I171="","",VLOOKUP(I171,'装备&amp;材料'!$D$1:$E$6,2,FALSE))</f>
        <v/>
      </c>
      <c r="W171" s="39">
        <v>3404</v>
      </c>
      <c r="X171" s="39" t="str">
        <f>VLOOKUP(W171,技能!A:B,2)</f>
        <v>搅碎</v>
      </c>
      <c r="Y171" s="39">
        <v>4</v>
      </c>
    </row>
    <row r="172" spans="1:25">
      <c r="A172" s="39" t="s">
        <v>84</v>
      </c>
      <c r="C172" s="39" t="s">
        <v>84</v>
      </c>
      <c r="L172" s="39" t="s">
        <v>84</v>
      </c>
      <c r="U172" t="str">
        <f t="shared" si="2"/>
        <v/>
      </c>
      <c r="V172" s="39" t="str">
        <f>IF(I172="","",VLOOKUP(I172,'装备&amp;材料'!$D$1:$E$6,2,FALSE))</f>
        <v/>
      </c>
      <c r="W172" s="39">
        <v>3405</v>
      </c>
      <c r="X172" s="39" t="str">
        <f>VLOOKUP(W172,技能!A:B,2)</f>
        <v>斩首</v>
      </c>
      <c r="Y172" s="39">
        <v>5</v>
      </c>
    </row>
    <row r="173" spans="1:25">
      <c r="A173" s="39">
        <v>35</v>
      </c>
      <c r="B173" s="44" t="s">
        <v>691</v>
      </c>
      <c r="C173" s="39">
        <v>235</v>
      </c>
      <c r="D173" s="40" t="s">
        <v>855</v>
      </c>
      <c r="I173" s="39">
        <v>6</v>
      </c>
      <c r="J173" s="39">
        <v>1</v>
      </c>
      <c r="K173" s="39">
        <v>0</v>
      </c>
      <c r="L173" s="39">
        <v>284</v>
      </c>
      <c r="M173" s="83">
        <v>17</v>
      </c>
      <c r="N173" s="83">
        <v>17</v>
      </c>
      <c r="O173" s="83">
        <v>16</v>
      </c>
      <c r="P173" s="83">
        <v>16</v>
      </c>
      <c r="Q173" s="83">
        <v>126</v>
      </c>
      <c r="R173" s="83">
        <v>110</v>
      </c>
      <c r="S173" s="83">
        <v>71</v>
      </c>
      <c r="T173" s="83">
        <v>71</v>
      </c>
      <c r="U173">
        <f t="shared" si="2"/>
        <v>750</v>
      </c>
      <c r="V173" s="39">
        <f>IF(I173="","",VLOOKUP(I173,'装备&amp;材料'!$D$1:$E$6,2,FALSE))</f>
        <v>750</v>
      </c>
      <c r="W173" s="39">
        <v>3501</v>
      </c>
      <c r="X173" s="39" t="str">
        <f>VLOOKUP(W173,技能!A:B,2)</f>
        <v>残暴猛击</v>
      </c>
      <c r="Y173" s="39">
        <v>1</v>
      </c>
    </row>
    <row r="174" spans="1:25">
      <c r="A174" s="39" t="s">
        <v>84</v>
      </c>
      <c r="C174" s="39" t="s">
        <v>84</v>
      </c>
      <c r="L174" s="39" t="s">
        <v>84</v>
      </c>
      <c r="U174" t="str">
        <f t="shared" si="2"/>
        <v/>
      </c>
      <c r="V174" s="39" t="str">
        <f>IF(I174="","",VLOOKUP(I174,'装备&amp;材料'!$D$1:$E$6,2,FALSE))</f>
        <v/>
      </c>
      <c r="W174" s="39">
        <v>3502</v>
      </c>
      <c r="X174" s="39" t="str">
        <f>VLOOKUP(W174,技能!A:B,2)</f>
        <v>战争预知</v>
      </c>
      <c r="Y174" s="39">
        <v>2</v>
      </c>
    </row>
    <row r="175" spans="1:25">
      <c r="A175" s="39" t="s">
        <v>84</v>
      </c>
      <c r="C175" s="39" t="s">
        <v>84</v>
      </c>
      <c r="L175" s="39" t="s">
        <v>84</v>
      </c>
      <c r="U175" t="str">
        <f t="shared" si="2"/>
        <v/>
      </c>
      <c r="V175" s="39" t="str">
        <f>IF(I175="","",VLOOKUP(I175,'装备&amp;材料'!$D$1:$E$6,2,FALSE))</f>
        <v/>
      </c>
      <c r="W175" s="39">
        <v>3503</v>
      </c>
      <c r="X175" s="39" t="str">
        <f>VLOOKUP(W175,技能!A:B,2)</f>
        <v>冥水之浸</v>
      </c>
      <c r="Y175" s="39">
        <v>3</v>
      </c>
    </row>
    <row r="176" spans="1:25">
      <c r="A176" s="39" t="s">
        <v>84</v>
      </c>
      <c r="C176" s="39" t="s">
        <v>84</v>
      </c>
      <c r="L176" s="39" t="s">
        <v>84</v>
      </c>
      <c r="U176" t="str">
        <f t="shared" si="2"/>
        <v/>
      </c>
      <c r="V176" s="39" t="str">
        <f>IF(I176="","",VLOOKUP(I176,'装备&amp;材料'!$D$1:$E$6,2,FALSE))</f>
        <v/>
      </c>
      <c r="W176" s="39">
        <v>3504</v>
      </c>
      <c r="X176" s="39" t="str">
        <f>VLOOKUP(W176,技能!A:B,2)</f>
        <v>天火之炼</v>
      </c>
      <c r="Y176" s="39">
        <v>4</v>
      </c>
    </row>
    <row r="177" spans="1:25">
      <c r="A177" s="39" t="s">
        <v>84</v>
      </c>
      <c r="C177" s="39" t="s">
        <v>84</v>
      </c>
      <c r="L177" s="39" t="s">
        <v>84</v>
      </c>
      <c r="U177" t="str">
        <f t="shared" si="2"/>
        <v/>
      </c>
      <c r="V177" s="39" t="str">
        <f>IF(I177="","",VLOOKUP(I177,'装备&amp;材料'!$D$1:$E$6,2,FALSE))</f>
        <v/>
      </c>
      <c r="W177" s="39">
        <v>3505</v>
      </c>
      <c r="X177" s="39" t="str">
        <f>VLOOKUP(W177,技能!A:B,2)</f>
        <v>不死之身</v>
      </c>
      <c r="Y177" s="39">
        <v>5</v>
      </c>
    </row>
    <row r="178" spans="1:25">
      <c r="A178" s="39">
        <v>36</v>
      </c>
      <c r="B178" s="42" t="s">
        <v>692</v>
      </c>
      <c r="C178" s="39">
        <v>236</v>
      </c>
      <c r="D178" s="40" t="s">
        <v>1395</v>
      </c>
      <c r="I178" s="39">
        <v>5</v>
      </c>
      <c r="J178" s="39">
        <v>2</v>
      </c>
      <c r="K178" s="39">
        <v>0</v>
      </c>
      <c r="L178" s="39">
        <v>172</v>
      </c>
      <c r="M178" s="81">
        <v>14</v>
      </c>
      <c r="N178" s="81">
        <v>14</v>
      </c>
      <c r="O178" s="81">
        <v>12</v>
      </c>
      <c r="P178" s="81">
        <v>12</v>
      </c>
      <c r="Q178" s="81">
        <v>102</v>
      </c>
      <c r="R178" s="81">
        <v>122</v>
      </c>
      <c r="S178" s="81">
        <v>55</v>
      </c>
      <c r="T178" s="81">
        <v>55</v>
      </c>
      <c r="U178">
        <f t="shared" si="2"/>
        <v>600</v>
      </c>
      <c r="V178" s="39">
        <f>IF(I178="","",VLOOKUP(I178,'装备&amp;材料'!$D$1:$E$6,2,FALSE))</f>
        <v>600</v>
      </c>
      <c r="W178" s="39">
        <v>3601</v>
      </c>
      <c r="X178" s="39" t="str">
        <f>VLOOKUP(W178,技能!A:B,2)</f>
        <v>闪电箭</v>
      </c>
      <c r="Y178" s="39">
        <v>1</v>
      </c>
    </row>
    <row r="179" spans="1:25">
      <c r="A179" s="39" t="s">
        <v>84</v>
      </c>
      <c r="C179" s="39" t="s">
        <v>84</v>
      </c>
      <c r="L179" s="39" t="s">
        <v>84</v>
      </c>
      <c r="U179" t="str">
        <f t="shared" si="2"/>
        <v/>
      </c>
      <c r="V179" s="39" t="str">
        <f>IF(I179="","",VLOOKUP(I179,'装备&amp;材料'!$D$1:$E$6,2,FALSE))</f>
        <v/>
      </c>
      <c r="W179" s="39">
        <v>3602</v>
      </c>
      <c r="X179" s="39" t="str">
        <f>VLOOKUP(W179,技能!A:B,2)</f>
        <v>雷霆一击</v>
      </c>
      <c r="Y179" s="39">
        <v>2</v>
      </c>
    </row>
    <row r="180" spans="1:25">
      <c r="A180" s="39" t="s">
        <v>84</v>
      </c>
      <c r="C180" s="39" t="s">
        <v>84</v>
      </c>
      <c r="L180" s="39" t="s">
        <v>84</v>
      </c>
      <c r="U180" t="str">
        <f t="shared" si="2"/>
        <v/>
      </c>
      <c r="V180" s="39" t="str">
        <f>IF(I180="","",VLOOKUP(I180,'装备&amp;材料'!$D$1:$E$6,2,FALSE))</f>
        <v/>
      </c>
      <c r="W180" s="39">
        <v>3603</v>
      </c>
      <c r="X180" s="39" t="str">
        <f>VLOOKUP(W180,技能!A:B,2)</f>
        <v>蓄电</v>
      </c>
      <c r="Y180" s="39">
        <v>3</v>
      </c>
    </row>
    <row r="181" spans="1:25">
      <c r="A181" s="39" t="s">
        <v>84</v>
      </c>
      <c r="C181" s="39" t="s">
        <v>84</v>
      </c>
      <c r="L181" s="39" t="s">
        <v>84</v>
      </c>
      <c r="U181" t="str">
        <f t="shared" si="2"/>
        <v/>
      </c>
      <c r="V181" s="39" t="str">
        <f>IF(I181="","",VLOOKUP(I181,'装备&amp;材料'!$D$1:$E$6,2,FALSE))</f>
        <v/>
      </c>
      <c r="W181" s="39">
        <v>3604</v>
      </c>
      <c r="X181" s="39" t="str">
        <f>VLOOKUP(W181,技能!A:B,2)</f>
        <v>电涌</v>
      </c>
      <c r="Y181" s="39">
        <v>4</v>
      </c>
    </row>
    <row r="182" spans="1:25">
      <c r="A182" s="39" t="s">
        <v>84</v>
      </c>
      <c r="C182" s="39" t="s">
        <v>84</v>
      </c>
      <c r="L182" s="39" t="s">
        <v>84</v>
      </c>
      <c r="U182" t="str">
        <f t="shared" si="2"/>
        <v/>
      </c>
      <c r="V182" s="39" t="str">
        <f>IF(I182="","",VLOOKUP(I182,'装备&amp;材料'!$D$1:$E$6,2,FALSE))</f>
        <v/>
      </c>
      <c r="W182" s="39">
        <v>3605</v>
      </c>
      <c r="X182" s="39" t="str">
        <f>VLOOKUP(W182,技能!A:B,2)</f>
        <v>王者审判</v>
      </c>
      <c r="Y182" s="39">
        <v>5</v>
      </c>
    </row>
    <row r="183" spans="1:25">
      <c r="A183" s="39">
        <v>37</v>
      </c>
      <c r="B183" s="45" t="s">
        <v>693</v>
      </c>
      <c r="C183" s="39">
        <v>237</v>
      </c>
      <c r="D183" s="40" t="s">
        <v>1396</v>
      </c>
      <c r="E183" s="40" t="s">
        <v>6011</v>
      </c>
      <c r="I183" s="39">
        <v>6</v>
      </c>
      <c r="J183" s="39">
        <v>5</v>
      </c>
      <c r="K183" s="39">
        <v>1</v>
      </c>
      <c r="L183" s="39">
        <v>272</v>
      </c>
      <c r="M183" s="83">
        <v>17</v>
      </c>
      <c r="N183" s="83">
        <v>17</v>
      </c>
      <c r="O183" s="83">
        <v>17</v>
      </c>
      <c r="P183" s="83">
        <v>17</v>
      </c>
      <c r="Q183" s="83">
        <v>115</v>
      </c>
      <c r="R183" s="83">
        <v>125</v>
      </c>
      <c r="S183" s="83">
        <v>67</v>
      </c>
      <c r="T183" s="83">
        <v>69</v>
      </c>
      <c r="U183">
        <f t="shared" si="2"/>
        <v>750</v>
      </c>
      <c r="V183" s="39">
        <f>IF(I183="","",VLOOKUP(I183,'装备&amp;材料'!$D$1:$E$6,2,FALSE))</f>
        <v>750</v>
      </c>
      <c r="W183" s="39">
        <v>3701</v>
      </c>
      <c r="X183" s="39" t="str">
        <f>VLOOKUP(W183,技能!A:B,2)</f>
        <v>日炎之息</v>
      </c>
      <c r="Y183" s="39">
        <v>1</v>
      </c>
    </row>
    <row r="184" spans="1:25">
      <c r="A184" s="39" t="s">
        <v>84</v>
      </c>
      <c r="C184" s="39" t="s">
        <v>84</v>
      </c>
      <c r="L184" s="39" t="s">
        <v>84</v>
      </c>
      <c r="U184" t="str">
        <f t="shared" si="2"/>
        <v/>
      </c>
      <c r="V184" s="39" t="str">
        <f>IF(I184="","",VLOOKUP(I184,'装备&amp;材料'!$D$1:$E$6,2,FALSE))</f>
        <v/>
      </c>
      <c r="W184" s="39">
        <v>3702</v>
      </c>
      <c r="X184" s="39" t="str">
        <f>VLOOKUP(W184,技能!A:B,2)</f>
        <v>神圣洗礼</v>
      </c>
      <c r="Y184" s="39">
        <v>2</v>
      </c>
    </row>
    <row r="185" spans="1:25">
      <c r="A185" s="39" t="s">
        <v>84</v>
      </c>
      <c r="C185" s="39" t="s">
        <v>84</v>
      </c>
      <c r="L185" s="39" t="s">
        <v>84</v>
      </c>
      <c r="U185" t="str">
        <f t="shared" si="2"/>
        <v/>
      </c>
      <c r="V185" s="39" t="str">
        <f>IF(I185="","",VLOOKUP(I185,'装备&amp;材料'!$D$1:$E$6,2,FALSE))</f>
        <v/>
      </c>
      <c r="W185" s="39">
        <v>3703</v>
      </c>
      <c r="X185" s="39" t="str">
        <f>VLOOKUP(W185,技能!A:B,2)</f>
        <v>天降神火</v>
      </c>
      <c r="Y185" s="39">
        <v>3</v>
      </c>
    </row>
    <row r="186" spans="1:25">
      <c r="A186" s="39" t="s">
        <v>84</v>
      </c>
      <c r="C186" s="39" t="s">
        <v>84</v>
      </c>
      <c r="L186" s="39" t="s">
        <v>84</v>
      </c>
      <c r="U186" t="str">
        <f t="shared" si="2"/>
        <v/>
      </c>
      <c r="V186" s="39" t="str">
        <f>IF(I186="","",VLOOKUP(I186,'装备&amp;材料'!$D$1:$E$6,2,FALSE))</f>
        <v/>
      </c>
      <c r="W186" s="39">
        <v>3704</v>
      </c>
      <c r="X186" s="39" t="str">
        <f>VLOOKUP(W186,技能!A:B,2)</f>
        <v>光明庇护</v>
      </c>
      <c r="Y186" s="39">
        <v>4</v>
      </c>
    </row>
    <row r="187" spans="1:25">
      <c r="A187" s="39" t="s">
        <v>84</v>
      </c>
      <c r="C187" s="39" t="s">
        <v>84</v>
      </c>
      <c r="L187" s="39" t="s">
        <v>84</v>
      </c>
      <c r="U187" t="str">
        <f t="shared" si="2"/>
        <v/>
      </c>
      <c r="V187" s="39" t="str">
        <f>IF(I187="","",VLOOKUP(I187,'装备&amp;材料'!$D$1:$E$6,2,FALSE))</f>
        <v/>
      </c>
      <c r="W187" s="39">
        <v>3705</v>
      </c>
      <c r="X187" s="39" t="str">
        <f>VLOOKUP(W187,技能!A:B,2)</f>
        <v>光明审判</v>
      </c>
      <c r="Y187" s="39">
        <v>5</v>
      </c>
    </row>
    <row r="188" spans="1:25">
      <c r="A188" s="39">
        <v>38</v>
      </c>
      <c r="B188" s="54" t="s">
        <v>389</v>
      </c>
      <c r="C188" s="39">
        <v>238</v>
      </c>
      <c r="D188" s="40" t="s">
        <v>1397</v>
      </c>
      <c r="I188" s="39">
        <v>5</v>
      </c>
      <c r="J188" s="39">
        <v>4</v>
      </c>
      <c r="K188" s="39">
        <v>0</v>
      </c>
      <c r="L188" s="39">
        <v>224</v>
      </c>
      <c r="M188" s="81">
        <v>12</v>
      </c>
      <c r="N188" s="81">
        <v>12</v>
      </c>
      <c r="O188" s="81">
        <v>12</v>
      </c>
      <c r="P188" s="81">
        <v>12</v>
      </c>
      <c r="Q188" s="81">
        <v>105</v>
      </c>
      <c r="R188" s="81">
        <v>105</v>
      </c>
      <c r="S188" s="81">
        <v>55</v>
      </c>
      <c r="T188" s="81">
        <v>55</v>
      </c>
      <c r="U188">
        <f t="shared" si="2"/>
        <v>600</v>
      </c>
      <c r="V188" s="39">
        <f>IF(I188="","",VLOOKUP(I188,'装备&amp;材料'!$D$1:$E$6,2,FALSE))</f>
        <v>600</v>
      </c>
      <c r="W188" s="39">
        <v>3801</v>
      </c>
      <c r="X188" s="39" t="str">
        <f>VLOOKUP(W188,技能!A:B,2)</f>
        <v>小丑魔术</v>
      </c>
      <c r="Y188" s="39">
        <v>1</v>
      </c>
    </row>
    <row r="189" spans="1:25">
      <c r="A189" s="39" t="s">
        <v>84</v>
      </c>
      <c r="C189" s="39" t="s">
        <v>84</v>
      </c>
      <c r="L189" s="39" t="s">
        <v>84</v>
      </c>
      <c r="U189" t="str">
        <f t="shared" si="2"/>
        <v/>
      </c>
      <c r="V189" s="39" t="str">
        <f>IF(I189="","",VLOOKUP(I189,'装备&amp;材料'!$D$1:$E$6,2,FALSE))</f>
        <v/>
      </c>
      <c r="W189" s="39">
        <v>3802</v>
      </c>
      <c r="X189" s="39" t="str">
        <f>VLOOKUP(W189,技能!A:B,2)</f>
        <v>王牌飞剑</v>
      </c>
      <c r="Y189" s="39">
        <v>2</v>
      </c>
    </row>
    <row r="190" spans="1:25">
      <c r="A190" s="39" t="s">
        <v>84</v>
      </c>
      <c r="C190" s="39" t="s">
        <v>84</v>
      </c>
      <c r="L190" s="39" t="s">
        <v>84</v>
      </c>
      <c r="U190" t="str">
        <f t="shared" si="2"/>
        <v/>
      </c>
      <c r="V190" s="39" t="str">
        <f>IF(I190="","",VLOOKUP(I190,'装备&amp;材料'!$D$1:$E$6,2,FALSE))</f>
        <v/>
      </c>
      <c r="W190" s="39">
        <v>3803</v>
      </c>
      <c r="X190" s="39" t="str">
        <f>VLOOKUP(W190,技能!A:B,2)</f>
        <v>面具方阵</v>
      </c>
      <c r="Y190" s="39">
        <v>3</v>
      </c>
    </row>
    <row r="191" spans="1:25">
      <c r="A191" s="39" t="s">
        <v>84</v>
      </c>
      <c r="C191" s="39" t="s">
        <v>84</v>
      </c>
      <c r="L191" s="39" t="s">
        <v>84</v>
      </c>
      <c r="U191" t="str">
        <f t="shared" si="2"/>
        <v/>
      </c>
      <c r="V191" s="39" t="str">
        <f>IF(I191="","",VLOOKUP(I191,'装备&amp;材料'!$D$1:$E$6,2,FALSE))</f>
        <v/>
      </c>
      <c r="W191" s="39">
        <v>3804</v>
      </c>
      <c r="X191" s="39" t="str">
        <f>VLOOKUP(W191,技能!A:B,2)</f>
        <v>玩具奇观</v>
      </c>
      <c r="Y191" s="39">
        <v>4</v>
      </c>
    </row>
    <row r="192" spans="1:25">
      <c r="A192" s="39" t="s">
        <v>84</v>
      </c>
      <c r="C192" s="39" t="s">
        <v>84</v>
      </c>
      <c r="L192" s="39" t="s">
        <v>84</v>
      </c>
      <c r="U192" t="str">
        <f t="shared" si="2"/>
        <v/>
      </c>
      <c r="V192" s="39" t="str">
        <f>IF(I192="","",VLOOKUP(I192,'装备&amp;材料'!$D$1:$E$6,2,FALSE))</f>
        <v/>
      </c>
      <c r="W192" s="39">
        <v>3805</v>
      </c>
      <c r="X192" s="39" t="str">
        <f>VLOOKUP(W192,技能!A:B,2)</f>
        <v>飞沙走石</v>
      </c>
      <c r="Y192" s="39">
        <v>5</v>
      </c>
    </row>
    <row r="193" spans="1:25">
      <c r="A193" s="39">
        <v>39</v>
      </c>
      <c r="B193" s="56" t="s">
        <v>694</v>
      </c>
      <c r="C193" s="39">
        <v>239</v>
      </c>
      <c r="D193" s="40" t="s">
        <v>856</v>
      </c>
      <c r="I193" s="39">
        <v>5</v>
      </c>
      <c r="J193" s="39">
        <v>3</v>
      </c>
      <c r="K193" s="39">
        <v>0</v>
      </c>
      <c r="L193" s="39">
        <v>194</v>
      </c>
      <c r="M193" s="81">
        <v>13</v>
      </c>
      <c r="N193" s="81">
        <v>13</v>
      </c>
      <c r="O193" s="81">
        <v>12</v>
      </c>
      <c r="P193" s="81">
        <v>13</v>
      </c>
      <c r="Q193" s="81">
        <v>110</v>
      </c>
      <c r="R193" s="81">
        <v>100</v>
      </c>
      <c r="S193" s="81">
        <v>61</v>
      </c>
      <c r="T193" s="81">
        <v>55</v>
      </c>
      <c r="U193">
        <f t="shared" si="2"/>
        <v>600</v>
      </c>
      <c r="V193" s="39">
        <f>IF(I193="","",VLOOKUP(I193,'装备&amp;材料'!$D$1:$E$6,2,FALSE))</f>
        <v>600</v>
      </c>
      <c r="W193" s="39">
        <v>3901</v>
      </c>
      <c r="X193" s="39" t="str">
        <f>VLOOKUP(W193,技能!A:B,2)</f>
        <v>风驰电掣</v>
      </c>
      <c r="Y193" s="39">
        <v>1</v>
      </c>
    </row>
    <row r="194" spans="1:25">
      <c r="A194" s="39" t="s">
        <v>84</v>
      </c>
      <c r="L194" s="39" t="s">
        <v>84</v>
      </c>
      <c r="U194" t="str">
        <f t="shared" si="2"/>
        <v/>
      </c>
      <c r="V194" s="39" t="str">
        <f>IF(I194="","",VLOOKUP(I194,'装备&amp;材料'!$D$1:$E$6,2,FALSE))</f>
        <v/>
      </c>
      <c r="W194" s="39">
        <v>3902</v>
      </c>
      <c r="X194" s="39" t="str">
        <f>VLOOKUP(W194,技能!A:B,2)</f>
        <v>百万重拳</v>
      </c>
      <c r="Y194" s="39">
        <v>2</v>
      </c>
    </row>
    <row r="195" spans="1:25">
      <c r="A195" s="39" t="s">
        <v>84</v>
      </c>
      <c r="C195" s="39" t="s">
        <v>84</v>
      </c>
      <c r="L195" s="39" t="s">
        <v>84</v>
      </c>
      <c r="U195" t="str">
        <f t="shared" ref="U195:U258" si="3">IF(I195="","",L195*0.5+M195*3+N195*3+O195*5+P195*3+Q195+R195+S195+T195)</f>
        <v/>
      </c>
      <c r="V195" s="39" t="str">
        <f>IF(I195="","",VLOOKUP(I195,'装备&amp;材料'!$D$1:$E$6,2,FALSE))</f>
        <v/>
      </c>
      <c r="W195" s="39">
        <v>3903</v>
      </c>
      <c r="X195" s="39" t="str">
        <f>VLOOKUP(W195,技能!A:B,2)</f>
        <v>浴血之战</v>
      </c>
      <c r="Y195" s="39">
        <v>3</v>
      </c>
    </row>
    <row r="196" spans="1:25">
      <c r="A196" s="39" t="s">
        <v>84</v>
      </c>
      <c r="C196" s="39" t="s">
        <v>84</v>
      </c>
      <c r="L196" s="39" t="s">
        <v>84</v>
      </c>
      <c r="U196" t="str">
        <f t="shared" si="3"/>
        <v/>
      </c>
      <c r="V196" s="39" t="str">
        <f>IF(I196="","",VLOOKUP(I196,'装备&amp;材料'!$D$1:$E$6,2,FALSE))</f>
        <v/>
      </c>
      <c r="W196" s="39">
        <v>3904</v>
      </c>
      <c r="X196" s="39" t="str">
        <f>VLOOKUP(W196,技能!A:B,2)</f>
        <v>战斗武装</v>
      </c>
      <c r="Y196" s="39">
        <v>4</v>
      </c>
    </row>
    <row r="197" spans="1:25">
      <c r="A197" s="39" t="s">
        <v>84</v>
      </c>
      <c r="C197" s="39" t="s">
        <v>84</v>
      </c>
      <c r="L197" s="39" t="s">
        <v>84</v>
      </c>
      <c r="U197" t="str">
        <f t="shared" si="3"/>
        <v/>
      </c>
      <c r="V197" s="39" t="str">
        <f>IF(I197="","",VLOOKUP(I197,'装备&amp;材料'!$D$1:$E$6,2,FALSE))</f>
        <v/>
      </c>
      <c r="W197" s="39">
        <v>3905</v>
      </c>
      <c r="X197" s="39" t="str">
        <f>VLOOKUP(W197,技能!A:B,2)</f>
        <v>不屈战神</v>
      </c>
      <c r="Y197" s="39">
        <v>5</v>
      </c>
    </row>
    <row r="198" spans="1:25">
      <c r="A198" s="39">
        <v>40</v>
      </c>
      <c r="B198" s="57" t="s">
        <v>695</v>
      </c>
      <c r="C198" s="39">
        <v>240</v>
      </c>
      <c r="D198" s="40" t="s">
        <v>1398</v>
      </c>
      <c r="I198" s="39">
        <v>4</v>
      </c>
      <c r="J198" s="39">
        <v>0</v>
      </c>
      <c r="K198" s="39">
        <v>1</v>
      </c>
      <c r="L198" s="39">
        <v>164</v>
      </c>
      <c r="M198" s="82">
        <v>9</v>
      </c>
      <c r="N198" s="82">
        <v>9</v>
      </c>
      <c r="O198" s="82">
        <v>9</v>
      </c>
      <c r="P198" s="82">
        <v>9</v>
      </c>
      <c r="Q198" s="82">
        <v>100</v>
      </c>
      <c r="R198" s="82">
        <v>96</v>
      </c>
      <c r="S198" s="82">
        <v>48</v>
      </c>
      <c r="T198" s="82">
        <v>48</v>
      </c>
      <c r="U198">
        <f t="shared" si="3"/>
        <v>500</v>
      </c>
      <c r="V198" s="39">
        <f>IF(I198="","",VLOOKUP(I198,'装备&amp;材料'!$D$1:$E$6,2,FALSE))</f>
        <v>500</v>
      </c>
      <c r="W198" s="39">
        <v>4001</v>
      </c>
      <c r="X198" s="39" t="str">
        <f>VLOOKUP(W198,技能!A:B,2)</f>
        <v>骑士之毅</v>
      </c>
      <c r="Y198" s="39">
        <v>1</v>
      </c>
    </row>
    <row r="199" spans="1:25">
      <c r="A199" s="39" t="s">
        <v>84</v>
      </c>
      <c r="C199" s="39" t="s">
        <v>84</v>
      </c>
      <c r="L199" s="39" t="s">
        <v>84</v>
      </c>
      <c r="U199" t="str">
        <f t="shared" si="3"/>
        <v/>
      </c>
      <c r="V199" s="39" t="str">
        <f>IF(I199="","",VLOOKUP(I199,'装备&amp;材料'!$D$1:$E$6,2,FALSE))</f>
        <v/>
      </c>
      <c r="W199" s="39">
        <v>4002</v>
      </c>
      <c r="X199" s="39" t="str">
        <f>VLOOKUP(W199,技能!A:B,2)</f>
        <v>荣耀之役</v>
      </c>
      <c r="Y199" s="39">
        <v>2</v>
      </c>
    </row>
    <row r="200" spans="1:25">
      <c r="A200" s="39" t="s">
        <v>84</v>
      </c>
      <c r="C200" s="39" t="s">
        <v>84</v>
      </c>
      <c r="L200" s="39" t="s">
        <v>84</v>
      </c>
      <c r="U200" t="str">
        <f t="shared" si="3"/>
        <v/>
      </c>
      <c r="V200" s="39" t="str">
        <f>IF(I200="","",VLOOKUP(I200,'装备&amp;材料'!$D$1:$E$6,2,FALSE))</f>
        <v/>
      </c>
      <c r="W200" s="39">
        <v>4003</v>
      </c>
      <c r="X200" s="39" t="str">
        <f>VLOOKUP(W200,技能!A:B,2)</f>
        <v>夺命长枪</v>
      </c>
      <c r="Y200" s="39">
        <v>3</v>
      </c>
    </row>
    <row r="201" spans="1:25">
      <c r="A201" s="39" t="s">
        <v>84</v>
      </c>
      <c r="C201" s="39" t="s">
        <v>84</v>
      </c>
      <c r="L201" s="39" t="s">
        <v>84</v>
      </c>
      <c r="U201" t="str">
        <f t="shared" si="3"/>
        <v/>
      </c>
      <c r="V201" s="39" t="str">
        <f>IF(I201="","",VLOOKUP(I201,'装备&amp;材料'!$D$1:$E$6,2,FALSE))</f>
        <v/>
      </c>
      <c r="W201" s="39">
        <v>4004</v>
      </c>
      <c r="X201" s="39" t="str">
        <f>VLOOKUP(W201,技能!A:B,2)</f>
        <v>枪术精通</v>
      </c>
      <c r="Y201" s="39">
        <v>4</v>
      </c>
    </row>
    <row r="202" spans="1:25">
      <c r="A202" s="39" t="s">
        <v>84</v>
      </c>
      <c r="C202" s="39" t="s">
        <v>84</v>
      </c>
      <c r="L202" s="39" t="s">
        <v>84</v>
      </c>
      <c r="U202" t="str">
        <f t="shared" si="3"/>
        <v/>
      </c>
      <c r="V202" s="39" t="str">
        <f>IF(I202="","",VLOOKUP(I202,'装备&amp;材料'!$D$1:$E$6,2,FALSE))</f>
        <v/>
      </c>
      <c r="W202" s="39">
        <v>4005</v>
      </c>
      <c r="X202" s="39" t="str">
        <f>VLOOKUP(W202,技能!A:B,2)</f>
        <v>无双枪术</v>
      </c>
      <c r="Y202" s="39">
        <v>5</v>
      </c>
    </row>
    <row r="203" spans="1:25">
      <c r="A203" s="39">
        <v>41</v>
      </c>
      <c r="B203" s="48" t="s">
        <v>696</v>
      </c>
      <c r="C203" s="39">
        <v>241</v>
      </c>
      <c r="D203" s="40" t="s">
        <v>1399</v>
      </c>
      <c r="I203" s="39">
        <v>6</v>
      </c>
      <c r="J203" s="39">
        <v>3</v>
      </c>
      <c r="K203" s="39">
        <v>1</v>
      </c>
      <c r="L203" s="39">
        <v>294</v>
      </c>
      <c r="M203" s="83">
        <v>17</v>
      </c>
      <c r="N203" s="83">
        <v>17</v>
      </c>
      <c r="O203" s="83">
        <v>17</v>
      </c>
      <c r="P203" s="83">
        <v>17</v>
      </c>
      <c r="Q203" s="83">
        <v>115</v>
      </c>
      <c r="R203" s="83">
        <v>114</v>
      </c>
      <c r="S203" s="83">
        <v>68</v>
      </c>
      <c r="T203" s="83">
        <v>68</v>
      </c>
      <c r="U203">
        <f t="shared" si="3"/>
        <v>750</v>
      </c>
      <c r="V203" s="39">
        <f>IF(I203="","",VLOOKUP(I203,'装备&amp;材料'!$D$1:$E$6,2,FALSE))</f>
        <v>750</v>
      </c>
      <c r="W203" s="39">
        <v>4101</v>
      </c>
      <c r="X203" s="39" t="str">
        <f>VLOOKUP(W203,技能!A:B,2)</f>
        <v>誓约胜利之剑</v>
      </c>
      <c r="Y203" s="39">
        <v>1</v>
      </c>
    </row>
    <row r="204" spans="1:25">
      <c r="A204" s="39" t="s">
        <v>84</v>
      </c>
      <c r="C204" s="39" t="s">
        <v>84</v>
      </c>
      <c r="L204" s="39" t="s">
        <v>84</v>
      </c>
      <c r="U204" t="str">
        <f t="shared" si="3"/>
        <v/>
      </c>
      <c r="V204" s="39" t="str">
        <f>IF(I204="","",VLOOKUP(I204,'装备&amp;材料'!$D$1:$E$6,2,FALSE))</f>
        <v/>
      </c>
      <c r="W204" s="39">
        <v>4102</v>
      </c>
      <c r="X204" s="39" t="str">
        <f>VLOOKUP(W204,技能!A:B,2)</f>
        <v>遥远的理想乡</v>
      </c>
      <c r="Y204" s="39">
        <v>2</v>
      </c>
    </row>
    <row r="205" spans="1:25">
      <c r="A205" s="39" t="s">
        <v>84</v>
      </c>
      <c r="C205" s="39" t="s">
        <v>84</v>
      </c>
      <c r="L205" s="39" t="s">
        <v>84</v>
      </c>
      <c r="U205" t="str">
        <f t="shared" si="3"/>
        <v/>
      </c>
      <c r="V205" s="39" t="str">
        <f>IF(I205="","",VLOOKUP(I205,'装备&amp;材料'!$D$1:$E$6,2,FALSE))</f>
        <v/>
      </c>
      <c r="W205" s="39">
        <v>4103</v>
      </c>
      <c r="X205" s="39" t="str">
        <f>VLOOKUP(W205,技能!A:B,2)</f>
        <v>风王结界</v>
      </c>
      <c r="Y205" s="39">
        <v>3</v>
      </c>
    </row>
    <row r="206" spans="1:25">
      <c r="A206" s="39" t="s">
        <v>84</v>
      </c>
      <c r="C206" s="39" t="s">
        <v>84</v>
      </c>
      <c r="L206" s="39" t="s">
        <v>84</v>
      </c>
      <c r="U206" t="str">
        <f t="shared" si="3"/>
        <v/>
      </c>
      <c r="V206" s="39" t="str">
        <f>IF(I206="","",VLOOKUP(I206,'装备&amp;材料'!$D$1:$E$6,2,FALSE))</f>
        <v/>
      </c>
      <c r="W206" s="39">
        <v>4104</v>
      </c>
      <c r="X206" s="39" t="str">
        <f>VLOOKUP(W206,技能!A:B,2)</f>
        <v>领导力</v>
      </c>
      <c r="Y206" s="39">
        <v>4</v>
      </c>
    </row>
    <row r="207" spans="1:25">
      <c r="A207" s="39" t="s">
        <v>84</v>
      </c>
      <c r="C207" s="39" t="s">
        <v>84</v>
      </c>
      <c r="L207" s="39" t="s">
        <v>84</v>
      </c>
      <c r="U207" t="str">
        <f t="shared" si="3"/>
        <v/>
      </c>
      <c r="V207" s="39" t="str">
        <f>IF(I207="","",VLOOKUP(I207,'装备&amp;材料'!$D$1:$E$6,2,FALSE))</f>
        <v/>
      </c>
      <c r="W207" s="39">
        <v>4105</v>
      </c>
      <c r="X207" s="39" t="str">
        <f>VLOOKUP(W207,技能!A:B,2)</f>
        <v>骑士剑鞘</v>
      </c>
      <c r="Y207" s="39">
        <v>5</v>
      </c>
    </row>
    <row r="208" spans="1:25">
      <c r="A208" s="39">
        <v>42</v>
      </c>
      <c r="B208" s="54" t="s">
        <v>697</v>
      </c>
      <c r="C208" s="39">
        <v>242</v>
      </c>
      <c r="D208" s="40" t="s">
        <v>1400</v>
      </c>
      <c r="I208" s="39">
        <v>5</v>
      </c>
      <c r="J208" s="39">
        <v>3</v>
      </c>
      <c r="K208" s="39">
        <v>0</v>
      </c>
      <c r="L208" s="39">
        <v>168</v>
      </c>
      <c r="M208" s="81">
        <v>14</v>
      </c>
      <c r="N208" s="81">
        <v>14</v>
      </c>
      <c r="O208" s="81">
        <v>13</v>
      </c>
      <c r="P208" s="81">
        <v>11</v>
      </c>
      <c r="Q208" s="81">
        <v>118</v>
      </c>
      <c r="R208" s="81">
        <v>103</v>
      </c>
      <c r="S208" s="81">
        <v>58</v>
      </c>
      <c r="T208" s="81">
        <v>55</v>
      </c>
      <c r="U208">
        <f t="shared" si="3"/>
        <v>600</v>
      </c>
      <c r="V208" s="39">
        <f>IF(I208="","",VLOOKUP(I208,'装备&amp;材料'!$D$1:$E$6,2,FALSE))</f>
        <v>600</v>
      </c>
      <c r="W208" s="39">
        <v>4201</v>
      </c>
      <c r="X208" s="39" t="str">
        <f>VLOOKUP(W208,技能!A:B,2)</f>
        <v>迷踪步</v>
      </c>
      <c r="Y208" s="39">
        <v>1</v>
      </c>
    </row>
    <row r="209" spans="1:25">
      <c r="A209" s="39" t="s">
        <v>84</v>
      </c>
      <c r="C209" s="39" t="s">
        <v>84</v>
      </c>
      <c r="L209" s="39" t="s">
        <v>84</v>
      </c>
      <c r="U209" t="str">
        <f t="shared" si="3"/>
        <v/>
      </c>
      <c r="V209" s="39" t="str">
        <f>IF(I209="","",VLOOKUP(I209,'装备&amp;材料'!$D$1:$E$6,2,FALSE))</f>
        <v/>
      </c>
      <c r="W209" s="39">
        <v>4202</v>
      </c>
      <c r="X209" s="39" t="str">
        <f>VLOOKUP(W209,技能!A:B,2)</f>
        <v>火瞬拳</v>
      </c>
      <c r="Y209" s="39">
        <v>2</v>
      </c>
    </row>
    <row r="210" spans="1:25">
      <c r="A210" s="39" t="s">
        <v>84</v>
      </c>
      <c r="C210" s="39" t="s">
        <v>84</v>
      </c>
      <c r="L210" s="39" t="s">
        <v>84</v>
      </c>
      <c r="U210" t="str">
        <f t="shared" si="3"/>
        <v/>
      </c>
      <c r="V210" s="39" t="str">
        <f>IF(I210="","",VLOOKUP(I210,'装备&amp;材料'!$D$1:$E$6,2,FALSE))</f>
        <v/>
      </c>
      <c r="W210" s="39">
        <v>4203</v>
      </c>
      <c r="X210" s="39" t="str">
        <f>VLOOKUP(W210,技能!A:B,2)</f>
        <v>一拳</v>
      </c>
      <c r="Y210" s="39">
        <v>3</v>
      </c>
    </row>
    <row r="211" spans="1:25">
      <c r="A211" s="39" t="s">
        <v>84</v>
      </c>
      <c r="C211" s="39" t="s">
        <v>84</v>
      </c>
      <c r="L211" s="39" t="s">
        <v>84</v>
      </c>
      <c r="U211" t="str">
        <f t="shared" si="3"/>
        <v/>
      </c>
      <c r="V211" s="39" t="str">
        <f>IF(I211="","",VLOOKUP(I211,'装备&amp;材料'!$D$1:$E$6,2,FALSE))</f>
        <v/>
      </c>
      <c r="W211" s="39">
        <v>4204</v>
      </c>
      <c r="X211" s="39" t="str">
        <f>VLOOKUP(W211,技能!A:B,2)</f>
        <v>波动拳</v>
      </c>
      <c r="Y211" s="39">
        <v>4</v>
      </c>
    </row>
    <row r="212" spans="1:25">
      <c r="A212" s="39" t="s">
        <v>84</v>
      </c>
      <c r="C212" s="39" t="s">
        <v>84</v>
      </c>
      <c r="L212" s="39" t="s">
        <v>84</v>
      </c>
      <c r="U212" t="str">
        <f t="shared" si="3"/>
        <v/>
      </c>
      <c r="V212" s="39" t="str">
        <f>IF(I212="","",VLOOKUP(I212,'装备&amp;材料'!$D$1:$E$6,2,FALSE))</f>
        <v/>
      </c>
      <c r="W212" s="39">
        <v>4205</v>
      </c>
      <c r="X212" s="39" t="str">
        <f>VLOOKUP(W212,技能!A:B,2)</f>
        <v>迷踪袭</v>
      </c>
      <c r="Y212" s="39">
        <v>5</v>
      </c>
    </row>
    <row r="213" spans="1:25">
      <c r="A213" s="39">
        <v>43</v>
      </c>
      <c r="B213" s="44" t="s">
        <v>698</v>
      </c>
      <c r="C213" s="39">
        <v>243</v>
      </c>
      <c r="D213" s="40" t="s">
        <v>1401</v>
      </c>
      <c r="I213" s="39">
        <v>6</v>
      </c>
      <c r="J213" s="39">
        <v>6</v>
      </c>
      <c r="K213" s="39">
        <v>1</v>
      </c>
      <c r="L213" s="39">
        <v>282</v>
      </c>
      <c r="M213" s="83">
        <v>15</v>
      </c>
      <c r="N213" s="83">
        <v>15</v>
      </c>
      <c r="O213" s="83">
        <v>17</v>
      </c>
      <c r="P213" s="83">
        <v>18</v>
      </c>
      <c r="Q213" s="83">
        <v>122</v>
      </c>
      <c r="R213" s="83">
        <v>122</v>
      </c>
      <c r="S213" s="83">
        <v>68</v>
      </c>
      <c r="T213" s="83">
        <v>68</v>
      </c>
      <c r="U213">
        <f t="shared" si="3"/>
        <v>750</v>
      </c>
      <c r="V213" s="39">
        <f>IF(I213="","",VLOOKUP(I213,'装备&amp;材料'!$D$1:$E$6,2,FALSE))</f>
        <v>750</v>
      </c>
      <c r="W213" s="39">
        <v>4301</v>
      </c>
      <c r="X213" s="39" t="str">
        <f>VLOOKUP(W213,技能!A:B,2)</f>
        <v>诸神回避</v>
      </c>
      <c r="Y213" s="39">
        <v>1</v>
      </c>
    </row>
    <row r="214" spans="1:25">
      <c r="A214" s="39" t="s">
        <v>84</v>
      </c>
      <c r="C214" s="39" t="s">
        <v>84</v>
      </c>
      <c r="L214" s="39" t="s">
        <v>84</v>
      </c>
      <c r="U214" t="str">
        <f t="shared" si="3"/>
        <v/>
      </c>
      <c r="V214" s="39" t="str">
        <f>IF(I214="","",VLOOKUP(I214,'装备&amp;材料'!$D$1:$E$6,2,FALSE))</f>
        <v/>
      </c>
      <c r="W214" s="39">
        <v>4302</v>
      </c>
      <c r="X214" s="39" t="str">
        <f>VLOOKUP(W214,技能!A:B,2)</f>
        <v>六韬</v>
      </c>
      <c r="Y214" s="39">
        <v>2</v>
      </c>
    </row>
    <row r="215" spans="1:25">
      <c r="A215" s="39" t="s">
        <v>84</v>
      </c>
      <c r="C215" s="39" t="s">
        <v>84</v>
      </c>
      <c r="L215" s="39" t="s">
        <v>84</v>
      </c>
      <c r="U215" t="str">
        <f t="shared" si="3"/>
        <v/>
      </c>
      <c r="V215" s="39" t="str">
        <f>IF(I215="","",VLOOKUP(I215,'装备&amp;材料'!$D$1:$E$6,2,FALSE))</f>
        <v/>
      </c>
      <c r="W215" s="39">
        <v>4303</v>
      </c>
      <c r="X215" s="39" t="str">
        <f>VLOOKUP(W215,技能!A:B,2)</f>
        <v>打神鞭</v>
      </c>
      <c r="Y215" s="39">
        <v>3</v>
      </c>
    </row>
    <row r="216" spans="1:25">
      <c r="A216" s="39" t="s">
        <v>84</v>
      </c>
      <c r="C216" s="39" t="s">
        <v>84</v>
      </c>
      <c r="L216" s="39" t="s">
        <v>84</v>
      </c>
      <c r="U216" t="str">
        <f t="shared" si="3"/>
        <v/>
      </c>
      <c r="V216" s="39" t="str">
        <f>IF(I216="","",VLOOKUP(I216,'装备&amp;材料'!$D$1:$E$6,2,FALSE))</f>
        <v/>
      </c>
      <c r="W216" s="39">
        <v>4304</v>
      </c>
      <c r="X216" s="39" t="str">
        <f>VLOOKUP(W216,技能!A:B,2)</f>
        <v>封神榜</v>
      </c>
      <c r="Y216" s="39">
        <v>4</v>
      </c>
    </row>
    <row r="217" spans="1:25">
      <c r="A217" s="39" t="s">
        <v>84</v>
      </c>
      <c r="C217" s="39" t="s">
        <v>84</v>
      </c>
      <c r="L217" s="39" t="s">
        <v>84</v>
      </c>
      <c r="U217" t="str">
        <f t="shared" si="3"/>
        <v/>
      </c>
      <c r="V217" s="39" t="str">
        <f>IF(I217="","",VLOOKUP(I217,'装备&amp;材料'!$D$1:$E$6,2,FALSE))</f>
        <v/>
      </c>
      <c r="W217" s="39">
        <v>4305</v>
      </c>
      <c r="X217" s="39" t="str">
        <f>VLOOKUP(W217,技能!A:B,2)</f>
        <v>天选之人</v>
      </c>
      <c r="Y217" s="39">
        <v>5</v>
      </c>
    </row>
    <row r="218" spans="1:25">
      <c r="A218" s="39">
        <v>44</v>
      </c>
      <c r="B218" s="44" t="s">
        <v>699</v>
      </c>
      <c r="C218" s="39">
        <v>244</v>
      </c>
      <c r="I218" s="39">
        <v>6</v>
      </c>
      <c r="J218" s="39">
        <v>5</v>
      </c>
      <c r="K218" s="39">
        <v>0</v>
      </c>
      <c r="L218" s="39">
        <v>290</v>
      </c>
      <c r="M218" s="83">
        <v>16</v>
      </c>
      <c r="N218" s="83">
        <v>16</v>
      </c>
      <c r="O218" s="83">
        <v>17</v>
      </c>
      <c r="P218" s="83">
        <v>17</v>
      </c>
      <c r="Q218" s="83">
        <v>112</v>
      </c>
      <c r="R218" s="83">
        <v>125</v>
      </c>
      <c r="S218" s="83">
        <v>68</v>
      </c>
      <c r="T218" s="83">
        <v>68</v>
      </c>
      <c r="U218">
        <f t="shared" si="3"/>
        <v>750</v>
      </c>
      <c r="V218" s="39">
        <f>IF(I218="","",VLOOKUP(I218,'装备&amp;材料'!$D$1:$E$6,2,FALSE))</f>
        <v>750</v>
      </c>
      <c r="W218" s="39">
        <v>4401</v>
      </c>
      <c r="X218" s="39" t="str">
        <f>VLOOKUP(W218,技能!A:B,2)</f>
        <v>地狱血池</v>
      </c>
      <c r="Y218" s="39">
        <v>1</v>
      </c>
    </row>
    <row r="219" spans="1:25">
      <c r="A219" s="39" t="s">
        <v>84</v>
      </c>
      <c r="C219" s="39" t="s">
        <v>84</v>
      </c>
      <c r="L219" s="39" t="s">
        <v>84</v>
      </c>
      <c r="U219" t="str">
        <f t="shared" si="3"/>
        <v/>
      </c>
      <c r="V219" s="39" t="str">
        <f>IF(I219="","",VLOOKUP(I219,'装备&amp;材料'!$D$1:$E$6,2,FALSE))</f>
        <v/>
      </c>
      <c r="W219" s="39">
        <v>4402</v>
      </c>
      <c r="X219" s="39" t="str">
        <f>VLOOKUP(W219,技能!A:B,2)</f>
        <v>天空霸邪·魑魅魍魉</v>
      </c>
      <c r="Y219" s="39">
        <v>2</v>
      </c>
    </row>
    <row r="220" spans="1:25">
      <c r="A220" s="39" t="s">
        <v>84</v>
      </c>
      <c r="C220" s="39" t="s">
        <v>84</v>
      </c>
      <c r="L220" s="39" t="s">
        <v>84</v>
      </c>
      <c r="U220" t="str">
        <f t="shared" si="3"/>
        <v/>
      </c>
      <c r="V220" s="39" t="str">
        <f>IF(I220="","",VLOOKUP(I220,'装备&amp;材料'!$D$1:$E$6,2,FALSE))</f>
        <v/>
      </c>
      <c r="W220" s="39">
        <v>4403</v>
      </c>
      <c r="X220" s="39" t="str">
        <f>VLOOKUP(W220,技能!A:B,2)</f>
        <v>地狱血池</v>
      </c>
      <c r="Y220" s="39">
        <v>3</v>
      </c>
    </row>
    <row r="221" spans="1:25">
      <c r="A221" s="39" t="s">
        <v>84</v>
      </c>
      <c r="C221" s="39" t="s">
        <v>84</v>
      </c>
      <c r="L221" s="39" t="s">
        <v>84</v>
      </c>
      <c r="U221" t="str">
        <f t="shared" si="3"/>
        <v/>
      </c>
      <c r="V221" s="39" t="str">
        <f>IF(I221="","",VLOOKUP(I221,'装备&amp;材料'!$D$1:$E$6,2,FALSE))</f>
        <v/>
      </c>
      <c r="W221" s="39">
        <v>4404</v>
      </c>
      <c r="X221" s="39" t="str">
        <f>VLOOKUP(W221,技能!A:B,2)</f>
        <v>转轮法印</v>
      </c>
      <c r="Y221" s="39">
        <v>4</v>
      </c>
    </row>
    <row r="222" spans="1:25">
      <c r="A222" s="39" t="s">
        <v>84</v>
      </c>
      <c r="C222" s="39" t="s">
        <v>84</v>
      </c>
      <c r="L222" s="39" t="s">
        <v>84</v>
      </c>
      <c r="U222" t="str">
        <f t="shared" si="3"/>
        <v/>
      </c>
      <c r="V222" s="39" t="str">
        <f>IF(I222="","",VLOOKUP(I222,'装备&amp;材料'!$D$1:$E$6,2,FALSE))</f>
        <v/>
      </c>
      <c r="W222" s="39">
        <v>4405</v>
      </c>
      <c r="X222" s="39" t="str">
        <f>VLOOKUP(W222,技能!A:B,2)</f>
        <v>神目·穿透</v>
      </c>
      <c r="Y222" s="39">
        <v>5</v>
      </c>
    </row>
    <row r="223" spans="1:25">
      <c r="A223" s="39">
        <v>45</v>
      </c>
      <c r="B223" s="54" t="s">
        <v>700</v>
      </c>
      <c r="C223" s="39">
        <v>245</v>
      </c>
      <c r="D223" s="40" t="s">
        <v>1402</v>
      </c>
      <c r="I223" s="39">
        <v>5</v>
      </c>
      <c r="J223" s="39">
        <v>3</v>
      </c>
      <c r="K223" s="39">
        <v>1</v>
      </c>
      <c r="L223" s="39">
        <v>206</v>
      </c>
      <c r="M223" s="81">
        <v>12</v>
      </c>
      <c r="N223" s="81">
        <v>12</v>
      </c>
      <c r="O223" s="81">
        <v>13</v>
      </c>
      <c r="P223" s="81">
        <v>13</v>
      </c>
      <c r="Q223" s="81">
        <v>105</v>
      </c>
      <c r="R223" s="81">
        <v>100</v>
      </c>
      <c r="S223" s="81">
        <v>59</v>
      </c>
      <c r="T223" s="81">
        <v>57</v>
      </c>
      <c r="U223">
        <f t="shared" si="3"/>
        <v>600</v>
      </c>
      <c r="V223" s="39">
        <f>IF(I223="","",VLOOKUP(I223,'装备&amp;材料'!$D$1:$E$6,2,FALSE))</f>
        <v>600</v>
      </c>
      <c r="W223" s="39">
        <v>4501</v>
      </c>
      <c r="X223" s="39" t="str">
        <f>VLOOKUP(W223,技能!A:B,2)</f>
        <v>铁钩手</v>
      </c>
      <c r="Y223" s="39">
        <v>1</v>
      </c>
    </row>
    <row r="224" spans="1:25">
      <c r="A224" s="39" t="s">
        <v>84</v>
      </c>
      <c r="C224" s="39" t="s">
        <v>84</v>
      </c>
      <c r="L224" s="39" t="s">
        <v>84</v>
      </c>
      <c r="U224" t="str">
        <f t="shared" si="3"/>
        <v/>
      </c>
      <c r="V224" s="39" t="str">
        <f>IF(I224="","",VLOOKUP(I224,'装备&amp;材料'!$D$1:$E$6,2,FALSE))</f>
        <v/>
      </c>
      <c r="W224" s="39">
        <v>4502</v>
      </c>
      <c r="X224" s="39" t="str">
        <f>VLOOKUP(W224,技能!A:B,2)</f>
        <v>伏特加</v>
      </c>
      <c r="Y224" s="39">
        <v>2</v>
      </c>
    </row>
    <row r="225" spans="1:25">
      <c r="A225" s="39" t="s">
        <v>84</v>
      </c>
      <c r="C225" s="39" t="s">
        <v>84</v>
      </c>
      <c r="L225" s="39" t="s">
        <v>84</v>
      </c>
      <c r="U225" t="str">
        <f t="shared" si="3"/>
        <v/>
      </c>
      <c r="V225" s="39" t="str">
        <f>IF(I225="","",VLOOKUP(I225,'装备&amp;材料'!$D$1:$E$6,2,FALSE))</f>
        <v/>
      </c>
      <c r="W225" s="39">
        <v>4503</v>
      </c>
      <c r="X225" s="39" t="str">
        <f>VLOOKUP(W225,技能!A:B,2)</f>
        <v>反击火炮</v>
      </c>
      <c r="Y225" s="39">
        <v>3</v>
      </c>
    </row>
    <row r="226" spans="1:25">
      <c r="A226" s="39" t="s">
        <v>84</v>
      </c>
      <c r="C226" s="39" t="s">
        <v>84</v>
      </c>
      <c r="L226" s="39" t="s">
        <v>84</v>
      </c>
      <c r="U226" t="str">
        <f t="shared" si="3"/>
        <v/>
      </c>
      <c r="V226" s="39" t="str">
        <f>IF(I226="","",VLOOKUP(I226,'装备&amp;材料'!$D$1:$E$6,2,FALSE))</f>
        <v/>
      </c>
      <c r="W226" s="39">
        <v>4504</v>
      </c>
      <c r="X226" s="39" t="str">
        <f>VLOOKUP(W226,技能!A:B,2)</f>
        <v>复仇披风</v>
      </c>
      <c r="Y226" s="39">
        <v>4</v>
      </c>
    </row>
    <row r="227" spans="1:25">
      <c r="A227" s="39" t="s">
        <v>84</v>
      </c>
      <c r="C227" s="39" t="s">
        <v>84</v>
      </c>
      <c r="L227" s="39" t="s">
        <v>84</v>
      </c>
      <c r="U227" t="str">
        <f t="shared" si="3"/>
        <v/>
      </c>
      <c r="V227" s="39" t="str">
        <f>IF(I227="","",VLOOKUP(I227,'装备&amp;材料'!$D$1:$E$6,2,FALSE))</f>
        <v/>
      </c>
      <c r="W227" s="39">
        <v>4505</v>
      </c>
      <c r="X227" s="39" t="str">
        <f>VLOOKUP(W227,技能!A:B,2)</f>
        <v>黑胡子之怒</v>
      </c>
      <c r="Y227" s="39">
        <v>5</v>
      </c>
    </row>
    <row r="228" spans="1:25">
      <c r="A228" s="39">
        <v>46</v>
      </c>
      <c r="B228" s="55" t="s">
        <v>390</v>
      </c>
      <c r="C228" s="39">
        <v>45</v>
      </c>
      <c r="D228" s="40" t="s">
        <v>1403</v>
      </c>
      <c r="I228" s="39">
        <v>4</v>
      </c>
      <c r="J228" s="39">
        <v>6</v>
      </c>
      <c r="K228" s="39">
        <v>1</v>
      </c>
      <c r="L228" s="39">
        <v>180</v>
      </c>
      <c r="M228" s="82">
        <v>10</v>
      </c>
      <c r="N228" s="82">
        <v>10</v>
      </c>
      <c r="O228" s="82">
        <v>9</v>
      </c>
      <c r="P228" s="82">
        <v>10</v>
      </c>
      <c r="Q228" s="82">
        <v>78</v>
      </c>
      <c r="R228" s="82">
        <v>98</v>
      </c>
      <c r="S228" s="82">
        <v>49</v>
      </c>
      <c r="T228" s="82">
        <v>50</v>
      </c>
      <c r="U228">
        <f t="shared" si="3"/>
        <v>500</v>
      </c>
      <c r="V228" s="39">
        <f>IF(I228="","",VLOOKUP(I228,'装备&amp;材料'!$D$1:$E$6,2,FALSE))</f>
        <v>500</v>
      </c>
      <c r="W228" s="39">
        <v>4601</v>
      </c>
      <c r="X228" s="39" t="str">
        <f>VLOOKUP(W228,技能!A:B,2)</f>
        <v>圣盾加护</v>
      </c>
      <c r="Y228" s="39">
        <v>1</v>
      </c>
    </row>
    <row r="229" spans="1:25">
      <c r="A229" s="39" t="s">
        <v>84</v>
      </c>
      <c r="C229" s="39" t="s">
        <v>84</v>
      </c>
      <c r="L229" s="39" t="s">
        <v>84</v>
      </c>
      <c r="U229" t="str">
        <f t="shared" si="3"/>
        <v/>
      </c>
      <c r="V229" s="39" t="str">
        <f>IF(I229="","",VLOOKUP(I229,'装备&amp;材料'!$D$1:$E$6,2,FALSE))</f>
        <v/>
      </c>
      <c r="W229" s="39">
        <v>4602</v>
      </c>
      <c r="X229" s="39" t="str">
        <f>VLOOKUP(W229,技能!A:B,2)</f>
        <v>日耀守护</v>
      </c>
      <c r="Y229" s="39">
        <v>2</v>
      </c>
    </row>
    <row r="230" spans="1:25">
      <c r="A230" s="39" t="s">
        <v>84</v>
      </c>
      <c r="C230" s="39" t="s">
        <v>84</v>
      </c>
      <c r="L230" s="39" t="s">
        <v>84</v>
      </c>
      <c r="U230" t="str">
        <f t="shared" si="3"/>
        <v/>
      </c>
      <c r="V230" s="39" t="str">
        <f>IF(I230="","",VLOOKUP(I230,'装备&amp;材料'!$D$1:$E$6,2,FALSE))</f>
        <v/>
      </c>
      <c r="W230" s="39">
        <v>4603</v>
      </c>
      <c r="X230" s="39" t="str">
        <f>VLOOKUP(W230,技能!A:B,2)</f>
        <v>破晓之盾</v>
      </c>
      <c r="Y230" s="39">
        <v>3</v>
      </c>
    </row>
    <row r="231" spans="1:25">
      <c r="A231" s="39" t="s">
        <v>84</v>
      </c>
      <c r="C231" s="39" t="s">
        <v>84</v>
      </c>
      <c r="L231" s="39" t="s">
        <v>84</v>
      </c>
      <c r="U231" t="str">
        <f t="shared" si="3"/>
        <v/>
      </c>
      <c r="V231" s="39" t="str">
        <f>IF(I231="","",VLOOKUP(I231,'装备&amp;材料'!$D$1:$E$6,2,FALSE))</f>
        <v/>
      </c>
      <c r="W231" s="39">
        <v>4604</v>
      </c>
      <c r="X231" s="39" t="str">
        <f>VLOOKUP(W231,技能!A:B,2)</f>
        <v>日蚀</v>
      </c>
      <c r="Y231" s="39">
        <v>4</v>
      </c>
    </row>
    <row r="232" spans="1:25">
      <c r="A232" s="39" t="s">
        <v>84</v>
      </c>
      <c r="C232" s="39" t="s">
        <v>84</v>
      </c>
      <c r="L232" s="39" t="s">
        <v>84</v>
      </c>
      <c r="U232" t="str">
        <f t="shared" si="3"/>
        <v/>
      </c>
      <c r="V232" s="39" t="str">
        <f>IF(I232="","",VLOOKUP(I232,'装备&amp;材料'!$D$1:$E$6,2,FALSE))</f>
        <v/>
      </c>
      <c r="W232" s="39">
        <v>4605</v>
      </c>
      <c r="X232" s="39" t="str">
        <f>VLOOKUP(W232,技能!A:B,2)</f>
        <v>耀斑</v>
      </c>
      <c r="Y232" s="39">
        <v>5</v>
      </c>
    </row>
    <row r="233" spans="1:25">
      <c r="A233" s="39">
        <v>47</v>
      </c>
      <c r="B233" s="55" t="s">
        <v>391</v>
      </c>
      <c r="C233" s="39">
        <v>247</v>
      </c>
      <c r="D233" s="40" t="s">
        <v>1404</v>
      </c>
      <c r="I233" s="39">
        <v>4</v>
      </c>
      <c r="J233" s="39">
        <v>0</v>
      </c>
      <c r="K233" s="39">
        <v>0</v>
      </c>
      <c r="L233" s="39">
        <v>176</v>
      </c>
      <c r="M233" s="82">
        <v>10</v>
      </c>
      <c r="N233" s="82">
        <v>10</v>
      </c>
      <c r="O233" s="82">
        <v>10</v>
      </c>
      <c r="P233" s="82">
        <v>9</v>
      </c>
      <c r="Q233" s="82">
        <v>98</v>
      </c>
      <c r="R233" s="82">
        <v>78</v>
      </c>
      <c r="S233" s="82">
        <v>50</v>
      </c>
      <c r="T233" s="82">
        <v>49</v>
      </c>
      <c r="U233">
        <f t="shared" si="3"/>
        <v>500</v>
      </c>
      <c r="V233" s="39">
        <f>IF(I233="","",VLOOKUP(I233,'装备&amp;材料'!$D$1:$E$6,2,FALSE))</f>
        <v>500</v>
      </c>
      <c r="W233" s="39">
        <v>4701</v>
      </c>
      <c r="X233" s="39" t="str">
        <f>VLOOKUP(W233,技能!A:B,2)</f>
        <v>贯穿之矛</v>
      </c>
      <c r="Y233" s="39">
        <v>1</v>
      </c>
    </row>
    <row r="234" spans="1:25">
      <c r="A234" s="39" t="s">
        <v>84</v>
      </c>
      <c r="C234" s="39" t="s">
        <v>84</v>
      </c>
      <c r="L234" s="39" t="s">
        <v>84</v>
      </c>
      <c r="U234" t="str">
        <f t="shared" si="3"/>
        <v/>
      </c>
      <c r="V234" s="39" t="str">
        <f>IF(I234="","",VLOOKUP(I234,'装备&amp;材料'!$D$1:$E$6,2,FALSE))</f>
        <v/>
      </c>
      <c r="W234" s="39">
        <v>4702</v>
      </c>
      <c r="X234" s="39" t="str">
        <f>VLOOKUP(W234,技能!A:B,2)</f>
        <v>穿心长矛</v>
      </c>
      <c r="Y234" s="39">
        <v>2</v>
      </c>
    </row>
    <row r="235" spans="1:25">
      <c r="A235" s="39" t="s">
        <v>84</v>
      </c>
      <c r="C235" s="39" t="s">
        <v>84</v>
      </c>
      <c r="L235" s="39" t="s">
        <v>84</v>
      </c>
      <c r="U235" t="str">
        <f t="shared" si="3"/>
        <v/>
      </c>
      <c r="V235" s="39" t="str">
        <f>IF(I235="","",VLOOKUP(I235,'装备&amp;材料'!$D$1:$E$6,2,FALSE))</f>
        <v/>
      </c>
      <c r="W235" s="39">
        <v>4703</v>
      </c>
      <c r="X235" s="39" t="str">
        <f>VLOOKUP(W235,技能!A:B,2)</f>
        <v>神之进军</v>
      </c>
      <c r="Y235" s="39">
        <v>3</v>
      </c>
    </row>
    <row r="236" spans="1:25">
      <c r="A236" s="39" t="s">
        <v>84</v>
      </c>
      <c r="C236" s="39" t="s">
        <v>84</v>
      </c>
      <c r="L236" s="39" t="s">
        <v>84</v>
      </c>
      <c r="U236" t="str">
        <f t="shared" si="3"/>
        <v/>
      </c>
      <c r="V236" s="39" t="str">
        <f>IF(I236="","",VLOOKUP(I236,'装备&amp;材料'!$D$1:$E$6,2,FALSE))</f>
        <v/>
      </c>
      <c r="W236" s="39">
        <v>4704</v>
      </c>
      <c r="X236" s="39" t="str">
        <f>VLOOKUP(W236,技能!A:B,2)</f>
        <v>圣盾庇护</v>
      </c>
      <c r="Y236" s="39">
        <v>4</v>
      </c>
    </row>
    <row r="237" spans="1:25">
      <c r="A237" s="39" t="s">
        <v>84</v>
      </c>
      <c r="C237" s="39" t="s">
        <v>84</v>
      </c>
      <c r="L237" s="39" t="s">
        <v>84</v>
      </c>
      <c r="U237" t="str">
        <f t="shared" si="3"/>
        <v/>
      </c>
      <c r="V237" s="39" t="str">
        <f>IF(I237="","",VLOOKUP(I237,'装备&amp;材料'!$D$1:$E$6,2,FALSE))</f>
        <v/>
      </c>
      <c r="W237" s="39">
        <v>4705</v>
      </c>
      <c r="X237" s="39" t="str">
        <f>VLOOKUP(W237,技能!A:B,2)</f>
        <v>神圣之盾</v>
      </c>
      <c r="Y237" s="39">
        <v>5</v>
      </c>
    </row>
    <row r="238" spans="1:25">
      <c r="A238" s="39">
        <v>48</v>
      </c>
      <c r="B238" s="42" t="s">
        <v>392</v>
      </c>
      <c r="C238" s="39">
        <v>248</v>
      </c>
      <c r="D238" s="40" t="s">
        <v>857</v>
      </c>
      <c r="I238" s="39">
        <v>5</v>
      </c>
      <c r="J238" s="39">
        <v>5</v>
      </c>
      <c r="K238" s="39">
        <v>1</v>
      </c>
      <c r="L238" s="39">
        <v>180</v>
      </c>
      <c r="M238" s="81">
        <v>14</v>
      </c>
      <c r="N238" s="81">
        <v>14</v>
      </c>
      <c r="O238" s="81">
        <v>12</v>
      </c>
      <c r="P238" s="81">
        <v>13</v>
      </c>
      <c r="Q238" s="81">
        <v>104</v>
      </c>
      <c r="R238" s="81">
        <v>113</v>
      </c>
      <c r="S238" s="81">
        <v>55</v>
      </c>
      <c r="T238" s="81">
        <v>55</v>
      </c>
      <c r="U238">
        <f t="shared" si="3"/>
        <v>600</v>
      </c>
      <c r="V238" s="39">
        <f>IF(I238="","",VLOOKUP(I238,'装备&amp;材料'!$D$1:$E$6,2,FALSE))</f>
        <v>600</v>
      </c>
      <c r="W238" s="39">
        <v>4801</v>
      </c>
      <c r="X238" s="39" t="str">
        <f>VLOOKUP(W238,技能!A:B,2)</f>
        <v>诡计</v>
      </c>
      <c r="Y238" s="39">
        <v>1</v>
      </c>
    </row>
    <row r="239" spans="1:25">
      <c r="A239" s="39" t="s">
        <v>84</v>
      </c>
      <c r="C239" s="39" t="s">
        <v>84</v>
      </c>
      <c r="L239" s="39" t="s">
        <v>84</v>
      </c>
      <c r="U239" t="str">
        <f t="shared" si="3"/>
        <v/>
      </c>
      <c r="V239" s="39" t="str">
        <f>IF(I239="","",VLOOKUP(I239,'装备&amp;材料'!$D$1:$E$6,2,FALSE))</f>
        <v/>
      </c>
      <c r="W239" s="39">
        <v>4802</v>
      </c>
      <c r="X239" s="39" t="str">
        <f>VLOOKUP(W239,技能!A:B,2)</f>
        <v>令牌闪电</v>
      </c>
      <c r="Y239" s="39">
        <v>2</v>
      </c>
    </row>
    <row r="240" spans="1:25">
      <c r="A240" s="39" t="s">
        <v>84</v>
      </c>
      <c r="C240" s="39" t="s">
        <v>84</v>
      </c>
      <c r="L240" s="39" t="s">
        <v>84</v>
      </c>
      <c r="U240" t="str">
        <f t="shared" si="3"/>
        <v/>
      </c>
      <c r="V240" s="39" t="str">
        <f>IF(I240="","",VLOOKUP(I240,'装备&amp;材料'!$D$1:$E$6,2,FALSE))</f>
        <v/>
      </c>
      <c r="W240" s="39">
        <v>4803</v>
      </c>
      <c r="X240" s="39" t="str">
        <f>VLOOKUP(W240,技能!A:B,2)</f>
        <v>星芒领域</v>
      </c>
      <c r="Y240" s="39">
        <v>3</v>
      </c>
    </row>
    <row r="241" spans="1:25">
      <c r="A241" s="39" t="s">
        <v>84</v>
      </c>
      <c r="C241" s="39" t="s">
        <v>84</v>
      </c>
      <c r="L241" s="39" t="s">
        <v>84</v>
      </c>
      <c r="U241" t="str">
        <f t="shared" si="3"/>
        <v/>
      </c>
      <c r="V241" s="39" t="str">
        <f>IF(I241="","",VLOOKUP(I241,'装备&amp;材料'!$D$1:$E$6,2,FALSE))</f>
        <v/>
      </c>
      <c r="W241" s="39">
        <v>4804</v>
      </c>
      <c r="X241" s="39" t="str">
        <f>VLOOKUP(W241,技能!A:B,2)</f>
        <v>强化令牌</v>
      </c>
      <c r="Y241" s="39">
        <v>4</v>
      </c>
    </row>
    <row r="242" spans="1:25">
      <c r="A242" s="39" t="s">
        <v>84</v>
      </c>
      <c r="C242" s="39" t="s">
        <v>84</v>
      </c>
      <c r="L242" s="39" t="s">
        <v>84</v>
      </c>
      <c r="U242" t="str">
        <f t="shared" si="3"/>
        <v/>
      </c>
      <c r="V242" s="39" t="str">
        <f>IF(I242="","",VLOOKUP(I242,'装备&amp;材料'!$D$1:$E$6,2,FALSE))</f>
        <v/>
      </c>
      <c r="W242" s="39">
        <v>4805</v>
      </c>
      <c r="X242" s="39" t="str">
        <f>VLOOKUP(W242,技能!A:B,2)</f>
        <v>恶作剧之神</v>
      </c>
      <c r="Y242" s="39">
        <v>5</v>
      </c>
    </row>
    <row r="243" spans="1:25">
      <c r="A243" s="39">
        <v>49</v>
      </c>
      <c r="B243" s="42" t="s">
        <v>393</v>
      </c>
      <c r="C243" s="39">
        <v>249</v>
      </c>
      <c r="D243" s="40" t="s">
        <v>1405</v>
      </c>
      <c r="I243" s="39">
        <v>5</v>
      </c>
      <c r="J243" s="39">
        <v>0</v>
      </c>
      <c r="K243" s="39">
        <v>0</v>
      </c>
      <c r="L243" s="39">
        <v>194</v>
      </c>
      <c r="M243" s="81">
        <v>13</v>
      </c>
      <c r="N243" s="81">
        <v>13</v>
      </c>
      <c r="O243" s="81">
        <v>12</v>
      </c>
      <c r="P243" s="81">
        <v>12</v>
      </c>
      <c r="Q243" s="81">
        <v>110</v>
      </c>
      <c r="R243" s="81">
        <v>103</v>
      </c>
      <c r="S243" s="81">
        <v>58</v>
      </c>
      <c r="T243" s="81">
        <v>58</v>
      </c>
      <c r="U243">
        <f t="shared" si="3"/>
        <v>600</v>
      </c>
      <c r="V243" s="39">
        <f>IF(I243="","",VLOOKUP(I243,'装备&amp;材料'!$D$1:$E$6,2,FALSE))</f>
        <v>600</v>
      </c>
      <c r="W243" s="39">
        <v>4901</v>
      </c>
      <c r="X243" s="39" t="str">
        <f>VLOOKUP(W243,技能!A:B,2)</f>
        <v>雷神之锤</v>
      </c>
      <c r="Y243" s="39">
        <v>1</v>
      </c>
    </row>
    <row r="244" spans="1:25">
      <c r="A244" s="39" t="s">
        <v>84</v>
      </c>
      <c r="C244" s="39" t="s">
        <v>84</v>
      </c>
      <c r="L244" s="39" t="s">
        <v>84</v>
      </c>
      <c r="U244" t="str">
        <f t="shared" si="3"/>
        <v/>
      </c>
      <c r="V244" s="39" t="str">
        <f>IF(I244="","",VLOOKUP(I244,'装备&amp;材料'!$D$1:$E$6,2,FALSE))</f>
        <v/>
      </c>
      <c r="W244" s="39">
        <v>4902</v>
      </c>
      <c r="X244" s="39" t="str">
        <f>VLOOKUP(W244,技能!A:B,2)</f>
        <v>铁手套</v>
      </c>
      <c r="Y244" s="39">
        <v>2</v>
      </c>
    </row>
    <row r="245" spans="1:25">
      <c r="A245" s="39" t="s">
        <v>84</v>
      </c>
      <c r="C245" s="39" t="s">
        <v>84</v>
      </c>
      <c r="L245" s="39" t="s">
        <v>84</v>
      </c>
      <c r="U245" t="str">
        <f t="shared" si="3"/>
        <v/>
      </c>
      <c r="V245" s="39" t="str">
        <f>IF(I245="","",VLOOKUP(I245,'装备&amp;材料'!$D$1:$E$6,2,FALSE))</f>
        <v/>
      </c>
      <c r="W245" s="39">
        <v>4903</v>
      </c>
      <c r="X245" s="39" t="str">
        <f>VLOOKUP(W245,技能!A:B,2)</f>
        <v>力量涌动</v>
      </c>
      <c r="Y245" s="39">
        <v>3</v>
      </c>
    </row>
    <row r="246" spans="1:25">
      <c r="A246" s="39" t="s">
        <v>84</v>
      </c>
      <c r="C246" s="39" t="s">
        <v>84</v>
      </c>
      <c r="L246" s="39" t="s">
        <v>84</v>
      </c>
      <c r="U246" t="str">
        <f t="shared" si="3"/>
        <v/>
      </c>
      <c r="V246" s="39" t="str">
        <f>IF(I246="","",VLOOKUP(I246,'装备&amp;材料'!$D$1:$E$6,2,FALSE))</f>
        <v/>
      </c>
      <c r="W246" s="39">
        <v>4904</v>
      </c>
      <c r="X246" s="39" t="str">
        <f>VLOOKUP(W246,技能!A:B,2)</f>
        <v>光之勇士</v>
      </c>
      <c r="Y246" s="39">
        <v>4</v>
      </c>
    </row>
    <row r="247" spans="1:25">
      <c r="A247" s="39" t="s">
        <v>84</v>
      </c>
      <c r="C247" s="39" t="s">
        <v>84</v>
      </c>
      <c r="L247" s="39" t="s">
        <v>84</v>
      </c>
      <c r="U247" t="str">
        <f t="shared" si="3"/>
        <v/>
      </c>
      <c r="V247" s="39" t="str">
        <f>IF(I247="","",VLOOKUP(I247,'装备&amp;材料'!$D$1:$E$6,2,FALSE))</f>
        <v/>
      </c>
      <c r="W247" s="39">
        <v>4905</v>
      </c>
      <c r="X247" s="39" t="str">
        <f>VLOOKUP(W247,技能!A:B,2)</f>
        <v>雷云风暴</v>
      </c>
      <c r="Y247" s="39">
        <v>5</v>
      </c>
    </row>
    <row r="248" spans="1:25">
      <c r="A248" s="39">
        <v>50</v>
      </c>
      <c r="B248" s="42" t="s">
        <v>394</v>
      </c>
      <c r="C248" s="39">
        <v>250</v>
      </c>
      <c r="D248" s="40" t="s">
        <v>858</v>
      </c>
      <c r="E248" s="40" t="s">
        <v>6025</v>
      </c>
      <c r="I248" s="39">
        <v>5</v>
      </c>
      <c r="J248" s="39">
        <v>5</v>
      </c>
      <c r="K248" s="39">
        <v>1</v>
      </c>
      <c r="L248" s="39">
        <v>182</v>
      </c>
      <c r="M248" s="81">
        <v>13</v>
      </c>
      <c r="N248" s="81">
        <v>13</v>
      </c>
      <c r="O248" s="81">
        <v>12</v>
      </c>
      <c r="P248" s="81">
        <v>13</v>
      </c>
      <c r="Q248" s="81">
        <v>105</v>
      </c>
      <c r="R248" s="81">
        <v>117</v>
      </c>
      <c r="S248" s="81">
        <v>55</v>
      </c>
      <c r="T248" s="81">
        <v>55</v>
      </c>
      <c r="U248">
        <f t="shared" si="3"/>
        <v>600</v>
      </c>
      <c r="V248" s="39">
        <f>IF(I248="","",VLOOKUP(I248,'装备&amp;材料'!$D$1:$E$6,2,FALSE))</f>
        <v>600</v>
      </c>
      <c r="W248" s="58">
        <v>5004</v>
      </c>
      <c r="X248" s="39" t="str">
        <f>VLOOKUP(W248,技能!A:B,2)</f>
        <v>诀别</v>
      </c>
      <c r="Y248" s="39">
        <v>1</v>
      </c>
    </row>
    <row r="249" spans="1:25">
      <c r="A249" s="39" t="s">
        <v>84</v>
      </c>
      <c r="C249" s="39" t="s">
        <v>84</v>
      </c>
      <c r="L249" s="39" t="s">
        <v>84</v>
      </c>
      <c r="U249" t="str">
        <f t="shared" si="3"/>
        <v/>
      </c>
      <c r="V249" s="39" t="str">
        <f>IF(I249="","",VLOOKUP(I249,'装备&amp;材料'!$D$1:$E$6,2,FALSE))</f>
        <v/>
      </c>
      <c r="W249" s="58">
        <v>5005</v>
      </c>
      <c r="X249" s="39" t="str">
        <f>VLOOKUP(W249,技能!A:B,2)</f>
        <v>十之指环</v>
      </c>
      <c r="Y249" s="39">
        <v>2</v>
      </c>
    </row>
    <row r="250" spans="1:25">
      <c r="A250" s="39" t="s">
        <v>84</v>
      </c>
      <c r="C250" s="39" t="s">
        <v>84</v>
      </c>
      <c r="L250" s="39" t="s">
        <v>84</v>
      </c>
      <c r="U250" t="str">
        <f t="shared" si="3"/>
        <v/>
      </c>
      <c r="V250" s="39" t="str">
        <f>IF(I250="","",VLOOKUP(I250,'装备&amp;材料'!$D$1:$E$6,2,FALSE))</f>
        <v/>
      </c>
      <c r="W250" s="39">
        <v>5003</v>
      </c>
      <c r="X250" s="39" t="str">
        <f>VLOOKUP(W250,技能!A:B,2)</f>
        <v>法术涌动</v>
      </c>
      <c r="Y250" s="39">
        <v>3</v>
      </c>
    </row>
    <row r="251" spans="1:25">
      <c r="A251" s="39" t="s">
        <v>84</v>
      </c>
      <c r="C251" s="39" t="s">
        <v>84</v>
      </c>
      <c r="L251" s="39" t="s">
        <v>84</v>
      </c>
      <c r="U251" t="str">
        <f t="shared" si="3"/>
        <v/>
      </c>
      <c r="V251" s="39" t="str">
        <f>IF(I251="","",VLOOKUP(I251,'装备&amp;材料'!$D$1:$E$6,2,FALSE))</f>
        <v/>
      </c>
      <c r="W251" s="58">
        <v>5001</v>
      </c>
      <c r="X251" s="39" t="str">
        <f>VLOOKUP(W251,技能!A:B,2)</f>
        <v>万象支配</v>
      </c>
      <c r="Y251" s="39">
        <v>4</v>
      </c>
    </row>
    <row r="252" spans="1:25">
      <c r="A252" s="39" t="s">
        <v>84</v>
      </c>
      <c r="C252" s="39" t="s">
        <v>84</v>
      </c>
      <c r="L252" s="39" t="s">
        <v>84</v>
      </c>
      <c r="U252" t="str">
        <f t="shared" si="3"/>
        <v/>
      </c>
      <c r="V252" s="39" t="str">
        <f>IF(I252="","",VLOOKUP(I252,'装备&amp;材料'!$D$1:$E$6,2,FALSE))</f>
        <v/>
      </c>
      <c r="W252" s="58">
        <v>5002</v>
      </c>
      <c r="X252" s="39" t="str">
        <f>VLOOKUP(W252,技能!A:B,2)</f>
        <v>万物起源</v>
      </c>
      <c r="Y252" s="39">
        <v>5</v>
      </c>
    </row>
    <row r="253" spans="1:25">
      <c r="A253" s="39">
        <v>51</v>
      </c>
      <c r="B253" s="45" t="s">
        <v>395</v>
      </c>
      <c r="C253" s="39">
        <v>251</v>
      </c>
      <c r="D253" s="40" t="s">
        <v>8012</v>
      </c>
      <c r="I253" s="39">
        <v>6</v>
      </c>
      <c r="J253" s="39">
        <v>5</v>
      </c>
      <c r="K253" s="39">
        <v>1</v>
      </c>
      <c r="L253" s="39">
        <v>272</v>
      </c>
      <c r="M253" s="83">
        <v>17</v>
      </c>
      <c r="N253" s="83">
        <v>17</v>
      </c>
      <c r="O253" s="83">
        <v>16</v>
      </c>
      <c r="P253" s="83">
        <v>17</v>
      </c>
      <c r="Q253" s="83">
        <v>115</v>
      </c>
      <c r="R253" s="83">
        <v>130</v>
      </c>
      <c r="S253" s="83">
        <v>68</v>
      </c>
      <c r="T253" s="83">
        <v>68</v>
      </c>
      <c r="U253">
        <f t="shared" si="3"/>
        <v>750</v>
      </c>
      <c r="V253" s="39">
        <f>IF(I253="","",VLOOKUP(I253,'装备&amp;材料'!$D$1:$E$6,2,FALSE))</f>
        <v>750</v>
      </c>
      <c r="W253" s="39">
        <v>5101</v>
      </c>
      <c r="X253" s="39" t="str">
        <f>VLOOKUP(W253,技能!A:B,2)</f>
        <v>堕天使之击</v>
      </c>
      <c r="Y253" s="39">
        <v>1</v>
      </c>
    </row>
    <row r="254" spans="1:25">
      <c r="A254" s="39" t="s">
        <v>84</v>
      </c>
      <c r="C254" s="39" t="s">
        <v>84</v>
      </c>
      <c r="L254" s="39" t="s">
        <v>84</v>
      </c>
      <c r="U254" t="str">
        <f t="shared" si="3"/>
        <v/>
      </c>
      <c r="V254" s="39" t="str">
        <f>IF(I254="","",VLOOKUP(I254,'装备&amp;材料'!$D$1:$E$6,2,FALSE))</f>
        <v/>
      </c>
      <c r="W254" s="39">
        <v>5102</v>
      </c>
      <c r="X254" s="39" t="str">
        <f>VLOOKUP(W254,技能!A:B,2)</f>
        <v>骄傲原罪</v>
      </c>
      <c r="Y254" s="39">
        <v>2</v>
      </c>
    </row>
    <row r="255" spans="1:25">
      <c r="A255" s="39" t="s">
        <v>84</v>
      </c>
      <c r="C255" s="39" t="s">
        <v>84</v>
      </c>
      <c r="L255" s="39" t="s">
        <v>84</v>
      </c>
      <c r="U255" t="str">
        <f t="shared" si="3"/>
        <v/>
      </c>
      <c r="V255" s="39" t="str">
        <f>IF(I255="","",VLOOKUP(I255,'装备&amp;材料'!$D$1:$E$6,2,FALSE))</f>
        <v/>
      </c>
      <c r="W255" s="39">
        <v>5103</v>
      </c>
      <c r="X255" s="39" t="str">
        <f>VLOOKUP(W255,技能!A:B,2)</f>
        <v>末日降临</v>
      </c>
      <c r="Y255" s="39">
        <v>3</v>
      </c>
    </row>
    <row r="256" spans="1:25">
      <c r="A256" s="39" t="s">
        <v>84</v>
      </c>
      <c r="C256" s="39" t="s">
        <v>84</v>
      </c>
      <c r="L256" s="39" t="s">
        <v>84</v>
      </c>
      <c r="U256" t="str">
        <f t="shared" si="3"/>
        <v/>
      </c>
      <c r="V256" s="39" t="str">
        <f>IF(I256="","",VLOOKUP(I256,'装备&amp;材料'!$D$1:$E$6,2,FALSE))</f>
        <v/>
      </c>
      <c r="W256" s="39">
        <v>5104</v>
      </c>
      <c r="X256" s="39" t="str">
        <f>VLOOKUP(W256,技能!A:B,2)</f>
        <v>黑暗契约</v>
      </c>
      <c r="Y256" s="39">
        <v>4</v>
      </c>
    </row>
    <row r="257" spans="1:25">
      <c r="A257" s="39" t="s">
        <v>84</v>
      </c>
      <c r="C257" s="39" t="s">
        <v>84</v>
      </c>
      <c r="L257" s="39" t="s">
        <v>84</v>
      </c>
      <c r="U257" t="str">
        <f t="shared" si="3"/>
        <v/>
      </c>
      <c r="V257" s="39" t="str">
        <f>IF(I257="","",VLOOKUP(I257,'装备&amp;材料'!$D$1:$E$6,2,FALSE))</f>
        <v/>
      </c>
      <c r="W257" s="39">
        <v>5105</v>
      </c>
      <c r="X257" s="39" t="str">
        <f>VLOOKUP(W257,技能!A:B,2)</f>
        <v>堕落之力</v>
      </c>
      <c r="Y257" s="39">
        <v>5</v>
      </c>
    </row>
    <row r="258" spans="1:25">
      <c r="A258" s="39">
        <v>52</v>
      </c>
      <c r="B258" s="42" t="s">
        <v>396</v>
      </c>
      <c r="C258" s="39">
        <v>252</v>
      </c>
      <c r="D258" s="40" t="s">
        <v>859</v>
      </c>
      <c r="I258" s="39">
        <v>5</v>
      </c>
      <c r="J258" s="39">
        <v>6</v>
      </c>
      <c r="K258" s="39">
        <v>1</v>
      </c>
      <c r="L258" s="39">
        <v>196</v>
      </c>
      <c r="M258" s="81">
        <v>13</v>
      </c>
      <c r="N258" s="81">
        <v>13</v>
      </c>
      <c r="O258" s="81">
        <v>13</v>
      </c>
      <c r="P258" s="81">
        <v>13</v>
      </c>
      <c r="Q258" s="81">
        <v>103</v>
      </c>
      <c r="R258" s="81">
        <v>107</v>
      </c>
      <c r="S258" s="81">
        <v>55</v>
      </c>
      <c r="T258" s="81">
        <v>55</v>
      </c>
      <c r="U258">
        <f t="shared" si="3"/>
        <v>600</v>
      </c>
      <c r="V258" s="39">
        <f>IF(I258="","",VLOOKUP(I258,'装备&amp;材料'!$D$1:$E$6,2,FALSE))</f>
        <v>600</v>
      </c>
      <c r="W258" s="39">
        <v>5201</v>
      </c>
      <c r="X258" s="39" t="str">
        <f>VLOOKUP(W258,技能!A:B,2)</f>
        <v>上帝之佑</v>
      </c>
      <c r="Y258" s="39">
        <v>1</v>
      </c>
    </row>
    <row r="259" spans="1:25">
      <c r="A259" s="39" t="s">
        <v>84</v>
      </c>
      <c r="C259" s="39" t="s">
        <v>84</v>
      </c>
      <c r="L259" s="39" t="s">
        <v>84</v>
      </c>
      <c r="U259" t="str">
        <f t="shared" ref="U259:U322" si="4">IF(I259="","",L259*0.5+M259*3+N259*3+O259*5+P259*3+Q259+R259+S259+T259)</f>
        <v/>
      </c>
      <c r="V259" s="39" t="str">
        <f>IF(I259="","",VLOOKUP(I259,'装备&amp;材料'!$D$1:$E$6,2,FALSE))</f>
        <v/>
      </c>
      <c r="W259" s="39">
        <v>5202</v>
      </c>
      <c r="X259" s="39" t="str">
        <f>VLOOKUP(W259,技能!A:B,2)</f>
        <v>净化之焰</v>
      </c>
      <c r="Y259" s="39">
        <v>2</v>
      </c>
    </row>
    <row r="260" spans="1:25">
      <c r="A260" s="39" t="s">
        <v>84</v>
      </c>
      <c r="C260" s="39" t="s">
        <v>84</v>
      </c>
      <c r="L260" s="39" t="s">
        <v>84</v>
      </c>
      <c r="U260" t="str">
        <f t="shared" si="4"/>
        <v/>
      </c>
      <c r="V260" s="39" t="str">
        <f>IF(I260="","",VLOOKUP(I260,'装备&amp;材料'!$D$1:$E$6,2,FALSE))</f>
        <v/>
      </c>
      <c r="W260" s="39">
        <v>5203</v>
      </c>
      <c r="X260" s="39" t="str">
        <f>VLOOKUP(W260,技能!A:B,2)</f>
        <v>炎羽乱舞</v>
      </c>
      <c r="Y260" s="39">
        <v>3</v>
      </c>
    </row>
    <row r="261" spans="1:25">
      <c r="A261" s="39" t="s">
        <v>84</v>
      </c>
      <c r="C261" s="39" t="s">
        <v>84</v>
      </c>
      <c r="L261" s="39" t="s">
        <v>84</v>
      </c>
      <c r="U261" t="str">
        <f t="shared" si="4"/>
        <v/>
      </c>
      <c r="V261" s="39" t="str">
        <f>IF(I261="","",VLOOKUP(I261,'装备&amp;材料'!$D$1:$E$6,2,FALSE))</f>
        <v/>
      </c>
      <c r="W261" s="39">
        <v>5204</v>
      </c>
      <c r="X261" s="39" t="str">
        <f>VLOOKUP(W261,技能!A:B,2)</f>
        <v>烈焰斩狱审判</v>
      </c>
      <c r="Y261" s="39">
        <v>4</v>
      </c>
    </row>
    <row r="262" spans="1:25">
      <c r="A262" s="39" t="s">
        <v>84</v>
      </c>
      <c r="C262" s="39" t="s">
        <v>84</v>
      </c>
      <c r="L262" s="39" t="s">
        <v>84</v>
      </c>
      <c r="U262" t="str">
        <f t="shared" si="4"/>
        <v/>
      </c>
      <c r="V262" s="39" t="str">
        <f>IF(I262="","",VLOOKUP(I262,'装备&amp;材料'!$D$1:$E$6,2,FALSE))</f>
        <v/>
      </c>
      <c r="W262" s="39">
        <v>5205</v>
      </c>
      <c r="X262" s="39" t="str">
        <f>VLOOKUP(W262,技能!A:B,2)</f>
        <v>圣诞流陨</v>
      </c>
      <c r="Y262" s="39">
        <v>5</v>
      </c>
    </row>
    <row r="263" spans="1:25" ht="27">
      <c r="A263" s="39">
        <v>53</v>
      </c>
      <c r="B263" s="42" t="s">
        <v>397</v>
      </c>
      <c r="C263" s="39">
        <v>253</v>
      </c>
      <c r="D263" s="59" t="s">
        <v>1406</v>
      </c>
      <c r="E263" s="59"/>
      <c r="F263" s="59"/>
      <c r="G263" s="59"/>
      <c r="H263" s="59"/>
      <c r="I263" s="39">
        <v>5</v>
      </c>
      <c r="J263" s="39">
        <v>6</v>
      </c>
      <c r="K263" s="39">
        <v>1</v>
      </c>
      <c r="L263" s="39">
        <v>194</v>
      </c>
      <c r="M263" s="81">
        <v>13</v>
      </c>
      <c r="N263" s="81">
        <v>13</v>
      </c>
      <c r="O263" s="81">
        <v>12</v>
      </c>
      <c r="P263" s="81">
        <v>13</v>
      </c>
      <c r="Q263" s="81">
        <v>104</v>
      </c>
      <c r="R263" s="81">
        <v>106</v>
      </c>
      <c r="S263" s="81">
        <v>58</v>
      </c>
      <c r="T263" s="81">
        <v>58</v>
      </c>
      <c r="U263">
        <f t="shared" si="4"/>
        <v>600</v>
      </c>
      <c r="V263" s="39">
        <f>IF(I263="","",VLOOKUP(I263,'装备&amp;材料'!$D$1:$E$6,2,FALSE))</f>
        <v>600</v>
      </c>
      <c r="W263" s="39">
        <v>5301</v>
      </c>
      <c r="X263" s="39" t="str">
        <f>VLOOKUP(W263,技能!A:B,2)</f>
        <v>圣洁之盾</v>
      </c>
      <c r="Y263" s="39">
        <v>1</v>
      </c>
    </row>
    <row r="264" spans="1:25">
      <c r="A264" s="39" t="s">
        <v>84</v>
      </c>
      <c r="C264" s="39" t="s">
        <v>84</v>
      </c>
      <c r="L264" s="39" t="s">
        <v>84</v>
      </c>
      <c r="U264" t="str">
        <f t="shared" si="4"/>
        <v/>
      </c>
      <c r="V264" s="39" t="str">
        <f>IF(I264="","",VLOOKUP(I264,'装备&amp;材料'!$D$1:$E$6,2,FALSE))</f>
        <v/>
      </c>
      <c r="W264" s="39">
        <v>5302</v>
      </c>
      <c r="X264" s="39" t="str">
        <f>VLOOKUP(W264,技能!A:B,2)</f>
        <v>天堂冲击</v>
      </c>
      <c r="Y264" s="39">
        <v>2</v>
      </c>
    </row>
    <row r="265" spans="1:25">
      <c r="A265" s="39" t="s">
        <v>84</v>
      </c>
      <c r="C265" s="39" t="s">
        <v>84</v>
      </c>
      <c r="L265" s="39" t="s">
        <v>84</v>
      </c>
      <c r="U265" t="str">
        <f t="shared" si="4"/>
        <v/>
      </c>
      <c r="V265" s="39" t="str">
        <f>IF(I265="","",VLOOKUP(I265,'装备&amp;材料'!$D$1:$E$6,2,FALSE))</f>
        <v/>
      </c>
      <c r="W265" s="39">
        <v>5303</v>
      </c>
      <c r="X265" s="39" t="str">
        <f>VLOOKUP(W265,技能!A:B,2)</f>
        <v>赤炎裁决</v>
      </c>
      <c r="Y265" s="39">
        <v>3</v>
      </c>
    </row>
    <row r="266" spans="1:25">
      <c r="A266" s="39" t="s">
        <v>84</v>
      </c>
      <c r="C266" s="39" t="s">
        <v>84</v>
      </c>
      <c r="L266" s="39" t="s">
        <v>84</v>
      </c>
      <c r="U266" t="str">
        <f t="shared" si="4"/>
        <v/>
      </c>
      <c r="V266" s="39" t="str">
        <f>IF(I266="","",VLOOKUP(I266,'装备&amp;材料'!$D$1:$E$6,2,FALSE))</f>
        <v/>
      </c>
      <c r="W266" s="39">
        <v>5304</v>
      </c>
      <c r="X266" s="39" t="str">
        <f>VLOOKUP(W266,技能!A:B,2)</f>
        <v>审判连击</v>
      </c>
      <c r="Y266" s="39">
        <v>4</v>
      </c>
    </row>
    <row r="267" spans="1:25">
      <c r="A267" s="39" t="s">
        <v>84</v>
      </c>
      <c r="C267" s="39" t="s">
        <v>84</v>
      </c>
      <c r="L267" s="39" t="s">
        <v>84</v>
      </c>
      <c r="U267" t="str">
        <f t="shared" si="4"/>
        <v/>
      </c>
      <c r="V267" s="39" t="str">
        <f>IF(I267="","",VLOOKUP(I267,'装备&amp;材料'!$D$1:$E$6,2,FALSE))</f>
        <v/>
      </c>
      <c r="W267" s="39">
        <v>5305</v>
      </c>
      <c r="X267" s="39" t="str">
        <f>VLOOKUP(W267,技能!A:B,2)</f>
        <v>圣十字洗礼</v>
      </c>
      <c r="Y267" s="39">
        <v>5</v>
      </c>
    </row>
    <row r="268" spans="1:25" ht="27">
      <c r="A268" s="39">
        <v>54</v>
      </c>
      <c r="B268" s="42" t="s">
        <v>398</v>
      </c>
      <c r="C268" s="39">
        <v>254</v>
      </c>
      <c r="D268" s="59" t="s">
        <v>6014</v>
      </c>
      <c r="E268" s="60" t="s">
        <v>6013</v>
      </c>
      <c r="F268" s="60"/>
      <c r="G268" s="60"/>
      <c r="H268" s="60"/>
      <c r="I268" s="39">
        <v>5</v>
      </c>
      <c r="J268" s="39">
        <v>1</v>
      </c>
      <c r="K268" s="39">
        <v>1</v>
      </c>
      <c r="L268" s="39">
        <v>206</v>
      </c>
      <c r="M268" s="81">
        <v>14</v>
      </c>
      <c r="N268" s="81">
        <v>14</v>
      </c>
      <c r="O268" s="81">
        <v>12</v>
      </c>
      <c r="P268" s="81">
        <v>13</v>
      </c>
      <c r="Q268" s="81">
        <v>113</v>
      </c>
      <c r="R268" s="81">
        <v>85</v>
      </c>
      <c r="S268" s="81">
        <v>58</v>
      </c>
      <c r="T268" s="81">
        <v>58</v>
      </c>
      <c r="U268">
        <f t="shared" si="4"/>
        <v>600</v>
      </c>
      <c r="V268" s="39">
        <f>IF(I268="","",VLOOKUP(I268,'装备&amp;材料'!$D$1:$E$6,2,FALSE))</f>
        <v>600</v>
      </c>
      <c r="W268" s="39">
        <v>5401</v>
      </c>
      <c r="X268" s="39" t="str">
        <f>VLOOKUP(W268,技能!A:B,2)</f>
        <v>一骑当千</v>
      </c>
      <c r="Y268" s="39">
        <v>1</v>
      </c>
    </row>
    <row r="269" spans="1:25">
      <c r="A269" s="39" t="s">
        <v>84</v>
      </c>
      <c r="C269" s="39" t="s">
        <v>84</v>
      </c>
      <c r="L269" s="39" t="s">
        <v>84</v>
      </c>
      <c r="U269" t="str">
        <f t="shared" si="4"/>
        <v/>
      </c>
      <c r="V269" s="39" t="str">
        <f>IF(I269="","",VLOOKUP(I269,'装备&amp;材料'!$D$1:$E$6,2,FALSE))</f>
        <v/>
      </c>
      <c r="W269" s="39">
        <v>5402</v>
      </c>
      <c r="X269" s="39" t="str">
        <f>VLOOKUP(W269,技能!A:B,2)</f>
        <v>单刀赴会</v>
      </c>
      <c r="Y269" s="39">
        <v>2</v>
      </c>
    </row>
    <row r="270" spans="1:25">
      <c r="A270" s="39" t="s">
        <v>84</v>
      </c>
      <c r="C270" s="39" t="s">
        <v>84</v>
      </c>
      <c r="L270" s="39" t="s">
        <v>84</v>
      </c>
      <c r="U270" t="str">
        <f t="shared" si="4"/>
        <v/>
      </c>
      <c r="V270" s="39" t="str">
        <f>IF(I270="","",VLOOKUP(I270,'装备&amp;材料'!$D$1:$E$6,2,FALSE))</f>
        <v/>
      </c>
      <c r="W270" s="39">
        <v>5403</v>
      </c>
      <c r="X270" s="39" t="str">
        <f>VLOOKUP(W270,技能!A:B,2)</f>
        <v>青龙乱舞刃</v>
      </c>
      <c r="Y270" s="39">
        <v>3</v>
      </c>
    </row>
    <row r="271" spans="1:25">
      <c r="A271" s="39" t="s">
        <v>84</v>
      </c>
      <c r="C271" s="39" t="s">
        <v>84</v>
      </c>
      <c r="L271" s="39" t="s">
        <v>84</v>
      </c>
      <c r="U271" t="str">
        <f t="shared" si="4"/>
        <v/>
      </c>
      <c r="V271" s="39" t="str">
        <f>IF(I271="","",VLOOKUP(I271,'装备&amp;材料'!$D$1:$E$6,2,FALSE))</f>
        <v/>
      </c>
      <c r="W271" s="39">
        <v>5404</v>
      </c>
      <c r="X271" s="39" t="str">
        <f>VLOOKUP(W271,技能!A:B,2)</f>
        <v>嗜血铁骑</v>
      </c>
      <c r="Y271" s="39">
        <v>4</v>
      </c>
    </row>
    <row r="272" spans="1:25">
      <c r="A272" s="39" t="s">
        <v>84</v>
      </c>
      <c r="C272" s="39" t="s">
        <v>84</v>
      </c>
      <c r="L272" s="39" t="s">
        <v>84</v>
      </c>
      <c r="U272" t="str">
        <f t="shared" si="4"/>
        <v/>
      </c>
      <c r="V272" s="39" t="str">
        <f>IF(I272="","",VLOOKUP(I272,'装备&amp;材料'!$D$1:$E$6,2,FALSE))</f>
        <v/>
      </c>
      <c r="W272" s="39">
        <v>5405</v>
      </c>
      <c r="X272" s="39" t="str">
        <f>VLOOKUP(W272,技能!A:B,2)</f>
        <v>武圣之怒</v>
      </c>
      <c r="Y272" s="39">
        <v>5</v>
      </c>
    </row>
    <row r="273" spans="1:25" ht="27">
      <c r="A273" s="39">
        <v>55</v>
      </c>
      <c r="B273" s="45" t="s">
        <v>399</v>
      </c>
      <c r="C273" s="39">
        <v>16</v>
      </c>
      <c r="D273" s="52" t="s">
        <v>6015</v>
      </c>
      <c r="E273" s="40" t="s">
        <v>6018</v>
      </c>
      <c r="I273" s="39">
        <v>6</v>
      </c>
      <c r="J273" s="39">
        <v>1</v>
      </c>
      <c r="K273" s="39">
        <v>1</v>
      </c>
      <c r="L273" s="39">
        <v>268</v>
      </c>
      <c r="M273" s="83">
        <v>17</v>
      </c>
      <c r="N273" s="83">
        <v>17</v>
      </c>
      <c r="O273" s="83">
        <v>16</v>
      </c>
      <c r="P273" s="83">
        <v>16</v>
      </c>
      <c r="Q273" s="83">
        <v>133</v>
      </c>
      <c r="R273" s="83">
        <v>117</v>
      </c>
      <c r="S273" s="83">
        <v>68</v>
      </c>
      <c r="T273" s="83">
        <v>68</v>
      </c>
      <c r="U273">
        <f t="shared" si="4"/>
        <v>750</v>
      </c>
      <c r="V273" s="39">
        <f>IF(I273="","",VLOOKUP(I273,'装备&amp;材料'!$D$1:$E$6,2,FALSE))</f>
        <v>750</v>
      </c>
      <c r="W273" s="39">
        <v>5501</v>
      </c>
      <c r="X273" s="39" t="str">
        <f>VLOOKUP(W273,技能!A:B,2)</f>
        <v>横扫千军</v>
      </c>
      <c r="Y273" s="39">
        <v>1</v>
      </c>
    </row>
    <row r="274" spans="1:25">
      <c r="A274" s="39" t="s">
        <v>84</v>
      </c>
      <c r="C274" s="39" t="s">
        <v>84</v>
      </c>
      <c r="L274" s="39" t="s">
        <v>84</v>
      </c>
      <c r="U274" t="str">
        <f t="shared" si="4"/>
        <v/>
      </c>
      <c r="V274" s="39" t="str">
        <f>IF(I274="","",VLOOKUP(I274,'装备&amp;材料'!$D$1:$E$6,2,FALSE))</f>
        <v/>
      </c>
      <c r="W274" s="39">
        <v>5502</v>
      </c>
      <c r="X274" s="39" t="str">
        <f>VLOOKUP(W274,技能!A:B,2)</f>
        <v>天下无双</v>
      </c>
      <c r="Y274" s="39">
        <v>2</v>
      </c>
    </row>
    <row r="275" spans="1:25">
      <c r="A275" s="39" t="s">
        <v>84</v>
      </c>
      <c r="C275" s="39" t="s">
        <v>84</v>
      </c>
      <c r="L275" s="39" t="s">
        <v>84</v>
      </c>
      <c r="U275" t="str">
        <f t="shared" si="4"/>
        <v/>
      </c>
      <c r="V275" s="39" t="str">
        <f>IF(I275="","",VLOOKUP(I275,'装备&amp;材料'!$D$1:$E$6,2,FALSE))</f>
        <v/>
      </c>
      <c r="W275" s="39">
        <v>5503</v>
      </c>
      <c r="X275" s="39" t="str">
        <f>VLOOKUP(W275,技能!A:B,2)</f>
        <v>贪狼</v>
      </c>
      <c r="Y275" s="39">
        <v>3</v>
      </c>
    </row>
    <row r="276" spans="1:25">
      <c r="A276" s="39" t="s">
        <v>84</v>
      </c>
      <c r="C276" s="39" t="s">
        <v>84</v>
      </c>
      <c r="L276" s="39" t="s">
        <v>84</v>
      </c>
      <c r="U276" t="str">
        <f t="shared" si="4"/>
        <v/>
      </c>
      <c r="V276" s="39" t="str">
        <f>IF(I276="","",VLOOKUP(I276,'装备&amp;材料'!$D$1:$E$6,2,FALSE))</f>
        <v/>
      </c>
      <c r="W276" s="39">
        <v>5504</v>
      </c>
      <c r="X276" s="39" t="str">
        <f>VLOOKUP(W276,技能!A:B,2)</f>
        <v>方天画戟</v>
      </c>
      <c r="Y276" s="39">
        <v>4</v>
      </c>
    </row>
    <row r="277" spans="1:25">
      <c r="A277" s="39" t="s">
        <v>84</v>
      </c>
      <c r="C277" s="39" t="s">
        <v>84</v>
      </c>
      <c r="L277" s="39" t="s">
        <v>84</v>
      </c>
      <c r="U277" t="str">
        <f t="shared" si="4"/>
        <v/>
      </c>
      <c r="V277" s="39" t="str">
        <f>IF(I277="","",VLOOKUP(I277,'装备&amp;材料'!$D$1:$E$6,2,FALSE))</f>
        <v/>
      </c>
      <c r="W277" s="39">
        <v>5505</v>
      </c>
      <c r="X277" s="39" t="str">
        <f>VLOOKUP(W277,技能!A:B,2)</f>
        <v>处决</v>
      </c>
      <c r="Y277" s="39">
        <v>5</v>
      </c>
    </row>
    <row r="278" spans="1:25">
      <c r="A278" s="39">
        <v>56</v>
      </c>
      <c r="B278" s="42" t="s">
        <v>701</v>
      </c>
      <c r="C278" s="39">
        <v>256</v>
      </c>
      <c r="D278" s="60"/>
      <c r="E278" s="60"/>
      <c r="F278" s="60"/>
      <c r="G278" s="60"/>
      <c r="H278" s="60"/>
      <c r="I278" s="39">
        <v>5</v>
      </c>
      <c r="J278" s="39">
        <v>4</v>
      </c>
      <c r="K278" s="39">
        <v>0</v>
      </c>
      <c r="L278" s="39">
        <v>172</v>
      </c>
      <c r="M278" s="81">
        <v>14</v>
      </c>
      <c r="N278" s="81">
        <v>14</v>
      </c>
      <c r="O278" s="81">
        <v>12</v>
      </c>
      <c r="P278" s="81">
        <v>12</v>
      </c>
      <c r="Q278" s="81">
        <v>112</v>
      </c>
      <c r="R278" s="81">
        <v>112</v>
      </c>
      <c r="S278" s="81">
        <v>55</v>
      </c>
      <c r="T278" s="81">
        <v>55</v>
      </c>
      <c r="U278">
        <f t="shared" si="4"/>
        <v>600</v>
      </c>
      <c r="V278" s="39">
        <f>IF(I278="","",VLOOKUP(I278,'装备&amp;材料'!$D$1:$E$6,2,FALSE))</f>
        <v>600</v>
      </c>
      <c r="W278" s="39">
        <v>5601</v>
      </c>
      <c r="X278" s="39">
        <f>VLOOKUP(W278,技能!A:B,2)</f>
        <v>1</v>
      </c>
      <c r="Y278" s="39">
        <v>1</v>
      </c>
    </row>
    <row r="279" spans="1:25">
      <c r="A279" s="39" t="s">
        <v>84</v>
      </c>
      <c r="C279" s="39" t="s">
        <v>84</v>
      </c>
      <c r="L279" s="39" t="s">
        <v>84</v>
      </c>
      <c r="U279" t="str">
        <f t="shared" si="4"/>
        <v/>
      </c>
      <c r="V279" s="39" t="str">
        <f>IF(I279="","",VLOOKUP(I279,'装备&amp;材料'!$D$1:$E$6,2,FALSE))</f>
        <v/>
      </c>
      <c r="W279" s="39">
        <v>5602</v>
      </c>
      <c r="X279" s="39">
        <f>VLOOKUP(W279,技能!A:B,2)</f>
        <v>2</v>
      </c>
      <c r="Y279" s="39">
        <v>2</v>
      </c>
    </row>
    <row r="280" spans="1:25">
      <c r="A280" s="39" t="s">
        <v>84</v>
      </c>
      <c r="C280" s="39" t="s">
        <v>84</v>
      </c>
      <c r="L280" s="39" t="s">
        <v>84</v>
      </c>
      <c r="U280" t="str">
        <f t="shared" si="4"/>
        <v/>
      </c>
      <c r="V280" s="39" t="str">
        <f>IF(I280="","",VLOOKUP(I280,'装备&amp;材料'!$D$1:$E$6,2,FALSE))</f>
        <v/>
      </c>
      <c r="W280" s="39">
        <v>5603</v>
      </c>
      <c r="X280" s="39">
        <f>VLOOKUP(W280,技能!A:B,2)</f>
        <v>3</v>
      </c>
      <c r="Y280" s="39">
        <v>3</v>
      </c>
    </row>
    <row r="281" spans="1:25">
      <c r="A281" s="39" t="s">
        <v>84</v>
      </c>
      <c r="C281" s="39" t="s">
        <v>84</v>
      </c>
      <c r="L281" s="39" t="s">
        <v>84</v>
      </c>
      <c r="U281" t="str">
        <f t="shared" si="4"/>
        <v/>
      </c>
      <c r="V281" s="39" t="str">
        <f>IF(I281="","",VLOOKUP(I281,'装备&amp;材料'!$D$1:$E$6,2,FALSE))</f>
        <v/>
      </c>
      <c r="W281" s="39">
        <v>5604</v>
      </c>
      <c r="X281" s="39">
        <f>VLOOKUP(W281,技能!A:B,2)</f>
        <v>4</v>
      </c>
      <c r="Y281" s="39">
        <v>4</v>
      </c>
    </row>
    <row r="282" spans="1:25">
      <c r="A282" s="39" t="s">
        <v>84</v>
      </c>
      <c r="C282" s="39" t="s">
        <v>84</v>
      </c>
      <c r="L282" s="39" t="s">
        <v>84</v>
      </c>
      <c r="U282" t="str">
        <f t="shared" si="4"/>
        <v/>
      </c>
      <c r="V282" s="39" t="str">
        <f>IF(I282="","",VLOOKUP(I282,'装备&amp;材料'!$D$1:$E$6,2,FALSE))</f>
        <v/>
      </c>
      <c r="W282" s="39">
        <v>5605</v>
      </c>
      <c r="X282" s="39">
        <f>VLOOKUP(W282,技能!A:B,2)</f>
        <v>5</v>
      </c>
      <c r="Y282" s="39">
        <v>5</v>
      </c>
    </row>
    <row r="283" spans="1:25">
      <c r="A283" s="39">
        <v>57</v>
      </c>
      <c r="B283" s="42" t="s">
        <v>702</v>
      </c>
      <c r="C283" s="39">
        <v>257</v>
      </c>
      <c r="D283" s="40" t="s">
        <v>860</v>
      </c>
      <c r="I283" s="39">
        <v>5</v>
      </c>
      <c r="J283" s="39">
        <v>4</v>
      </c>
      <c r="K283" s="39">
        <v>1</v>
      </c>
      <c r="L283" s="39">
        <v>182</v>
      </c>
      <c r="M283" s="81">
        <v>13</v>
      </c>
      <c r="N283" s="81">
        <v>13</v>
      </c>
      <c r="O283" s="81">
        <v>12</v>
      </c>
      <c r="P283" s="81">
        <v>13</v>
      </c>
      <c r="Q283" s="81">
        <v>111</v>
      </c>
      <c r="R283" s="81">
        <v>111</v>
      </c>
      <c r="S283" s="81">
        <v>55</v>
      </c>
      <c r="T283" s="81">
        <v>55</v>
      </c>
      <c r="U283">
        <f t="shared" si="4"/>
        <v>600</v>
      </c>
      <c r="V283" s="39">
        <f>IF(I283="","",VLOOKUP(I283,'装备&amp;材料'!$D$1:$E$6,2,FALSE))</f>
        <v>600</v>
      </c>
      <c r="W283" s="39">
        <v>5701</v>
      </c>
      <c r="X283" s="39" t="str">
        <f>VLOOKUP(W283,技能!A:B,2)</f>
        <v>超凡剑术</v>
      </c>
      <c r="Y283" s="39">
        <v>1</v>
      </c>
    </row>
    <row r="284" spans="1:25">
      <c r="A284" s="39" t="s">
        <v>84</v>
      </c>
      <c r="C284" s="39" t="s">
        <v>84</v>
      </c>
      <c r="L284" s="39" t="s">
        <v>84</v>
      </c>
      <c r="U284" t="str">
        <f t="shared" si="4"/>
        <v/>
      </c>
      <c r="V284" s="39" t="str">
        <f>IF(I284="","",VLOOKUP(I284,'装备&amp;材料'!$D$1:$E$6,2,FALSE))</f>
        <v/>
      </c>
      <c r="W284" s="39">
        <v>5702</v>
      </c>
      <c r="X284" s="39" t="str">
        <f>VLOOKUP(W284,技能!A:B,2)</f>
        <v>超凡左轮</v>
      </c>
      <c r="Y284" s="39">
        <v>2</v>
      </c>
    </row>
    <row r="285" spans="1:25">
      <c r="A285" s="39" t="s">
        <v>84</v>
      </c>
      <c r="C285" s="39" t="s">
        <v>84</v>
      </c>
      <c r="L285" s="39" t="s">
        <v>84</v>
      </c>
      <c r="U285" t="str">
        <f t="shared" si="4"/>
        <v/>
      </c>
      <c r="V285" s="39" t="str">
        <f>IF(I285="","",VLOOKUP(I285,'装备&amp;材料'!$D$1:$E$6,2,FALSE))</f>
        <v/>
      </c>
      <c r="W285" s="39">
        <v>5703</v>
      </c>
      <c r="X285" s="39" t="str">
        <f>VLOOKUP(W285,技能!A:B,2)</f>
        <v>Z</v>
      </c>
      <c r="Y285" s="39">
        <v>3</v>
      </c>
    </row>
    <row r="286" spans="1:25">
      <c r="A286" s="39" t="s">
        <v>84</v>
      </c>
      <c r="C286" s="39" t="s">
        <v>84</v>
      </c>
      <c r="L286" s="39" t="s">
        <v>84</v>
      </c>
      <c r="U286" t="str">
        <f t="shared" si="4"/>
        <v/>
      </c>
      <c r="V286" s="39" t="str">
        <f>IF(I286="","",VLOOKUP(I286,'装备&amp;材料'!$D$1:$E$6,2,FALSE))</f>
        <v/>
      </c>
      <c r="W286" s="39">
        <v>5704</v>
      </c>
      <c r="X286" s="39" t="str">
        <f>VLOOKUP(W286,技能!A:B,2)</f>
        <v>血腥狂舞·回旋</v>
      </c>
      <c r="Y286" s="39">
        <v>4</v>
      </c>
    </row>
    <row r="287" spans="1:25">
      <c r="A287" s="39" t="s">
        <v>84</v>
      </c>
      <c r="C287" s="39" t="s">
        <v>84</v>
      </c>
      <c r="L287" s="39" t="s">
        <v>84</v>
      </c>
      <c r="U287" t="str">
        <f t="shared" si="4"/>
        <v/>
      </c>
      <c r="V287" s="39" t="str">
        <f>IF(I287="","",VLOOKUP(I287,'装备&amp;材料'!$D$1:$E$6,2,FALSE))</f>
        <v/>
      </c>
      <c r="W287" s="39">
        <v>5705</v>
      </c>
      <c r="X287" s="39" t="str">
        <f>VLOOKUP(W287,技能!A:B,2)</f>
        <v>面具</v>
      </c>
      <c r="Y287" s="39">
        <v>5</v>
      </c>
    </row>
    <row r="288" spans="1:25">
      <c r="A288" s="39">
        <v>58</v>
      </c>
      <c r="B288" s="43" t="s">
        <v>703</v>
      </c>
      <c r="C288" s="39">
        <v>258</v>
      </c>
      <c r="I288" s="39">
        <v>4</v>
      </c>
      <c r="J288" s="39">
        <v>1</v>
      </c>
      <c r="K288" s="39">
        <v>0</v>
      </c>
      <c r="L288" s="39">
        <v>158</v>
      </c>
      <c r="M288" s="82">
        <v>10</v>
      </c>
      <c r="N288" s="82">
        <v>10</v>
      </c>
      <c r="O288" s="82">
        <v>9</v>
      </c>
      <c r="P288" s="82">
        <v>8</v>
      </c>
      <c r="Q288" s="82">
        <v>106</v>
      </c>
      <c r="R288" s="82">
        <v>90</v>
      </c>
      <c r="S288" s="82">
        <v>48</v>
      </c>
      <c r="T288" s="82">
        <v>48</v>
      </c>
      <c r="U288">
        <f t="shared" si="4"/>
        <v>500</v>
      </c>
      <c r="V288" s="39">
        <f>IF(I288="","",VLOOKUP(I288,'装备&amp;材料'!$D$1:$E$6,2,FALSE))</f>
        <v>500</v>
      </c>
      <c r="W288" s="39">
        <v>5801</v>
      </c>
      <c r="X288" s="39" t="str">
        <f>VLOOKUP(W288,技能!A:B,2)</f>
        <v>致命一击</v>
      </c>
      <c r="Y288" s="39">
        <v>1</v>
      </c>
    </row>
    <row r="289" spans="1:25">
      <c r="A289" s="39" t="s">
        <v>84</v>
      </c>
      <c r="C289" s="39" t="s">
        <v>84</v>
      </c>
      <c r="L289" s="39" t="s">
        <v>84</v>
      </c>
      <c r="U289" t="str">
        <f t="shared" si="4"/>
        <v/>
      </c>
      <c r="V289" s="39" t="str">
        <f>IF(I289="","",VLOOKUP(I289,'装备&amp;材料'!$D$1:$E$6,2,FALSE))</f>
        <v/>
      </c>
      <c r="W289" s="39">
        <v>5802</v>
      </c>
      <c r="X289" s="39" t="str">
        <f>VLOOKUP(W289,技能!A:B,2)</f>
        <v>阎魔刀</v>
      </c>
      <c r="Y289" s="39">
        <v>2</v>
      </c>
    </row>
    <row r="290" spans="1:25">
      <c r="A290" s="39" t="s">
        <v>84</v>
      </c>
      <c r="C290" s="39" t="s">
        <v>84</v>
      </c>
      <c r="L290" s="39" t="s">
        <v>84</v>
      </c>
      <c r="U290" t="str">
        <f t="shared" si="4"/>
        <v/>
      </c>
      <c r="V290" s="39" t="str">
        <f>IF(I290="","",VLOOKUP(I290,'装备&amp;材料'!$D$1:$E$6,2,FALSE))</f>
        <v/>
      </c>
      <c r="W290" s="39">
        <v>5803</v>
      </c>
      <c r="X290" s="39" t="str">
        <f>VLOOKUP(W290,技能!A:B,2)</f>
        <v>魔化</v>
      </c>
      <c r="Y290" s="39">
        <v>3</v>
      </c>
    </row>
    <row r="291" spans="1:25">
      <c r="A291" s="39" t="s">
        <v>84</v>
      </c>
      <c r="C291" s="39" t="s">
        <v>84</v>
      </c>
      <c r="L291" s="39" t="s">
        <v>84</v>
      </c>
      <c r="U291" t="str">
        <f t="shared" si="4"/>
        <v/>
      </c>
      <c r="V291" s="39" t="str">
        <f>IF(I291="","",VLOOKUP(I291,'装备&amp;材料'!$D$1:$E$6,2,FALSE))</f>
        <v/>
      </c>
      <c r="W291" s="39">
        <v>5804</v>
      </c>
      <c r="X291" s="39" t="str">
        <f>VLOOKUP(W291,技能!A:B,2)</f>
        <v>复仇</v>
      </c>
      <c r="Y291" s="39">
        <v>4</v>
      </c>
    </row>
    <row r="292" spans="1:25">
      <c r="A292" s="39" t="s">
        <v>84</v>
      </c>
      <c r="C292" s="39" t="s">
        <v>84</v>
      </c>
      <c r="L292" s="39" t="s">
        <v>84</v>
      </c>
      <c r="U292" t="str">
        <f t="shared" si="4"/>
        <v/>
      </c>
      <c r="V292" s="39" t="str">
        <f>IF(I292="","",VLOOKUP(I292,'装备&amp;材料'!$D$1:$E$6,2,FALSE))</f>
        <v/>
      </c>
      <c r="W292" s="39">
        <v>5805</v>
      </c>
      <c r="X292" s="39" t="str">
        <f>VLOOKUP(W292,技能!A:B,2)</f>
        <v>叛逆之剑</v>
      </c>
      <c r="Y292" s="39">
        <v>5</v>
      </c>
    </row>
    <row r="293" spans="1:25">
      <c r="A293" s="39">
        <v>59</v>
      </c>
      <c r="B293" s="42" t="s">
        <v>704</v>
      </c>
      <c r="C293" s="39">
        <v>259</v>
      </c>
      <c r="D293" s="40" t="s">
        <v>861</v>
      </c>
      <c r="I293" s="39">
        <v>5</v>
      </c>
      <c r="J293" s="39">
        <v>1</v>
      </c>
      <c r="K293" s="39">
        <v>0</v>
      </c>
      <c r="L293" s="39">
        <v>188</v>
      </c>
      <c r="M293" s="81">
        <v>13</v>
      </c>
      <c r="N293" s="81">
        <v>13</v>
      </c>
      <c r="O293" s="81">
        <v>13</v>
      </c>
      <c r="P293" s="81">
        <v>12</v>
      </c>
      <c r="Q293" s="81">
        <v>113</v>
      </c>
      <c r="R293" s="81">
        <v>104</v>
      </c>
      <c r="S293" s="81">
        <v>55</v>
      </c>
      <c r="T293" s="81">
        <v>55</v>
      </c>
      <c r="U293">
        <f t="shared" si="4"/>
        <v>600</v>
      </c>
      <c r="V293" s="39">
        <f>IF(I293="","",VLOOKUP(I293,'装备&amp;材料'!$D$1:$E$6,2,FALSE))</f>
        <v>600</v>
      </c>
      <c r="W293" s="39">
        <v>5901</v>
      </c>
      <c r="X293" s="39" t="str">
        <f>VLOOKUP(W293,技能!A:B,2)</f>
        <v>愤怒掌控</v>
      </c>
      <c r="Y293" s="39">
        <v>1</v>
      </c>
    </row>
    <row r="294" spans="1:25">
      <c r="A294" s="39" t="s">
        <v>84</v>
      </c>
      <c r="C294" s="39" t="s">
        <v>84</v>
      </c>
      <c r="L294" s="39" t="s">
        <v>84</v>
      </c>
      <c r="U294" t="str">
        <f t="shared" si="4"/>
        <v/>
      </c>
      <c r="V294" s="39" t="str">
        <f>IF(I294="","",VLOOKUP(I294,'装备&amp;材料'!$D$1:$E$6,2,FALSE))</f>
        <v/>
      </c>
      <c r="W294" s="39">
        <v>5902</v>
      </c>
      <c r="X294" s="39" t="str">
        <f>VLOOKUP(W294,技能!A:B,2)</f>
        <v>创世兵器</v>
      </c>
      <c r="Y294" s="39">
        <v>2</v>
      </c>
    </row>
    <row r="295" spans="1:25">
      <c r="A295" s="39" t="s">
        <v>84</v>
      </c>
      <c r="C295" s="39" t="s">
        <v>84</v>
      </c>
      <c r="L295" s="39" t="s">
        <v>84</v>
      </c>
      <c r="U295" t="str">
        <f t="shared" si="4"/>
        <v/>
      </c>
      <c r="V295" s="39" t="str">
        <f>IF(I295="","",VLOOKUP(I295,'装备&amp;材料'!$D$1:$E$6,2,FALSE))</f>
        <v/>
      </c>
      <c r="W295" s="39">
        <v>5903</v>
      </c>
      <c r="X295" s="39" t="str">
        <f>VLOOKUP(W295,技能!A:B,2)</f>
        <v>超究武神霸斩</v>
      </c>
      <c r="Y295" s="39">
        <v>3</v>
      </c>
    </row>
    <row r="296" spans="1:25">
      <c r="A296" s="39" t="s">
        <v>84</v>
      </c>
      <c r="C296" s="39" t="s">
        <v>84</v>
      </c>
      <c r="L296" s="39" t="s">
        <v>84</v>
      </c>
      <c r="U296" t="str">
        <f t="shared" si="4"/>
        <v/>
      </c>
      <c r="V296" s="39" t="str">
        <f>IF(I296="","",VLOOKUP(I296,'装备&amp;材料'!$D$1:$E$6,2,FALSE))</f>
        <v/>
      </c>
      <c r="W296" s="39">
        <v>5904</v>
      </c>
      <c r="X296" s="39" t="str">
        <f>VLOOKUP(W296,技能!A:B,2)</f>
        <v>暴怒</v>
      </c>
      <c r="Y296" s="39">
        <v>4</v>
      </c>
    </row>
    <row r="297" spans="1:25">
      <c r="A297" s="39" t="s">
        <v>84</v>
      </c>
      <c r="C297" s="39" t="s">
        <v>84</v>
      </c>
      <c r="L297" s="39" t="s">
        <v>84</v>
      </c>
      <c r="U297" t="str">
        <f t="shared" si="4"/>
        <v/>
      </c>
      <c r="V297" s="39" t="str">
        <f>IF(I297="","",VLOOKUP(I297,'装备&amp;材料'!$D$1:$E$6,2,FALSE))</f>
        <v/>
      </c>
      <c r="W297" s="39">
        <v>5905</v>
      </c>
      <c r="X297" s="39" t="str">
        <f>VLOOKUP(W297,技能!A:B,2)</f>
        <v>凶斩</v>
      </c>
      <c r="Y297" s="39">
        <v>5</v>
      </c>
    </row>
    <row r="298" spans="1:25">
      <c r="A298" s="39">
        <v>60</v>
      </c>
      <c r="B298" s="43" t="s">
        <v>705</v>
      </c>
      <c r="C298" s="39">
        <v>23</v>
      </c>
      <c r="D298" s="40" t="s">
        <v>862</v>
      </c>
      <c r="I298" s="39">
        <v>4</v>
      </c>
      <c r="J298" s="39">
        <v>6</v>
      </c>
      <c r="K298" s="39">
        <v>1</v>
      </c>
      <c r="L298" s="39">
        <v>182</v>
      </c>
      <c r="M298" s="82">
        <v>8</v>
      </c>
      <c r="N298" s="82">
        <v>8</v>
      </c>
      <c r="O298" s="82">
        <v>10</v>
      </c>
      <c r="P298" s="82">
        <v>9</v>
      </c>
      <c r="Q298" s="82">
        <v>84</v>
      </c>
      <c r="R298" s="82">
        <v>98</v>
      </c>
      <c r="S298" s="82">
        <v>51</v>
      </c>
      <c r="T298" s="82">
        <v>51</v>
      </c>
      <c r="U298">
        <f t="shared" si="4"/>
        <v>500</v>
      </c>
      <c r="V298" s="39">
        <f>IF(I298="","",VLOOKUP(I298,'装备&amp;材料'!$D$1:$E$6,2,FALSE))</f>
        <v>500</v>
      </c>
      <c r="W298" s="39">
        <v>6001</v>
      </c>
      <c r="X298" s="39" t="str">
        <f>VLOOKUP(W298,技能!A:B,2)</f>
        <v>水盾</v>
      </c>
      <c r="Y298" s="39">
        <v>1</v>
      </c>
    </row>
    <row r="299" spans="1:25">
      <c r="A299" s="39" t="s">
        <v>84</v>
      </c>
      <c r="C299" s="39" t="s">
        <v>84</v>
      </c>
      <c r="L299" s="39" t="s">
        <v>84</v>
      </c>
      <c r="U299" t="str">
        <f t="shared" si="4"/>
        <v/>
      </c>
      <c r="V299" s="39" t="str">
        <f>IF(I299="","",VLOOKUP(I299,'装备&amp;材料'!$D$1:$E$6,2,FALSE))</f>
        <v/>
      </c>
      <c r="W299" s="39">
        <v>6002</v>
      </c>
      <c r="X299" s="39" t="str">
        <f>VLOOKUP(W299,技能!A:B,2)</f>
        <v>海神洗礼</v>
      </c>
      <c r="Y299" s="39">
        <v>2</v>
      </c>
    </row>
    <row r="300" spans="1:25">
      <c r="A300" s="39" t="s">
        <v>84</v>
      </c>
      <c r="C300" s="39" t="s">
        <v>84</v>
      </c>
      <c r="L300" s="39" t="s">
        <v>84</v>
      </c>
      <c r="U300" t="str">
        <f t="shared" si="4"/>
        <v/>
      </c>
      <c r="V300" s="39" t="str">
        <f>IF(I300="","",VLOOKUP(I300,'装备&amp;材料'!$D$1:$E$6,2,FALSE))</f>
        <v/>
      </c>
      <c r="W300" s="39">
        <v>6003</v>
      </c>
      <c r="X300" s="39" t="str">
        <f>VLOOKUP(W300,技能!A:B,2)</f>
        <v>蓝海辉耀</v>
      </c>
      <c r="Y300" s="39">
        <v>3</v>
      </c>
    </row>
    <row r="301" spans="1:25">
      <c r="A301" s="39" t="s">
        <v>84</v>
      </c>
      <c r="C301" s="39" t="s">
        <v>84</v>
      </c>
      <c r="L301" s="39" t="s">
        <v>84</v>
      </c>
      <c r="U301" t="str">
        <f t="shared" si="4"/>
        <v/>
      </c>
      <c r="V301" s="39" t="str">
        <f>IF(I301="","",VLOOKUP(I301,'装备&amp;材料'!$D$1:$E$6,2,FALSE))</f>
        <v/>
      </c>
      <c r="W301" s="39">
        <v>6004</v>
      </c>
      <c r="X301" s="39" t="str">
        <f>VLOOKUP(W301,技能!A:B,2)</f>
        <v>海之狂热</v>
      </c>
      <c r="Y301" s="39">
        <v>4</v>
      </c>
    </row>
    <row r="302" spans="1:25">
      <c r="A302" s="39" t="s">
        <v>84</v>
      </c>
      <c r="C302" s="39" t="s">
        <v>84</v>
      </c>
      <c r="L302" s="39" t="s">
        <v>84</v>
      </c>
      <c r="U302" t="str">
        <f t="shared" si="4"/>
        <v/>
      </c>
      <c r="V302" s="39" t="str">
        <f>IF(I302="","",VLOOKUP(I302,'装备&amp;材料'!$D$1:$E$6,2,FALSE))</f>
        <v/>
      </c>
      <c r="W302" s="39">
        <v>6005</v>
      </c>
      <c r="X302" s="39" t="str">
        <f>VLOOKUP(W302,技能!A:B,2)</f>
        <v>惊涛骇浪</v>
      </c>
      <c r="Y302" s="39">
        <v>5</v>
      </c>
    </row>
    <row r="303" spans="1:25">
      <c r="A303" s="39">
        <v>61</v>
      </c>
      <c r="B303" s="42" t="s">
        <v>706</v>
      </c>
      <c r="C303" s="39">
        <v>261</v>
      </c>
      <c r="I303" s="39">
        <v>5</v>
      </c>
      <c r="J303" s="39">
        <v>2</v>
      </c>
      <c r="K303" s="39">
        <v>0</v>
      </c>
      <c r="L303" s="39">
        <v>198</v>
      </c>
      <c r="M303" s="81">
        <v>12</v>
      </c>
      <c r="N303" s="81">
        <v>12</v>
      </c>
      <c r="O303" s="81">
        <v>12</v>
      </c>
      <c r="P303" s="81">
        <v>12</v>
      </c>
      <c r="Q303" s="81">
        <v>112</v>
      </c>
      <c r="R303" s="81">
        <v>105</v>
      </c>
      <c r="S303" s="81">
        <v>58</v>
      </c>
      <c r="T303" s="81">
        <v>58</v>
      </c>
      <c r="U303">
        <f t="shared" si="4"/>
        <v>600</v>
      </c>
      <c r="V303" s="39">
        <f>IF(I303="","",VLOOKUP(I303,'装备&amp;材料'!$D$1:$E$6,2,FALSE))</f>
        <v>600</v>
      </c>
      <c r="W303" s="39">
        <v>6101</v>
      </c>
      <c r="X303" s="39" t="str">
        <f>VLOOKUP(W303,技能!A:B,2)</f>
        <v>致命一击</v>
      </c>
      <c r="Y303" s="39">
        <v>1</v>
      </c>
    </row>
    <row r="304" spans="1:25">
      <c r="A304" s="39" t="s">
        <v>84</v>
      </c>
      <c r="C304" s="39" t="s">
        <v>84</v>
      </c>
      <c r="L304" s="39" t="s">
        <v>84</v>
      </c>
      <c r="U304" t="str">
        <f t="shared" si="4"/>
        <v/>
      </c>
      <c r="V304" s="39" t="str">
        <f>IF(I304="","",VLOOKUP(I304,'装备&amp;材料'!$D$1:$E$6,2,FALSE))</f>
        <v/>
      </c>
      <c r="W304" s="39">
        <v>6102</v>
      </c>
      <c r="X304" s="39" t="str">
        <f>VLOOKUP(W304,技能!A:B,2)</f>
        <v>搏击</v>
      </c>
      <c r="Y304" s="39">
        <v>2</v>
      </c>
    </row>
    <row r="305" spans="1:25">
      <c r="A305" s="39" t="s">
        <v>84</v>
      </c>
      <c r="C305" s="39" t="s">
        <v>84</v>
      </c>
      <c r="L305" s="39" t="s">
        <v>84</v>
      </c>
      <c r="U305" t="str">
        <f t="shared" si="4"/>
        <v/>
      </c>
      <c r="V305" s="39" t="str">
        <f>IF(I305="","",VLOOKUP(I305,'装备&amp;材料'!$D$1:$E$6,2,FALSE))</f>
        <v/>
      </c>
      <c r="W305" s="39">
        <v>6103</v>
      </c>
      <c r="X305" s="39" t="str">
        <f>VLOOKUP(W305,技能!A:B,2)</f>
        <v>爆炸黏胶</v>
      </c>
      <c r="Y305" s="39">
        <v>3</v>
      </c>
    </row>
    <row r="306" spans="1:25">
      <c r="A306" s="39" t="s">
        <v>84</v>
      </c>
      <c r="C306" s="39" t="s">
        <v>84</v>
      </c>
      <c r="L306" s="39" t="s">
        <v>84</v>
      </c>
      <c r="U306" t="str">
        <f t="shared" si="4"/>
        <v/>
      </c>
      <c r="V306" s="39" t="str">
        <f>IF(I306="","",VLOOKUP(I306,'装备&amp;材料'!$D$1:$E$6,2,FALSE))</f>
        <v/>
      </c>
      <c r="W306" s="39">
        <v>6104</v>
      </c>
      <c r="X306" s="39" t="str">
        <f>VLOOKUP(W306,技能!A:B,2)</f>
        <v>蝙蝠爪</v>
      </c>
      <c r="Y306" s="39">
        <v>4</v>
      </c>
    </row>
    <row r="307" spans="1:25">
      <c r="A307" s="39" t="s">
        <v>84</v>
      </c>
      <c r="C307" s="39" t="s">
        <v>84</v>
      </c>
      <c r="L307" s="39" t="s">
        <v>84</v>
      </c>
      <c r="U307" t="str">
        <f t="shared" si="4"/>
        <v/>
      </c>
      <c r="V307" s="39" t="str">
        <f>IF(I307="","",VLOOKUP(I307,'装备&amp;材料'!$D$1:$E$6,2,FALSE))</f>
        <v/>
      </c>
      <c r="W307" s="39">
        <v>6105</v>
      </c>
      <c r="X307" s="39" t="str">
        <f>VLOOKUP(W307,技能!A:B,2)</f>
        <v>搏击专注</v>
      </c>
      <c r="Y307" s="39">
        <v>5</v>
      </c>
    </row>
    <row r="308" spans="1:25">
      <c r="A308" s="39">
        <v>62</v>
      </c>
      <c r="B308" s="43" t="s">
        <v>707</v>
      </c>
      <c r="C308" s="39">
        <v>262</v>
      </c>
      <c r="D308" s="40" t="s">
        <v>1407</v>
      </c>
      <c r="E308" s="40" t="s">
        <v>6022</v>
      </c>
      <c r="I308" s="39">
        <v>4</v>
      </c>
      <c r="J308" s="39">
        <v>0</v>
      </c>
      <c r="K308" s="39">
        <v>1</v>
      </c>
      <c r="L308" s="39">
        <v>168</v>
      </c>
      <c r="M308" s="82">
        <v>9</v>
      </c>
      <c r="N308" s="82">
        <v>9</v>
      </c>
      <c r="O308" s="82">
        <v>9</v>
      </c>
      <c r="P308" s="82">
        <v>9</v>
      </c>
      <c r="Q308" s="82">
        <v>94</v>
      </c>
      <c r="R308" s="82">
        <v>100</v>
      </c>
      <c r="S308" s="82">
        <v>49</v>
      </c>
      <c r="T308" s="82">
        <v>47</v>
      </c>
      <c r="U308">
        <f t="shared" si="4"/>
        <v>500</v>
      </c>
      <c r="V308" s="39">
        <f>IF(I308="","",VLOOKUP(I308,'装备&amp;材料'!$D$1:$E$6,2,FALSE))</f>
        <v>500</v>
      </c>
      <c r="W308" s="39">
        <v>6201</v>
      </c>
      <c r="X308" s="39" t="str">
        <f>VLOOKUP(W308,技能!A:B,2)</f>
        <v>冲刺铁拳</v>
      </c>
      <c r="Y308" s="39">
        <v>1</v>
      </c>
    </row>
    <row r="309" spans="1:25">
      <c r="A309" s="39" t="s">
        <v>84</v>
      </c>
      <c r="C309" s="39" t="s">
        <v>84</v>
      </c>
      <c r="L309" s="39" t="s">
        <v>84</v>
      </c>
      <c r="U309" t="str">
        <f t="shared" si="4"/>
        <v/>
      </c>
      <c r="V309" s="39" t="str">
        <f>IF(I309="","",VLOOKUP(I309,'装备&amp;材料'!$D$1:$E$6,2,FALSE))</f>
        <v/>
      </c>
      <c r="W309" s="39">
        <v>6202</v>
      </c>
      <c r="X309" s="39" t="str">
        <f>VLOOKUP(W309,技能!A:B,2)</f>
        <v>流电学</v>
      </c>
      <c r="Y309" s="39">
        <v>2</v>
      </c>
    </row>
    <row r="310" spans="1:25">
      <c r="A310" s="39" t="s">
        <v>84</v>
      </c>
      <c r="C310" s="39" t="s">
        <v>84</v>
      </c>
      <c r="L310" s="39" t="s">
        <v>84</v>
      </c>
      <c r="U310" t="str">
        <f t="shared" si="4"/>
        <v/>
      </c>
      <c r="V310" s="39" t="str">
        <f>IF(I310="","",VLOOKUP(I310,'装备&amp;材料'!$D$1:$E$6,2,FALSE))</f>
        <v/>
      </c>
      <c r="W310" s="39">
        <v>6203</v>
      </c>
      <c r="X310" s="39" t="str">
        <f>VLOOKUP(W310,技能!A:B,2)</f>
        <v>壁垒</v>
      </c>
      <c r="Y310" s="39">
        <v>3</v>
      </c>
    </row>
    <row r="311" spans="1:25">
      <c r="A311" s="39" t="s">
        <v>84</v>
      </c>
      <c r="C311" s="39" t="s">
        <v>84</v>
      </c>
      <c r="L311" s="39" t="s">
        <v>84</v>
      </c>
      <c r="U311" t="str">
        <f t="shared" si="4"/>
        <v/>
      </c>
      <c r="V311" s="39" t="str">
        <f>IF(I311="","",VLOOKUP(I311,'装备&amp;材料'!$D$1:$E$6,2,FALSE))</f>
        <v/>
      </c>
      <c r="W311" s="39">
        <v>6204</v>
      </c>
      <c r="X311" s="39" t="str">
        <f>VLOOKUP(W311,技能!A:B,2)</f>
        <v>金刚不坏</v>
      </c>
      <c r="Y311" s="39">
        <v>4</v>
      </c>
    </row>
    <row r="312" spans="1:25">
      <c r="A312" s="39" t="s">
        <v>84</v>
      </c>
      <c r="C312" s="39" t="s">
        <v>84</v>
      </c>
      <c r="L312" s="39" t="s">
        <v>84</v>
      </c>
      <c r="U312" t="str">
        <f t="shared" si="4"/>
        <v/>
      </c>
      <c r="V312" s="39" t="str">
        <f>IF(I312="","",VLOOKUP(I312,'装备&amp;材料'!$D$1:$E$6,2,FALSE))</f>
        <v/>
      </c>
      <c r="W312" s="39">
        <v>6205</v>
      </c>
      <c r="X312" s="39" t="str">
        <f>VLOOKUP(W312,技能!A:B,2)</f>
        <v>科学怪人</v>
      </c>
      <c r="Y312" s="39">
        <v>5</v>
      </c>
    </row>
    <row r="313" spans="1:25" ht="27">
      <c r="A313" s="39">
        <v>63</v>
      </c>
      <c r="B313" s="42" t="s">
        <v>708</v>
      </c>
      <c r="C313" s="39">
        <v>27</v>
      </c>
      <c r="D313" s="40" t="s">
        <v>863</v>
      </c>
      <c r="E313" s="40" t="s">
        <v>6022</v>
      </c>
      <c r="I313" s="39">
        <v>5</v>
      </c>
      <c r="J313" s="39">
        <v>0</v>
      </c>
      <c r="K313" s="39">
        <v>1</v>
      </c>
      <c r="L313" s="39">
        <v>196</v>
      </c>
      <c r="M313" s="81">
        <v>14</v>
      </c>
      <c r="N313" s="81">
        <v>14</v>
      </c>
      <c r="O313" s="81">
        <v>14</v>
      </c>
      <c r="P313" s="81">
        <v>14</v>
      </c>
      <c r="Q313" s="81">
        <v>98</v>
      </c>
      <c r="R313" s="81">
        <v>98</v>
      </c>
      <c r="S313" s="81">
        <v>55</v>
      </c>
      <c r="T313" s="81">
        <v>55</v>
      </c>
      <c r="U313">
        <f t="shared" si="4"/>
        <v>600</v>
      </c>
      <c r="V313" s="39">
        <f>IF(I313="","",VLOOKUP(I313,'装备&amp;材料'!$D$1:$E$6,2,FALSE))</f>
        <v>600</v>
      </c>
      <c r="W313" s="39">
        <v>6301</v>
      </c>
      <c r="X313" s="39" t="str">
        <f>VLOOKUP(W313,技能!A:B,2)</f>
        <v>审判</v>
      </c>
      <c r="Y313" s="39">
        <v>1</v>
      </c>
    </row>
    <row r="314" spans="1:25">
      <c r="A314" s="39" t="s">
        <v>84</v>
      </c>
      <c r="C314" s="39" t="s">
        <v>84</v>
      </c>
      <c r="L314" s="39" t="s">
        <v>84</v>
      </c>
      <c r="U314" t="str">
        <f t="shared" si="4"/>
        <v/>
      </c>
      <c r="V314" s="39" t="str">
        <f>IF(I314="","",VLOOKUP(I314,'装备&amp;材料'!$D$1:$E$6,2,FALSE))</f>
        <v/>
      </c>
      <c r="W314" s="39">
        <v>6302</v>
      </c>
      <c r="X314" s="39" t="str">
        <f>VLOOKUP(W314,技能!A:B,2)</f>
        <v>凝视</v>
      </c>
      <c r="Y314" s="39">
        <v>2</v>
      </c>
    </row>
    <row r="315" spans="1:25">
      <c r="A315" s="39" t="s">
        <v>84</v>
      </c>
      <c r="C315" s="39" t="s">
        <v>84</v>
      </c>
      <c r="L315" s="39" t="s">
        <v>84</v>
      </c>
      <c r="U315" t="str">
        <f t="shared" si="4"/>
        <v/>
      </c>
      <c r="V315" s="39" t="str">
        <f>IF(I315="","",VLOOKUP(I315,'装备&amp;材料'!$D$1:$E$6,2,FALSE))</f>
        <v/>
      </c>
      <c r="W315" s="39">
        <v>6303</v>
      </c>
      <c r="X315" s="39" t="str">
        <f>VLOOKUP(W315,技能!A:B,2)</f>
        <v>鲜血之咒</v>
      </c>
      <c r="Y315" s="39">
        <v>3</v>
      </c>
    </row>
    <row r="316" spans="1:25">
      <c r="A316" s="39" t="s">
        <v>84</v>
      </c>
      <c r="C316" s="39" t="s">
        <v>84</v>
      </c>
      <c r="L316" s="39" t="s">
        <v>84</v>
      </c>
      <c r="U316" t="str">
        <f t="shared" si="4"/>
        <v/>
      </c>
      <c r="V316" s="39" t="str">
        <f>IF(I316="","",VLOOKUP(I316,'装备&amp;材料'!$D$1:$E$6,2,FALSE))</f>
        <v/>
      </c>
      <c r="W316" s="39">
        <v>6304</v>
      </c>
      <c r="X316" s="39" t="str">
        <f>VLOOKUP(W316,技能!A:B,2)</f>
        <v>庇护</v>
      </c>
      <c r="Y316" s="39">
        <v>4</v>
      </c>
    </row>
    <row r="317" spans="1:25">
      <c r="A317" s="39" t="s">
        <v>84</v>
      </c>
      <c r="C317" s="39" t="s">
        <v>84</v>
      </c>
      <c r="L317" s="39" t="s">
        <v>84</v>
      </c>
      <c r="U317" t="str">
        <f t="shared" si="4"/>
        <v/>
      </c>
      <c r="V317" s="39" t="str">
        <f>IF(I317="","",VLOOKUP(I317,'装备&amp;材料'!$D$1:$E$6,2,FALSE))</f>
        <v/>
      </c>
      <c r="W317" s="39">
        <v>6305</v>
      </c>
      <c r="X317" s="39" t="str">
        <f>VLOOKUP(W317,技能!A:B,2)</f>
        <v>胡狼王之怒</v>
      </c>
      <c r="Y317" s="39">
        <v>5</v>
      </c>
    </row>
    <row r="318" spans="1:25">
      <c r="A318" s="39">
        <v>64</v>
      </c>
      <c r="B318" s="48" t="s">
        <v>709</v>
      </c>
      <c r="C318" s="39">
        <v>264</v>
      </c>
      <c r="I318" s="39">
        <v>6</v>
      </c>
      <c r="J318" s="39">
        <v>4</v>
      </c>
      <c r="K318" s="39">
        <v>0</v>
      </c>
      <c r="L318" s="39">
        <v>266</v>
      </c>
      <c r="M318" s="83">
        <v>17</v>
      </c>
      <c r="N318" s="83">
        <v>17</v>
      </c>
      <c r="O318" s="83">
        <v>16</v>
      </c>
      <c r="P318" s="83">
        <v>16</v>
      </c>
      <c r="Q318" s="83">
        <v>129</v>
      </c>
      <c r="R318" s="83">
        <v>122</v>
      </c>
      <c r="S318" s="83">
        <v>68</v>
      </c>
      <c r="T318" s="83">
        <v>68</v>
      </c>
      <c r="U318">
        <f t="shared" si="4"/>
        <v>750</v>
      </c>
      <c r="V318" s="39">
        <f>IF(I318="","",VLOOKUP(I318,'装备&amp;材料'!$D$1:$E$6,2,FALSE))</f>
        <v>750</v>
      </c>
      <c r="W318" s="39">
        <v>6401</v>
      </c>
      <c r="X318" s="39" t="str">
        <f>VLOOKUP(W318,技能!A:B,2)</f>
        <v>冥府之握</v>
      </c>
      <c r="Y318" s="39">
        <v>1</v>
      </c>
    </row>
    <row r="319" spans="1:25">
      <c r="L319" s="39" t="s">
        <v>84</v>
      </c>
      <c r="U319" t="str">
        <f t="shared" si="4"/>
        <v/>
      </c>
      <c r="V319" s="39" t="str">
        <f>IF(I319="","",VLOOKUP(I319,'装备&amp;材料'!$D$1:$E$6,2,FALSE))</f>
        <v/>
      </c>
      <c r="W319" s="39">
        <v>6402</v>
      </c>
      <c r="X319" s="39" t="str">
        <f>VLOOKUP(W319,技能!A:B,2)</f>
        <v>冥府之墙</v>
      </c>
      <c r="Y319" s="39">
        <v>2</v>
      </c>
    </row>
    <row r="320" spans="1:25">
      <c r="L320" s="39" t="s">
        <v>84</v>
      </c>
      <c r="U320" t="str">
        <f t="shared" si="4"/>
        <v/>
      </c>
      <c r="V320" s="39" t="str">
        <f>IF(I320="","",VLOOKUP(I320,'装备&amp;材料'!$D$1:$E$6,2,FALSE))</f>
        <v/>
      </c>
      <c r="W320" s="39">
        <v>6403</v>
      </c>
      <c r="X320" s="39" t="str">
        <f>VLOOKUP(W320,技能!A:B,2)</f>
        <v>灵魂风暴</v>
      </c>
      <c r="Y320" s="39">
        <v>3</v>
      </c>
    </row>
    <row r="321" spans="1:25">
      <c r="L321" s="39" t="s">
        <v>84</v>
      </c>
      <c r="U321" t="str">
        <f t="shared" si="4"/>
        <v/>
      </c>
      <c r="V321" s="39" t="str">
        <f>IF(I321="","",VLOOKUP(I321,'装备&amp;材料'!$D$1:$E$6,2,FALSE))</f>
        <v/>
      </c>
      <c r="W321" s="39">
        <v>6404</v>
      </c>
      <c r="X321" s="39" t="str">
        <f>VLOOKUP(W321,技能!A:B,2)</f>
        <v>冥府之光</v>
      </c>
      <c r="Y321" s="39">
        <v>4</v>
      </c>
    </row>
    <row r="322" spans="1:25">
      <c r="L322" s="39" t="s">
        <v>84</v>
      </c>
      <c r="U322" t="str">
        <f t="shared" si="4"/>
        <v/>
      </c>
      <c r="V322" s="39" t="str">
        <f>IF(I322="","",VLOOKUP(I322,'装备&amp;材料'!$D$1:$E$6,2,FALSE))</f>
        <v/>
      </c>
      <c r="W322" s="39">
        <v>6405</v>
      </c>
      <c r="X322" s="39" t="str">
        <f>VLOOKUP(W322,技能!A:B,2)</f>
        <v>暗影笼罩</v>
      </c>
      <c r="Y322" s="39">
        <v>5</v>
      </c>
    </row>
    <row r="323" spans="1:25">
      <c r="A323" s="39">
        <v>65</v>
      </c>
      <c r="B323" s="48" t="s">
        <v>9075</v>
      </c>
      <c r="C323" s="39">
        <v>393</v>
      </c>
      <c r="D323" s="40" t="s">
        <v>9076</v>
      </c>
      <c r="I323" s="39">
        <v>7</v>
      </c>
      <c r="J323" s="39">
        <v>6</v>
      </c>
      <c r="K323" s="39">
        <v>1</v>
      </c>
      <c r="L323" s="39">
        <v>756</v>
      </c>
      <c r="M323" s="83">
        <v>62</v>
      </c>
      <c r="N323" s="83">
        <v>62</v>
      </c>
      <c r="O323" s="83">
        <v>39</v>
      </c>
      <c r="P323" s="83">
        <v>35</v>
      </c>
      <c r="Q323" s="83">
        <v>180</v>
      </c>
      <c r="R323" s="83">
        <v>180</v>
      </c>
      <c r="S323" s="83">
        <v>120</v>
      </c>
      <c r="T323" s="83">
        <v>120</v>
      </c>
      <c r="U323">
        <f t="shared" ref="U323:U342" si="5">IF(I323="","",L323*0.5+M323*3+N323*3+O323*5+P323*3+Q323+R323+S323+T323)</f>
        <v>1650</v>
      </c>
      <c r="V323" s="39">
        <v>1650</v>
      </c>
      <c r="W323" s="39">
        <v>6501</v>
      </c>
      <c r="X323" s="39" t="str">
        <f>VLOOKUP(W323,技能!A:B,2)</f>
        <v>忠言</v>
      </c>
      <c r="Y323" s="39">
        <v>1</v>
      </c>
    </row>
    <row r="324" spans="1:25">
      <c r="A324" s="39" t="s">
        <v>84</v>
      </c>
      <c r="L324" s="39" t="s">
        <v>84</v>
      </c>
      <c r="U324" t="str">
        <f t="shared" si="5"/>
        <v/>
      </c>
      <c r="V324" s="39" t="str">
        <f>IF(I324="","",VLOOKUP(I324,'装备&amp;材料'!$D$1:$E$6,2,FALSE))</f>
        <v/>
      </c>
      <c r="W324" s="39">
        <v>6502</v>
      </c>
      <c r="X324" s="39" t="str">
        <f>VLOOKUP(W324,技能!A:B,2)</f>
        <v>集智</v>
      </c>
      <c r="Y324" s="39">
        <v>2</v>
      </c>
    </row>
    <row r="325" spans="1:25">
      <c r="A325" s="39" t="s">
        <v>84</v>
      </c>
      <c r="L325" s="39" t="s">
        <v>84</v>
      </c>
      <c r="U325" t="str">
        <f t="shared" si="5"/>
        <v/>
      </c>
      <c r="V325" s="39" t="str">
        <f>IF(I325="","",VLOOKUP(I325,'装备&amp;材料'!$D$1:$E$6,2,FALSE))</f>
        <v/>
      </c>
      <c r="W325" s="39">
        <v>6503</v>
      </c>
      <c r="X325" s="39" t="str">
        <f>VLOOKUP(W325,技能!A:B,2)</f>
        <v>八卦</v>
      </c>
      <c r="Y325" s="39">
        <v>3</v>
      </c>
    </row>
    <row r="326" spans="1:25">
      <c r="A326" s="39" t="s">
        <v>84</v>
      </c>
      <c r="L326" s="39" t="s">
        <v>84</v>
      </c>
      <c r="U326" t="str">
        <f t="shared" si="5"/>
        <v/>
      </c>
      <c r="V326" s="39" t="str">
        <f>IF(I326="","",VLOOKUP(I326,'装备&amp;材料'!$D$1:$E$6,2,FALSE))</f>
        <v/>
      </c>
      <c r="W326" s="39">
        <v>6504</v>
      </c>
      <c r="X326" s="39" t="str">
        <f>VLOOKUP(W326,技能!A:B,2)</f>
        <v>观星</v>
      </c>
      <c r="Y326" s="39">
        <v>4</v>
      </c>
    </row>
    <row r="327" spans="1:25">
      <c r="A327" s="39" t="s">
        <v>84</v>
      </c>
      <c r="L327" s="39" t="s">
        <v>84</v>
      </c>
      <c r="U327" t="str">
        <f t="shared" si="5"/>
        <v/>
      </c>
      <c r="V327" s="39" t="str">
        <f>IF(I327="","",VLOOKUP(I327,'装备&amp;材料'!$D$1:$E$6,2,FALSE))</f>
        <v/>
      </c>
      <c r="W327" s="39">
        <v>6505</v>
      </c>
      <c r="X327" s="39" t="str">
        <f>VLOOKUP(W327,技能!A:B,2)</f>
        <v>饶舌</v>
      </c>
      <c r="Y327" s="39">
        <v>5</v>
      </c>
    </row>
    <row r="328" spans="1:25">
      <c r="A328" s="39">
        <v>66</v>
      </c>
      <c r="B328" s="48" t="s">
        <v>9061</v>
      </c>
      <c r="C328" s="39">
        <v>391</v>
      </c>
      <c r="D328" s="40" t="s">
        <v>9073</v>
      </c>
      <c r="I328" s="39">
        <v>7</v>
      </c>
      <c r="J328" s="39">
        <v>1</v>
      </c>
      <c r="K328" s="39">
        <v>1</v>
      </c>
      <c r="L328" s="39">
        <v>472</v>
      </c>
      <c r="M328" s="83">
        <v>46</v>
      </c>
      <c r="N328" s="83">
        <v>27</v>
      </c>
      <c r="O328" s="83">
        <v>31</v>
      </c>
      <c r="P328" s="83">
        <v>28</v>
      </c>
      <c r="Q328" s="83">
        <v>176</v>
      </c>
      <c r="R328" s="83">
        <v>130</v>
      </c>
      <c r="S328" s="83">
        <v>100</v>
      </c>
      <c r="T328" s="83">
        <v>100</v>
      </c>
      <c r="U328">
        <f t="shared" si="5"/>
        <v>1200</v>
      </c>
      <c r="V328" s="39">
        <v>1200</v>
      </c>
      <c r="W328" s="39">
        <v>6601</v>
      </c>
      <c r="X328" s="39" t="str">
        <f>VLOOKUP(W328,技能!A:B,2)</f>
        <v>飞龙在天</v>
      </c>
      <c r="Y328" s="39">
        <v>1</v>
      </c>
    </row>
    <row r="329" spans="1:25">
      <c r="L329" s="39" t="s">
        <v>84</v>
      </c>
      <c r="U329" t="str">
        <f t="shared" si="5"/>
        <v/>
      </c>
      <c r="V329" s="39" t="str">
        <f>IF(I329="","",VLOOKUP(I329,'装备&amp;材料'!$D$1:$E$6,2,FALSE))</f>
        <v/>
      </c>
      <c r="W329" s="39">
        <v>6602</v>
      </c>
      <c r="X329" s="39" t="str">
        <f>VLOOKUP(W329,技能!A:B,2)</f>
        <v>龙腾万里</v>
      </c>
      <c r="Y329" s="39">
        <v>2</v>
      </c>
    </row>
    <row r="330" spans="1:25">
      <c r="L330" s="39" t="s">
        <v>84</v>
      </c>
      <c r="U330" t="str">
        <f t="shared" si="5"/>
        <v/>
      </c>
      <c r="V330" s="39" t="str">
        <f>IF(I330="","",VLOOKUP(I330,'装备&amp;材料'!$D$1:$E$6,2,FALSE))</f>
        <v/>
      </c>
      <c r="W330" s="39">
        <v>6603</v>
      </c>
      <c r="X330" s="39" t="str">
        <f>VLOOKUP(W330,技能!A:B,2)</f>
        <v>青龙狂舞</v>
      </c>
      <c r="Y330" s="39">
        <v>3</v>
      </c>
    </row>
    <row r="331" spans="1:25">
      <c r="L331" s="39" t="s">
        <v>84</v>
      </c>
      <c r="U331" t="str">
        <f t="shared" si="5"/>
        <v/>
      </c>
      <c r="V331" s="39" t="str">
        <f>IF(I331="","",VLOOKUP(I331,'装备&amp;材料'!$D$1:$E$6,2,FALSE))</f>
        <v/>
      </c>
      <c r="W331" s="39">
        <v>6604</v>
      </c>
      <c r="X331" s="39" t="str">
        <f>VLOOKUP(W331,技能!A:B,2)</f>
        <v>炼狱</v>
      </c>
      <c r="Y331" s="39">
        <v>4</v>
      </c>
    </row>
    <row r="332" spans="1:25">
      <c r="L332" s="39" t="s">
        <v>84</v>
      </c>
      <c r="U332" t="str">
        <f t="shared" si="5"/>
        <v/>
      </c>
      <c r="V332" s="39" t="str">
        <f>IF(I332="","",VLOOKUP(I332,'装备&amp;材料'!$D$1:$E$6,2,FALSE))</f>
        <v/>
      </c>
      <c r="W332" s="39">
        <v>6605</v>
      </c>
      <c r="X332" s="39" t="str">
        <f>VLOOKUP(W332,技能!A:B,2)</f>
        <v>武神再临</v>
      </c>
      <c r="Y332" s="39">
        <v>5</v>
      </c>
    </row>
    <row r="333" spans="1:25">
      <c r="A333" s="39">
        <v>67</v>
      </c>
      <c r="B333" s="48" t="s">
        <v>9062</v>
      </c>
      <c r="C333" s="39">
        <v>392</v>
      </c>
      <c r="D333" s="40" t="s">
        <v>9077</v>
      </c>
      <c r="I333" s="39">
        <v>7</v>
      </c>
      <c r="J333" s="39">
        <v>5</v>
      </c>
      <c r="K333" s="39">
        <v>1</v>
      </c>
      <c r="L333" s="39">
        <v>624</v>
      </c>
      <c r="M333" s="83">
        <v>30</v>
      </c>
      <c r="N333" s="83">
        <v>62</v>
      </c>
      <c r="O333" s="83">
        <v>35</v>
      </c>
      <c r="P333" s="83">
        <v>30</v>
      </c>
      <c r="Q333" s="83">
        <v>141</v>
      </c>
      <c r="R333" s="83">
        <v>186</v>
      </c>
      <c r="S333" s="83">
        <v>110</v>
      </c>
      <c r="T333" s="83">
        <v>110</v>
      </c>
      <c r="U333">
        <f t="shared" si="5"/>
        <v>1400</v>
      </c>
      <c r="V333" s="39">
        <v>1400</v>
      </c>
      <c r="W333" s="39">
        <v>6701</v>
      </c>
      <c r="X333" s="39" t="str">
        <f>VLOOKUP(W333,技能!A:B,2)</f>
        <v>飞翔</v>
      </c>
      <c r="Y333" s="39">
        <v>1</v>
      </c>
    </row>
    <row r="334" spans="1:25">
      <c r="A334" s="39" t="s">
        <v>84</v>
      </c>
      <c r="L334" s="39" t="s">
        <v>84</v>
      </c>
      <c r="U334" t="str">
        <f t="shared" si="5"/>
        <v/>
      </c>
      <c r="V334" s="39" t="str">
        <f>IF(I334="","",VLOOKUP(I334,'装备&amp;材料'!$D$1:$E$6,2,FALSE))</f>
        <v/>
      </c>
      <c r="W334" s="39">
        <v>6702</v>
      </c>
      <c r="X334" s="39" t="str">
        <f>VLOOKUP(W334,技能!A:B,2)</f>
        <v>女神之视</v>
      </c>
      <c r="Y334" s="39">
        <v>2</v>
      </c>
    </row>
    <row r="335" spans="1:25">
      <c r="A335" s="39" t="s">
        <v>84</v>
      </c>
      <c r="L335" s="39" t="s">
        <v>84</v>
      </c>
      <c r="U335" t="str">
        <f t="shared" si="5"/>
        <v/>
      </c>
      <c r="V335" s="39" t="str">
        <f>IF(I335="","",VLOOKUP(I335,'装备&amp;材料'!$D$1:$E$6,2,FALSE))</f>
        <v/>
      </c>
      <c r="W335" s="39">
        <v>6703</v>
      </c>
      <c r="X335" s="39" t="str">
        <f>VLOOKUP(W335,技能!A:B,2)</f>
        <v>魅惑魔音</v>
      </c>
      <c r="Y335" s="39">
        <v>3</v>
      </c>
    </row>
    <row r="336" spans="1:25">
      <c r="A336" s="39" t="s">
        <v>84</v>
      </c>
      <c r="L336" s="39" t="s">
        <v>84</v>
      </c>
      <c r="U336" t="str">
        <f t="shared" si="5"/>
        <v/>
      </c>
      <c r="V336" s="39" t="str">
        <f>IF(I336="","",VLOOKUP(I336,'装备&amp;材料'!$D$1:$E$6,2,FALSE))</f>
        <v/>
      </c>
      <c r="W336" s="39">
        <v>6704</v>
      </c>
      <c r="X336" s="39" t="str">
        <f>VLOOKUP(W336,技能!A:B,2)</f>
        <v>神核</v>
      </c>
      <c r="Y336" s="39">
        <v>4</v>
      </c>
    </row>
    <row r="337" spans="1:25">
      <c r="A337" s="39" t="s">
        <v>84</v>
      </c>
      <c r="L337" s="39" t="s">
        <v>84</v>
      </c>
      <c r="U337" t="str">
        <f t="shared" si="5"/>
        <v/>
      </c>
      <c r="V337" s="39" t="str">
        <f>IF(I337="","",VLOOKUP(I337,'装备&amp;材料'!$D$1:$E$6,2,FALSE))</f>
        <v/>
      </c>
      <c r="W337" s="39">
        <v>6705</v>
      </c>
      <c r="X337" s="39" t="str">
        <f>VLOOKUP(W337,技能!A:B,2)</f>
        <v>守护之印</v>
      </c>
      <c r="Y337" s="39">
        <v>5</v>
      </c>
    </row>
    <row r="338" spans="1:25">
      <c r="A338" s="39">
        <v>68</v>
      </c>
      <c r="B338" s="48" t="s">
        <v>9063</v>
      </c>
      <c r="C338" s="39">
        <v>390</v>
      </c>
      <c r="D338" s="40" t="s">
        <v>9078</v>
      </c>
      <c r="I338" s="39">
        <v>7</v>
      </c>
      <c r="J338" s="39">
        <v>3</v>
      </c>
      <c r="K338" s="39">
        <v>1</v>
      </c>
      <c r="L338" s="39">
        <v>338</v>
      </c>
      <c r="M338" s="83">
        <v>27</v>
      </c>
      <c r="N338" s="83">
        <v>27</v>
      </c>
      <c r="O338" s="83">
        <v>29</v>
      </c>
      <c r="P338" s="83">
        <v>28</v>
      </c>
      <c r="Q338" s="83">
        <v>130</v>
      </c>
      <c r="R338" s="83">
        <v>130</v>
      </c>
      <c r="S338" s="83">
        <v>90</v>
      </c>
      <c r="T338" s="83">
        <v>90</v>
      </c>
      <c r="U338">
        <f t="shared" si="5"/>
        <v>1000</v>
      </c>
      <c r="V338" s="39">
        <v>1000</v>
      </c>
      <c r="W338" s="39">
        <v>6801</v>
      </c>
      <c r="X338" s="39" t="str">
        <f>VLOOKUP(W338,技能!A:B,2)</f>
        <v>一路向东</v>
      </c>
      <c r="Y338" s="39">
        <v>1</v>
      </c>
    </row>
    <row r="339" spans="1:25">
      <c r="L339" s="39" t="s">
        <v>84</v>
      </c>
      <c r="U339" t="str">
        <f t="shared" si="5"/>
        <v/>
      </c>
      <c r="V339" s="39" t="str">
        <f>IF(I339="","",VLOOKUP(I339,'装备&amp;材料'!$D$1:$E$6,2,FALSE))</f>
        <v/>
      </c>
      <c r="W339" s="39">
        <v>6802</v>
      </c>
      <c r="X339" s="39" t="str">
        <f>VLOOKUP(W339,技能!A:B,2)</f>
        <v>骄横</v>
      </c>
      <c r="Y339" s="39">
        <v>2</v>
      </c>
    </row>
    <row r="340" spans="1:25">
      <c r="L340" s="39" t="s">
        <v>84</v>
      </c>
      <c r="U340" t="str">
        <f t="shared" si="5"/>
        <v/>
      </c>
      <c r="V340" s="39" t="str">
        <f>IF(I340="","",VLOOKUP(I340,'装备&amp;材料'!$D$1:$E$6,2,FALSE))</f>
        <v/>
      </c>
      <c r="W340" s="39">
        <v>6803</v>
      </c>
      <c r="X340" s="39" t="str">
        <f>VLOOKUP(W340,技能!A:B,2)</f>
        <v>狮心</v>
      </c>
      <c r="Y340" s="39">
        <v>3</v>
      </c>
    </row>
    <row r="341" spans="1:25">
      <c r="L341" s="39" t="s">
        <v>84</v>
      </c>
      <c r="U341" t="str">
        <f t="shared" si="5"/>
        <v/>
      </c>
      <c r="V341" s="39" t="str">
        <f>IF(I341="","",VLOOKUP(I341,'装备&amp;材料'!$D$1:$E$6,2,FALSE))</f>
        <v/>
      </c>
      <c r="W341" s="39">
        <v>6804</v>
      </c>
      <c r="X341" s="39" t="str">
        <f>VLOOKUP(W341,技能!A:B,2)</f>
        <v>骑士精神</v>
      </c>
      <c r="Y341" s="39">
        <v>4</v>
      </c>
    </row>
    <row r="342" spans="1:25">
      <c r="L342" s="39" t="s">
        <v>84</v>
      </c>
      <c r="U342" t="str">
        <f t="shared" si="5"/>
        <v/>
      </c>
      <c r="V342" s="39" t="str">
        <f>IF(I342="","",VLOOKUP(I342,'装备&amp;材料'!$D$1:$E$6,2,FALSE))</f>
        <v/>
      </c>
      <c r="W342" s="39">
        <v>6805</v>
      </c>
      <c r="X342" s="39" t="str">
        <f>VLOOKUP(W342,技能!A:B,2)</f>
        <v>王之彷徨</v>
      </c>
      <c r="Y342" s="39">
        <v>5</v>
      </c>
    </row>
    <row r="343" spans="1:25" ht="27">
      <c r="A343" s="39">
        <v>201</v>
      </c>
      <c r="B343" s="39" t="s">
        <v>144</v>
      </c>
      <c r="C343" s="39">
        <v>1102</v>
      </c>
      <c r="D343" s="61" t="s">
        <v>1458</v>
      </c>
      <c r="E343" s="61"/>
      <c r="F343" s="61"/>
      <c r="G343" s="61"/>
      <c r="H343" s="61"/>
      <c r="I343" s="39">
        <v>3</v>
      </c>
      <c r="J343" s="39">
        <v>1</v>
      </c>
      <c r="K343" s="39">
        <v>1</v>
      </c>
      <c r="L343" s="39">
        <v>160</v>
      </c>
      <c r="M343" s="84">
        <v>6</v>
      </c>
      <c r="N343" s="84">
        <v>6</v>
      </c>
      <c r="O343" s="84">
        <v>7</v>
      </c>
      <c r="P343" s="84">
        <v>7</v>
      </c>
      <c r="Q343" s="84">
        <v>90</v>
      </c>
      <c r="R343" s="84">
        <v>83</v>
      </c>
      <c r="S343" s="84">
        <v>40</v>
      </c>
      <c r="T343" s="84">
        <v>40</v>
      </c>
      <c r="U343">
        <f t="shared" ref="U343:U406" si="6">IF(I343="","",L343*0.5+M343*3+N343*3+O343*5+P343*3+Q343+R343+S343+T343)</f>
        <v>425</v>
      </c>
      <c r="V343" s="39">
        <f>IF(I343="","",VLOOKUP(I343,'装备&amp;材料'!$D$1:$E$6,2,FALSE))</f>
        <v>425</v>
      </c>
      <c r="W343" s="39">
        <v>20101</v>
      </c>
      <c r="X343" s="39" t="str">
        <f>VLOOKUP(W343,技能!A:B,2)</f>
        <v>凶猛挥砍</v>
      </c>
      <c r="Y343" s="39">
        <v>1</v>
      </c>
    </row>
    <row r="344" spans="1:25">
      <c r="D344" s="61"/>
      <c r="E344" s="61"/>
      <c r="F344" s="61"/>
      <c r="G344" s="61"/>
      <c r="H344" s="61"/>
      <c r="L344" s="39" t="s">
        <v>84</v>
      </c>
      <c r="U344" t="str">
        <f t="shared" si="6"/>
        <v/>
      </c>
      <c r="V344" s="39" t="str">
        <f>IF(I344="","",VLOOKUP(I344,'装备&amp;材料'!$D$1:$E$6,2,FALSE))</f>
        <v/>
      </c>
      <c r="W344" s="39">
        <v>20102</v>
      </c>
      <c r="X344" s="39" t="str">
        <f>VLOOKUP(W344,技能!A:B,2)</f>
        <v>战士之怒</v>
      </c>
      <c r="Y344" s="39">
        <v>2</v>
      </c>
    </row>
    <row r="345" spans="1:25">
      <c r="D345" s="61"/>
      <c r="E345" s="61"/>
      <c r="F345" s="61"/>
      <c r="G345" s="61"/>
      <c r="H345" s="61"/>
      <c r="L345" s="39" t="s">
        <v>84</v>
      </c>
      <c r="U345" t="str">
        <f t="shared" si="6"/>
        <v/>
      </c>
      <c r="V345" s="39" t="str">
        <f>IF(I345="","",VLOOKUP(I345,'装备&amp;材料'!$D$1:$E$6,2,FALSE))</f>
        <v/>
      </c>
      <c r="W345" s="39">
        <v>20155</v>
      </c>
      <c r="X345" s="39" t="str">
        <f>VLOOKUP(W345,技能!A:B,2)</f>
        <v>超速麒麟臂</v>
      </c>
      <c r="Y345" s="39">
        <v>3</v>
      </c>
    </row>
    <row r="346" spans="1:25">
      <c r="D346" s="61"/>
      <c r="E346" s="61"/>
      <c r="F346" s="61"/>
      <c r="G346" s="61"/>
      <c r="H346" s="61"/>
      <c r="L346" s="39" t="s">
        <v>84</v>
      </c>
      <c r="U346" t="str">
        <f t="shared" si="6"/>
        <v/>
      </c>
      <c r="V346" s="39" t="str">
        <f>IF(I346="","",VLOOKUP(I346,'装备&amp;材料'!$D$1:$E$6,2,FALSE))</f>
        <v/>
      </c>
      <c r="W346" s="39">
        <v>20109</v>
      </c>
      <c r="X346" s="39" t="str">
        <f>VLOOKUP(W346,技能!A:B,2)</f>
        <v>特效战斗怒吼</v>
      </c>
      <c r="Y346" s="39">
        <v>4</v>
      </c>
    </row>
    <row r="347" spans="1:25">
      <c r="D347" s="61"/>
      <c r="E347" s="61"/>
      <c r="F347" s="61"/>
      <c r="G347" s="61"/>
      <c r="H347" s="61"/>
      <c r="L347" s="39" t="s">
        <v>84</v>
      </c>
      <c r="U347" t="str">
        <f t="shared" si="6"/>
        <v/>
      </c>
      <c r="V347" s="39" t="str">
        <f>IF(I347="","",VLOOKUP(I347,'装备&amp;材料'!$D$1:$E$6,2,FALSE))</f>
        <v/>
      </c>
      <c r="W347" s="39">
        <v>20111</v>
      </c>
      <c r="X347" s="39" t="str">
        <f>VLOOKUP(W347,技能!A:B,2)</f>
        <v>特效命令怒吼</v>
      </c>
      <c r="Y347" s="39">
        <v>5</v>
      </c>
    </row>
    <row r="348" spans="1:25" ht="27">
      <c r="A348" s="39">
        <v>202</v>
      </c>
      <c r="B348" s="39" t="s">
        <v>145</v>
      </c>
      <c r="C348" s="39">
        <v>1103</v>
      </c>
      <c r="D348" s="61" t="s">
        <v>1459</v>
      </c>
      <c r="E348" s="61"/>
      <c r="F348" s="61"/>
      <c r="G348" s="61"/>
      <c r="H348" s="61"/>
      <c r="I348" s="39">
        <v>3</v>
      </c>
      <c r="J348" s="39">
        <v>1</v>
      </c>
      <c r="K348" s="39">
        <v>1</v>
      </c>
      <c r="L348" s="39">
        <v>160</v>
      </c>
      <c r="M348" s="84">
        <v>6</v>
      </c>
      <c r="N348" s="84">
        <v>6</v>
      </c>
      <c r="O348" s="84">
        <v>7</v>
      </c>
      <c r="P348" s="84">
        <v>7</v>
      </c>
      <c r="Q348" s="84">
        <v>90</v>
      </c>
      <c r="R348" s="84">
        <v>83</v>
      </c>
      <c r="S348" s="84">
        <v>40</v>
      </c>
      <c r="T348" s="84">
        <v>40</v>
      </c>
      <c r="U348">
        <f t="shared" si="6"/>
        <v>425</v>
      </c>
      <c r="V348" s="39">
        <f>IF(I348="","",VLOOKUP(I348,'装备&amp;材料'!$D$1:$E$6,2,FALSE))</f>
        <v>425</v>
      </c>
      <c r="W348" s="39">
        <v>20101</v>
      </c>
      <c r="X348" s="39" t="str">
        <f>VLOOKUP(W348,技能!A:B,2)</f>
        <v>凶猛挥砍</v>
      </c>
      <c r="Y348" s="39">
        <v>1</v>
      </c>
    </row>
    <row r="349" spans="1:25">
      <c r="D349" s="61"/>
      <c r="E349" s="61"/>
      <c r="F349" s="61"/>
      <c r="G349" s="61"/>
      <c r="H349" s="61"/>
      <c r="L349" s="39" t="s">
        <v>84</v>
      </c>
      <c r="U349" t="str">
        <f t="shared" si="6"/>
        <v/>
      </c>
      <c r="V349" s="39" t="str">
        <f>IF(I349="","",VLOOKUP(I349,'装备&amp;材料'!$D$1:$E$6,2,FALSE))</f>
        <v/>
      </c>
      <c r="W349" s="39">
        <v>20102</v>
      </c>
      <c r="X349" s="39" t="str">
        <f>VLOOKUP(W349,技能!A:B,2)</f>
        <v>战士之怒</v>
      </c>
      <c r="Y349" s="39">
        <v>2</v>
      </c>
    </row>
    <row r="350" spans="1:25">
      <c r="D350" s="61"/>
      <c r="E350" s="61"/>
      <c r="F350" s="61"/>
      <c r="G350" s="61"/>
      <c r="H350" s="61"/>
      <c r="L350" s="39" t="s">
        <v>84</v>
      </c>
      <c r="U350" t="str">
        <f t="shared" si="6"/>
        <v/>
      </c>
      <c r="V350" s="39" t="str">
        <f>IF(I350="","",VLOOKUP(I350,'装备&amp;材料'!$D$1:$E$6,2,FALSE))</f>
        <v/>
      </c>
      <c r="W350" s="39">
        <v>20107</v>
      </c>
      <c r="X350" s="39" t="str">
        <f>VLOOKUP(W350,技能!A:B,2)</f>
        <v>特效战意</v>
      </c>
      <c r="Y350" s="39">
        <v>3</v>
      </c>
    </row>
    <row r="351" spans="1:25">
      <c r="D351" s="61"/>
      <c r="E351" s="61"/>
      <c r="F351" s="61"/>
      <c r="G351" s="61"/>
      <c r="H351" s="61"/>
      <c r="L351" s="39" t="s">
        <v>84</v>
      </c>
      <c r="U351" t="str">
        <f t="shared" si="6"/>
        <v/>
      </c>
      <c r="V351" s="39" t="str">
        <f>IF(I351="","",VLOOKUP(I351,'装备&amp;材料'!$D$1:$E$6,2,FALSE))</f>
        <v/>
      </c>
      <c r="W351" s="39">
        <v>20153</v>
      </c>
      <c r="X351" s="39" t="str">
        <f>VLOOKUP(W351,技能!A:B,2)</f>
        <v>无情乱打</v>
      </c>
      <c r="Y351" s="39">
        <v>4</v>
      </c>
    </row>
    <row r="352" spans="1:25">
      <c r="D352" s="61"/>
      <c r="E352" s="61"/>
      <c r="F352" s="61"/>
      <c r="G352" s="61"/>
      <c r="H352" s="61"/>
      <c r="L352" s="39" t="s">
        <v>84</v>
      </c>
      <c r="U352" t="str">
        <f t="shared" si="6"/>
        <v/>
      </c>
      <c r="V352" s="39" t="str">
        <f>IF(I352="","",VLOOKUP(I352,'装备&amp;材料'!$D$1:$E$6,2,FALSE))</f>
        <v/>
      </c>
      <c r="W352" s="39">
        <v>20111</v>
      </c>
      <c r="X352" s="39" t="str">
        <f>VLOOKUP(W352,技能!A:B,2)</f>
        <v>特效命令怒吼</v>
      </c>
      <c r="Y352" s="39">
        <v>5</v>
      </c>
    </row>
    <row r="353" spans="1:25">
      <c r="A353" s="39">
        <v>203</v>
      </c>
      <c r="B353" s="39" t="s">
        <v>146</v>
      </c>
      <c r="C353" s="39">
        <v>1306</v>
      </c>
      <c r="D353" s="61" t="s">
        <v>1408</v>
      </c>
      <c r="E353" s="61"/>
      <c r="F353" s="61"/>
      <c r="G353" s="61"/>
      <c r="H353" s="61"/>
      <c r="I353" s="39">
        <v>2</v>
      </c>
      <c r="J353" s="39">
        <v>1</v>
      </c>
      <c r="K353" s="39">
        <v>1</v>
      </c>
      <c r="L353" s="39">
        <v>154</v>
      </c>
      <c r="M353" s="86">
        <v>4</v>
      </c>
      <c r="N353" s="86">
        <v>4</v>
      </c>
      <c r="O353" s="86">
        <v>6</v>
      </c>
      <c r="P353" s="86">
        <v>5</v>
      </c>
      <c r="Q353" s="86">
        <v>85</v>
      </c>
      <c r="R353" s="86">
        <v>78</v>
      </c>
      <c r="S353" s="86">
        <v>35</v>
      </c>
      <c r="T353" s="86">
        <v>31</v>
      </c>
      <c r="U353">
        <f t="shared" si="6"/>
        <v>375</v>
      </c>
      <c r="V353" s="39">
        <f>IF(I353="","",VLOOKUP(I353,'装备&amp;材料'!$D$1:$E$6,2,FALSE))</f>
        <v>375</v>
      </c>
      <c r="W353" s="39">
        <v>20112</v>
      </c>
      <c r="X353" s="39" t="str">
        <f>VLOOKUP(W353,技能!A:B,2)</f>
        <v>挥砍</v>
      </c>
      <c r="Y353" s="39">
        <v>1</v>
      </c>
    </row>
    <row r="354" spans="1:25">
      <c r="D354" s="61"/>
      <c r="E354" s="61"/>
      <c r="F354" s="61"/>
      <c r="G354" s="61"/>
      <c r="H354" s="61"/>
      <c r="L354" s="39" t="s">
        <v>84</v>
      </c>
      <c r="U354" t="str">
        <f t="shared" si="6"/>
        <v/>
      </c>
      <c r="V354" s="39" t="str">
        <f>IF(I354="","",VLOOKUP(I354,'装备&amp;材料'!$D$1:$E$6,2,FALSE))</f>
        <v/>
      </c>
      <c r="W354" s="39">
        <v>20114</v>
      </c>
      <c r="X354" s="39" t="str">
        <f>VLOOKUP(W354,技能!A:B,2)</f>
        <v>怒击</v>
      </c>
      <c r="Y354" s="39">
        <v>2</v>
      </c>
    </row>
    <row r="355" spans="1:25">
      <c r="D355" s="61"/>
      <c r="E355" s="61"/>
      <c r="F355" s="61"/>
      <c r="G355" s="61"/>
      <c r="H355" s="61"/>
      <c r="L355" s="39" t="s">
        <v>84</v>
      </c>
      <c r="U355" t="str">
        <f t="shared" si="6"/>
        <v/>
      </c>
      <c r="V355" s="39" t="str">
        <f>IF(I355="","",VLOOKUP(I355,'装备&amp;材料'!$D$1:$E$6,2,FALSE))</f>
        <v/>
      </c>
      <c r="W355" s="39">
        <v>20106</v>
      </c>
      <c r="X355" s="39" t="str">
        <f>VLOOKUP(W355,技能!A:B,2)</f>
        <v>强效战意</v>
      </c>
      <c r="Y355" s="39">
        <v>3</v>
      </c>
    </row>
    <row r="356" spans="1:25">
      <c r="D356" s="61"/>
      <c r="E356" s="61"/>
      <c r="F356" s="61"/>
      <c r="G356" s="61"/>
      <c r="H356" s="61"/>
      <c r="L356" s="39" t="s">
        <v>84</v>
      </c>
      <c r="U356" t="str">
        <f t="shared" si="6"/>
        <v/>
      </c>
      <c r="V356" s="39" t="str">
        <f>IF(I356="","",VLOOKUP(I356,'装备&amp;材料'!$D$1:$E$6,2,FALSE))</f>
        <v/>
      </c>
      <c r="W356" s="39">
        <v>20108</v>
      </c>
      <c r="X356" s="39" t="str">
        <f>VLOOKUP(W356,技能!A:B,2)</f>
        <v>强效战斗怒吼</v>
      </c>
      <c r="Y356" s="39">
        <v>4</v>
      </c>
    </row>
    <row r="357" spans="1:25">
      <c r="D357" s="61"/>
      <c r="E357" s="61"/>
      <c r="F357" s="61"/>
      <c r="G357" s="61"/>
      <c r="H357" s="61"/>
      <c r="L357" s="39" t="s">
        <v>84</v>
      </c>
      <c r="U357" t="str">
        <f t="shared" si="6"/>
        <v/>
      </c>
      <c r="V357" s="39" t="str">
        <f>IF(I357="","",VLOOKUP(I357,'装备&amp;材料'!$D$1:$E$6,2,FALSE))</f>
        <v/>
      </c>
      <c r="W357" s="39">
        <v>20110</v>
      </c>
      <c r="X357" s="39" t="str">
        <f>VLOOKUP(W357,技能!A:B,2)</f>
        <v>强效命令怒吼</v>
      </c>
      <c r="Y357" s="39">
        <v>5</v>
      </c>
    </row>
    <row r="358" spans="1:25">
      <c r="A358" s="39">
        <v>204</v>
      </c>
      <c r="B358" s="39" t="s">
        <v>147</v>
      </c>
      <c r="C358" s="39">
        <v>1307</v>
      </c>
      <c r="D358" s="61" t="s">
        <v>1409</v>
      </c>
      <c r="E358" s="61"/>
      <c r="F358" s="61"/>
      <c r="G358" s="61"/>
      <c r="H358" s="61"/>
      <c r="I358" s="39">
        <v>2</v>
      </c>
      <c r="J358" s="39">
        <v>1</v>
      </c>
      <c r="K358" s="39">
        <v>1</v>
      </c>
      <c r="L358" s="39">
        <v>154</v>
      </c>
      <c r="M358" s="86">
        <v>4</v>
      </c>
      <c r="N358" s="86">
        <v>4</v>
      </c>
      <c r="O358" s="86">
        <v>6</v>
      </c>
      <c r="P358" s="86">
        <v>5</v>
      </c>
      <c r="Q358" s="86">
        <v>85</v>
      </c>
      <c r="R358" s="86">
        <v>78</v>
      </c>
      <c r="S358" s="86">
        <v>35</v>
      </c>
      <c r="T358" s="86">
        <v>31</v>
      </c>
      <c r="U358">
        <f t="shared" si="6"/>
        <v>375</v>
      </c>
      <c r="V358" s="39">
        <f>IF(I358="","",VLOOKUP(I358,'装备&amp;材料'!$D$1:$E$6,2,FALSE))</f>
        <v>375</v>
      </c>
      <c r="W358" s="39">
        <v>20112</v>
      </c>
      <c r="X358" s="39" t="str">
        <f>VLOOKUP(W358,技能!A:B,2)</f>
        <v>挥砍</v>
      </c>
      <c r="Y358" s="39">
        <v>1</v>
      </c>
    </row>
    <row r="359" spans="1:25">
      <c r="D359" s="61"/>
      <c r="E359" s="61"/>
      <c r="F359" s="61"/>
      <c r="G359" s="61"/>
      <c r="H359" s="61"/>
      <c r="L359" s="39" t="s">
        <v>84</v>
      </c>
      <c r="U359" t="str">
        <f t="shared" si="6"/>
        <v/>
      </c>
      <c r="V359" s="39" t="str">
        <f>IF(I359="","",VLOOKUP(I359,'装备&amp;材料'!$D$1:$E$6,2,FALSE))</f>
        <v/>
      </c>
      <c r="W359" s="39">
        <v>20114</v>
      </c>
      <c r="X359" s="39" t="str">
        <f>VLOOKUP(W359,技能!A:B,2)</f>
        <v>怒击</v>
      </c>
      <c r="Y359" s="39">
        <v>2</v>
      </c>
    </row>
    <row r="360" spans="1:25">
      <c r="D360" s="61"/>
      <c r="E360" s="61"/>
      <c r="F360" s="61"/>
      <c r="G360" s="61"/>
      <c r="H360" s="61"/>
      <c r="L360" s="39" t="s">
        <v>84</v>
      </c>
      <c r="U360" t="str">
        <f t="shared" si="6"/>
        <v/>
      </c>
      <c r="V360" s="39" t="str">
        <f>IF(I360="","",VLOOKUP(I360,'装备&amp;材料'!$D$1:$E$6,2,FALSE))</f>
        <v/>
      </c>
      <c r="W360" s="39">
        <v>20106</v>
      </c>
      <c r="X360" s="39" t="str">
        <f>VLOOKUP(W360,技能!A:B,2)</f>
        <v>强效战意</v>
      </c>
      <c r="Y360" s="39">
        <v>3</v>
      </c>
    </row>
    <row r="361" spans="1:25">
      <c r="D361" s="61"/>
      <c r="E361" s="61"/>
      <c r="F361" s="61"/>
      <c r="G361" s="61"/>
      <c r="H361" s="61"/>
      <c r="L361" s="39" t="s">
        <v>84</v>
      </c>
      <c r="U361" t="str">
        <f t="shared" si="6"/>
        <v/>
      </c>
      <c r="V361" s="39" t="str">
        <f>IF(I361="","",VLOOKUP(I361,'装备&amp;材料'!$D$1:$E$6,2,FALSE))</f>
        <v/>
      </c>
      <c r="W361" s="39">
        <v>20108</v>
      </c>
      <c r="X361" s="39" t="str">
        <f>VLOOKUP(W361,技能!A:B,2)</f>
        <v>强效战斗怒吼</v>
      </c>
      <c r="Y361" s="39">
        <v>4</v>
      </c>
    </row>
    <row r="362" spans="1:25">
      <c r="D362" s="61"/>
      <c r="E362" s="61"/>
      <c r="F362" s="61"/>
      <c r="G362" s="61"/>
      <c r="H362" s="61"/>
      <c r="L362" s="39" t="s">
        <v>84</v>
      </c>
      <c r="U362" t="str">
        <f t="shared" si="6"/>
        <v/>
      </c>
      <c r="V362" s="39" t="str">
        <f>IF(I362="","",VLOOKUP(I362,'装备&amp;材料'!$D$1:$E$6,2,FALSE))</f>
        <v/>
      </c>
      <c r="W362" s="39">
        <v>20110</v>
      </c>
      <c r="X362" s="39" t="str">
        <f>VLOOKUP(W362,技能!A:B,2)</f>
        <v>强效命令怒吼</v>
      </c>
      <c r="Y362" s="39">
        <v>5</v>
      </c>
    </row>
    <row r="363" spans="1:25">
      <c r="A363" s="39">
        <v>205</v>
      </c>
      <c r="B363" s="39" t="s">
        <v>148</v>
      </c>
      <c r="C363" s="39">
        <v>1302</v>
      </c>
      <c r="D363" s="61" t="s">
        <v>1410</v>
      </c>
      <c r="E363" s="61"/>
      <c r="F363" s="61"/>
      <c r="G363" s="61"/>
      <c r="H363" s="61"/>
      <c r="I363" s="39">
        <v>1</v>
      </c>
      <c r="J363" s="39">
        <v>1</v>
      </c>
      <c r="K363" s="39">
        <v>1</v>
      </c>
      <c r="L363" s="39">
        <v>158</v>
      </c>
      <c r="M363" s="85">
        <v>3</v>
      </c>
      <c r="N363" s="85">
        <v>3</v>
      </c>
      <c r="O363" s="85">
        <v>5</v>
      </c>
      <c r="P363" s="85">
        <v>4</v>
      </c>
      <c r="Q363" s="85">
        <v>73</v>
      </c>
      <c r="R363" s="85">
        <v>66</v>
      </c>
      <c r="S363" s="85">
        <v>26</v>
      </c>
      <c r="T363" s="85">
        <v>26</v>
      </c>
      <c r="U363">
        <f t="shared" si="6"/>
        <v>325</v>
      </c>
      <c r="V363" s="39">
        <f>IF(I363="","",VLOOKUP(I363,'装备&amp;材料'!$D$1:$E$6,2,FALSE))</f>
        <v>325</v>
      </c>
      <c r="W363" s="39">
        <v>20113</v>
      </c>
      <c r="X363" s="39" t="str">
        <f>VLOOKUP(W363,技能!A:B,2)</f>
        <v>砍</v>
      </c>
      <c r="Y363" s="39">
        <v>1</v>
      </c>
    </row>
    <row r="364" spans="1:25">
      <c r="D364" s="61"/>
      <c r="E364" s="61"/>
      <c r="F364" s="61"/>
      <c r="G364" s="61"/>
      <c r="H364" s="61"/>
      <c r="L364" s="39" t="s">
        <v>84</v>
      </c>
      <c r="U364" t="str">
        <f t="shared" si="6"/>
        <v/>
      </c>
      <c r="V364" s="39" t="str">
        <f>IF(I364="","",VLOOKUP(I364,'装备&amp;材料'!$D$1:$E$6,2,FALSE))</f>
        <v/>
      </c>
      <c r="W364" s="39">
        <v>20115</v>
      </c>
      <c r="X364" s="39" t="str">
        <f>VLOOKUP(W364,技能!A:B,2)</f>
        <v>小弟一击</v>
      </c>
      <c r="Y364" s="39">
        <v>2</v>
      </c>
    </row>
    <row r="365" spans="1:25">
      <c r="D365" s="61"/>
      <c r="E365" s="61"/>
      <c r="F365" s="61"/>
      <c r="G365" s="61"/>
      <c r="H365" s="61"/>
      <c r="L365" s="39" t="s">
        <v>84</v>
      </c>
      <c r="U365" t="str">
        <f t="shared" si="6"/>
        <v/>
      </c>
      <c r="V365" s="39" t="str">
        <f>IF(I365="","",VLOOKUP(I365,'装备&amp;材料'!$D$1:$E$6,2,FALSE))</f>
        <v/>
      </c>
      <c r="W365" s="39">
        <v>20103</v>
      </c>
      <c r="X365" s="39" t="str">
        <f>VLOOKUP(W365,技能!A:B,2)</f>
        <v>战意</v>
      </c>
      <c r="Y365" s="39">
        <v>3</v>
      </c>
    </row>
    <row r="366" spans="1:25">
      <c r="D366" s="61"/>
      <c r="E366" s="61"/>
      <c r="F366" s="61"/>
      <c r="G366" s="61"/>
      <c r="H366" s="61"/>
      <c r="L366" s="39" t="s">
        <v>84</v>
      </c>
      <c r="U366" t="str">
        <f t="shared" si="6"/>
        <v/>
      </c>
      <c r="V366" s="39" t="str">
        <f>IF(I366="","",VLOOKUP(I366,'装备&amp;材料'!$D$1:$E$6,2,FALSE))</f>
        <v/>
      </c>
      <c r="W366" s="39">
        <v>20104</v>
      </c>
      <c r="X366" s="39" t="str">
        <f>VLOOKUP(W366,技能!A:B,2)</f>
        <v>战斗怒吼</v>
      </c>
      <c r="Y366" s="39">
        <v>4</v>
      </c>
    </row>
    <row r="367" spans="1:25">
      <c r="D367" s="61"/>
      <c r="E367" s="61"/>
      <c r="F367" s="61"/>
      <c r="G367" s="61"/>
      <c r="H367" s="61"/>
      <c r="L367" s="39" t="s">
        <v>84</v>
      </c>
      <c r="U367" t="str">
        <f t="shared" si="6"/>
        <v/>
      </c>
      <c r="V367" s="39" t="str">
        <f>IF(I367="","",VLOOKUP(I367,'装备&amp;材料'!$D$1:$E$6,2,FALSE))</f>
        <v/>
      </c>
      <c r="W367" s="39">
        <v>20105</v>
      </c>
      <c r="X367" s="39" t="str">
        <f>VLOOKUP(W367,技能!A:B,2)</f>
        <v>命令怒吼</v>
      </c>
      <c r="Y367" s="39">
        <v>5</v>
      </c>
    </row>
    <row r="368" spans="1:25">
      <c r="A368" s="39">
        <v>206</v>
      </c>
      <c r="B368" s="39" t="s">
        <v>149</v>
      </c>
      <c r="C368" s="39">
        <v>1303</v>
      </c>
      <c r="D368" s="61" t="s">
        <v>1411</v>
      </c>
      <c r="E368" s="61"/>
      <c r="F368" s="61"/>
      <c r="G368" s="61"/>
      <c r="H368" s="61"/>
      <c r="I368" s="39">
        <v>1</v>
      </c>
      <c r="J368" s="39">
        <v>1</v>
      </c>
      <c r="K368" s="39">
        <v>1</v>
      </c>
      <c r="L368" s="39">
        <v>158</v>
      </c>
      <c r="M368" s="85">
        <v>3</v>
      </c>
      <c r="N368" s="85">
        <v>3</v>
      </c>
      <c r="O368" s="85">
        <v>5</v>
      </c>
      <c r="P368" s="85">
        <v>4</v>
      </c>
      <c r="Q368" s="85">
        <v>73</v>
      </c>
      <c r="R368" s="85">
        <v>66</v>
      </c>
      <c r="S368" s="85">
        <v>26</v>
      </c>
      <c r="T368" s="85">
        <v>26</v>
      </c>
      <c r="U368">
        <f t="shared" si="6"/>
        <v>325</v>
      </c>
      <c r="V368" s="39">
        <f>IF(I368="","",VLOOKUP(I368,'装备&amp;材料'!$D$1:$E$6,2,FALSE))</f>
        <v>325</v>
      </c>
      <c r="W368" s="39">
        <v>20113</v>
      </c>
      <c r="X368" s="39" t="str">
        <f>VLOOKUP(W368,技能!A:B,2)</f>
        <v>砍</v>
      </c>
      <c r="Y368" s="39">
        <v>1</v>
      </c>
    </row>
    <row r="369" spans="1:25">
      <c r="D369" s="61"/>
      <c r="E369" s="61"/>
      <c r="F369" s="61"/>
      <c r="G369" s="61"/>
      <c r="H369" s="61"/>
      <c r="L369" s="39" t="s">
        <v>84</v>
      </c>
      <c r="U369" t="str">
        <f t="shared" si="6"/>
        <v/>
      </c>
      <c r="V369" s="39" t="str">
        <f>IF(I369="","",VLOOKUP(I369,'装备&amp;材料'!$D$1:$E$6,2,FALSE))</f>
        <v/>
      </c>
      <c r="W369" s="39">
        <v>20115</v>
      </c>
      <c r="X369" s="39" t="str">
        <f>VLOOKUP(W369,技能!A:B,2)</f>
        <v>小弟一击</v>
      </c>
      <c r="Y369" s="39">
        <v>2</v>
      </c>
    </row>
    <row r="370" spans="1:25">
      <c r="D370" s="61"/>
      <c r="E370" s="61"/>
      <c r="F370" s="61"/>
      <c r="G370" s="61"/>
      <c r="H370" s="61"/>
      <c r="L370" s="39" t="s">
        <v>84</v>
      </c>
      <c r="U370" t="str">
        <f t="shared" si="6"/>
        <v/>
      </c>
      <c r="V370" s="39" t="str">
        <f>IF(I370="","",VLOOKUP(I370,'装备&amp;材料'!$D$1:$E$6,2,FALSE))</f>
        <v/>
      </c>
      <c r="W370" s="39">
        <v>20103</v>
      </c>
      <c r="X370" s="39" t="str">
        <f>VLOOKUP(W370,技能!A:B,2)</f>
        <v>战意</v>
      </c>
      <c r="Y370" s="39">
        <v>3</v>
      </c>
    </row>
    <row r="371" spans="1:25">
      <c r="D371" s="61"/>
      <c r="E371" s="61"/>
      <c r="F371" s="61"/>
      <c r="G371" s="61"/>
      <c r="H371" s="61"/>
      <c r="L371" s="39" t="s">
        <v>84</v>
      </c>
      <c r="U371" t="str">
        <f t="shared" si="6"/>
        <v/>
      </c>
      <c r="V371" s="39" t="str">
        <f>IF(I371="","",VLOOKUP(I371,'装备&amp;材料'!$D$1:$E$6,2,FALSE))</f>
        <v/>
      </c>
      <c r="W371" s="39">
        <v>20104</v>
      </c>
      <c r="X371" s="39" t="str">
        <f>VLOOKUP(W371,技能!A:B,2)</f>
        <v>战斗怒吼</v>
      </c>
      <c r="Y371" s="39">
        <v>4</v>
      </c>
    </row>
    <row r="372" spans="1:25">
      <c r="D372" s="61"/>
      <c r="E372" s="61"/>
      <c r="F372" s="61"/>
      <c r="G372" s="61"/>
      <c r="H372" s="61"/>
      <c r="L372" s="39" t="s">
        <v>84</v>
      </c>
      <c r="U372" t="str">
        <f t="shared" si="6"/>
        <v/>
      </c>
      <c r="V372" s="39" t="str">
        <f>IF(I372="","",VLOOKUP(I372,'装备&amp;材料'!$D$1:$E$6,2,FALSE))</f>
        <v/>
      </c>
      <c r="W372" s="39">
        <v>20105</v>
      </c>
      <c r="X372" s="39" t="str">
        <f>VLOOKUP(W372,技能!A:B,2)</f>
        <v>命令怒吼</v>
      </c>
      <c r="Y372" s="39">
        <v>5</v>
      </c>
    </row>
    <row r="373" spans="1:25">
      <c r="A373" s="39">
        <v>207</v>
      </c>
      <c r="B373" s="39" t="s">
        <v>150</v>
      </c>
      <c r="C373" s="39">
        <v>1404</v>
      </c>
      <c r="D373" s="61" t="s">
        <v>1412</v>
      </c>
      <c r="E373" s="61"/>
      <c r="F373" s="61"/>
      <c r="G373" s="61"/>
      <c r="H373" s="61"/>
      <c r="I373" s="39">
        <v>3</v>
      </c>
      <c r="J373" s="39">
        <v>6</v>
      </c>
      <c r="K373" s="39">
        <v>1</v>
      </c>
      <c r="L373" s="39">
        <v>162</v>
      </c>
      <c r="M373" s="84">
        <v>7</v>
      </c>
      <c r="N373" s="84">
        <v>7</v>
      </c>
      <c r="O373" s="84">
        <v>7</v>
      </c>
      <c r="P373" s="84">
        <v>7</v>
      </c>
      <c r="Q373" s="84">
        <v>83</v>
      </c>
      <c r="R373" s="84">
        <v>83</v>
      </c>
      <c r="S373" s="84">
        <v>40</v>
      </c>
      <c r="T373" s="84">
        <v>40</v>
      </c>
      <c r="U373">
        <f t="shared" si="6"/>
        <v>425</v>
      </c>
      <c r="V373" s="39">
        <f>IF(I373="","",VLOOKUP(I373,'装备&amp;材料'!$D$1:$E$6,2,FALSE))</f>
        <v>425</v>
      </c>
      <c r="W373" s="39">
        <v>20107</v>
      </c>
      <c r="X373" s="39" t="str">
        <f>VLOOKUP(W373,技能!A:B,2)</f>
        <v>特效战意</v>
      </c>
      <c r="Y373" s="39">
        <v>1</v>
      </c>
    </row>
    <row r="374" spans="1:25">
      <c r="D374" s="61"/>
      <c r="E374" s="61"/>
      <c r="F374" s="61"/>
      <c r="G374" s="61"/>
      <c r="H374" s="61"/>
      <c r="L374" s="39" t="s">
        <v>84</v>
      </c>
      <c r="U374" t="str">
        <f t="shared" si="6"/>
        <v/>
      </c>
      <c r="V374" s="39" t="str">
        <f>IF(I374="","",VLOOKUP(I374,'装备&amp;材料'!$D$1:$E$6,2,FALSE))</f>
        <v/>
      </c>
      <c r="W374" s="39">
        <v>20121</v>
      </c>
      <c r="X374" s="39" t="str">
        <f>VLOOKUP(W374,技能!A:B,2)</f>
        <v>特效武器强化</v>
      </c>
      <c r="Y374" s="39">
        <v>2</v>
      </c>
    </row>
    <row r="375" spans="1:25">
      <c r="D375" s="61"/>
      <c r="E375" s="61"/>
      <c r="F375" s="61"/>
      <c r="G375" s="61"/>
      <c r="H375" s="61"/>
      <c r="L375" s="39" t="s">
        <v>84</v>
      </c>
      <c r="U375" t="str">
        <f t="shared" si="6"/>
        <v/>
      </c>
      <c r="V375" s="39" t="str">
        <f>IF(I375="","",VLOOKUP(I375,'装备&amp;材料'!$D$1:$E$6,2,FALSE))</f>
        <v/>
      </c>
      <c r="W375" s="39">
        <v>20159</v>
      </c>
      <c r="X375" s="39" t="str">
        <f>VLOOKUP(W375,技能!A:B,2)</f>
        <v>女王复仇</v>
      </c>
      <c r="Y375" s="39">
        <v>3</v>
      </c>
    </row>
    <row r="376" spans="1:25">
      <c r="D376" s="61"/>
      <c r="E376" s="61"/>
      <c r="F376" s="61"/>
      <c r="G376" s="61"/>
      <c r="H376" s="61"/>
      <c r="L376" s="39" t="s">
        <v>84</v>
      </c>
      <c r="U376" t="str">
        <f t="shared" si="6"/>
        <v/>
      </c>
      <c r="V376" s="39" t="str">
        <f>IF(I376="","",VLOOKUP(I376,'装备&amp;材料'!$D$1:$E$6,2,FALSE))</f>
        <v/>
      </c>
      <c r="W376" s="39">
        <v>20130</v>
      </c>
      <c r="X376" s="39" t="str">
        <f>VLOOKUP(W376,技能!A:B,2)</f>
        <v>特效破甲</v>
      </c>
      <c r="Y376" s="39">
        <v>4</v>
      </c>
    </row>
    <row r="377" spans="1:25">
      <c r="D377" s="61"/>
      <c r="E377" s="61"/>
      <c r="F377" s="61"/>
      <c r="G377" s="61"/>
      <c r="H377" s="61"/>
      <c r="L377" s="39" t="s">
        <v>84</v>
      </c>
      <c r="U377" t="str">
        <f t="shared" si="6"/>
        <v/>
      </c>
      <c r="V377" s="39" t="str">
        <f>IF(I377="","",VLOOKUP(I377,'装备&amp;材料'!$D$1:$E$6,2,FALSE))</f>
        <v/>
      </c>
      <c r="W377" s="39">
        <v>20127</v>
      </c>
      <c r="X377" s="39" t="str">
        <f>VLOOKUP(W377,技能!A:B,2)</f>
        <v>特效坚韧</v>
      </c>
      <c r="Y377" s="39">
        <v>5</v>
      </c>
    </row>
    <row r="378" spans="1:25">
      <c r="A378" s="39">
        <v>208</v>
      </c>
      <c r="B378" s="39" t="s">
        <v>151</v>
      </c>
      <c r="C378" s="39">
        <v>1406</v>
      </c>
      <c r="D378" s="61" t="s">
        <v>1413</v>
      </c>
      <c r="E378" s="61"/>
      <c r="F378" s="61"/>
      <c r="G378" s="61"/>
      <c r="H378" s="61"/>
      <c r="I378" s="39">
        <v>3</v>
      </c>
      <c r="J378" s="39">
        <v>6</v>
      </c>
      <c r="K378" s="39">
        <v>1</v>
      </c>
      <c r="L378" s="39">
        <v>162</v>
      </c>
      <c r="M378" s="84">
        <v>7</v>
      </c>
      <c r="N378" s="84">
        <v>7</v>
      </c>
      <c r="O378" s="84">
        <v>7</v>
      </c>
      <c r="P378" s="84">
        <v>7</v>
      </c>
      <c r="Q378" s="84">
        <v>83</v>
      </c>
      <c r="R378" s="84">
        <v>83</v>
      </c>
      <c r="S378" s="84">
        <v>40</v>
      </c>
      <c r="T378" s="84">
        <v>40</v>
      </c>
      <c r="U378">
        <f t="shared" si="6"/>
        <v>425</v>
      </c>
      <c r="V378" s="39">
        <f>IF(I378="","",VLOOKUP(I378,'装备&amp;材料'!$D$1:$E$6,2,FALSE))</f>
        <v>425</v>
      </c>
      <c r="W378" s="39">
        <v>20107</v>
      </c>
      <c r="X378" s="39" t="str">
        <f>VLOOKUP(W378,技能!A:B,2)</f>
        <v>特效战意</v>
      </c>
      <c r="Y378" s="39">
        <v>1</v>
      </c>
    </row>
    <row r="379" spans="1:25">
      <c r="D379" s="61"/>
      <c r="E379" s="61"/>
      <c r="F379" s="61"/>
      <c r="G379" s="61"/>
      <c r="H379" s="61"/>
      <c r="L379" s="39" t="s">
        <v>84</v>
      </c>
      <c r="U379" t="str">
        <f t="shared" si="6"/>
        <v/>
      </c>
      <c r="V379" s="39" t="str">
        <f>IF(I379="","",VLOOKUP(I379,'装备&amp;材料'!$D$1:$E$6,2,FALSE))</f>
        <v/>
      </c>
      <c r="W379" s="39">
        <v>20118</v>
      </c>
      <c r="X379" s="39" t="str">
        <f>VLOOKUP(W379,技能!A:B,2)</f>
        <v>特效奥能强化</v>
      </c>
      <c r="Y379" s="39">
        <v>2</v>
      </c>
    </row>
    <row r="380" spans="1:25">
      <c r="D380" s="61"/>
      <c r="E380" s="61"/>
      <c r="F380" s="61"/>
      <c r="G380" s="61"/>
      <c r="H380" s="61"/>
      <c r="L380" s="39" t="s">
        <v>84</v>
      </c>
      <c r="U380" t="str">
        <f t="shared" si="6"/>
        <v/>
      </c>
      <c r="V380" s="39" t="str">
        <f>IF(I380="","",VLOOKUP(I380,'装备&amp;材料'!$D$1:$E$6,2,FALSE))</f>
        <v/>
      </c>
      <c r="W380" s="39">
        <v>20158</v>
      </c>
      <c r="X380" s="39" t="str">
        <f>VLOOKUP(W380,技能!A:B,2)</f>
        <v>国王标记</v>
      </c>
      <c r="Y380" s="39">
        <v>3</v>
      </c>
    </row>
    <row r="381" spans="1:25">
      <c r="D381" s="61"/>
      <c r="E381" s="61"/>
      <c r="F381" s="61"/>
      <c r="G381" s="61"/>
      <c r="H381" s="61"/>
      <c r="L381" s="39" t="s">
        <v>84</v>
      </c>
      <c r="U381" t="str">
        <f t="shared" si="6"/>
        <v/>
      </c>
      <c r="V381" s="39" t="str">
        <f>IF(I381="","",VLOOKUP(I381,'装备&amp;材料'!$D$1:$E$6,2,FALSE))</f>
        <v/>
      </c>
      <c r="W381" s="39">
        <v>20133</v>
      </c>
      <c r="X381" s="39" t="str">
        <f>VLOOKUP(W381,技能!A:B,2)</f>
        <v>特级增效</v>
      </c>
      <c r="Y381" s="39">
        <v>4</v>
      </c>
    </row>
    <row r="382" spans="1:25">
      <c r="D382" s="61"/>
      <c r="E382" s="61"/>
      <c r="F382" s="61"/>
      <c r="G382" s="61"/>
      <c r="H382" s="61"/>
      <c r="L382" s="39" t="s">
        <v>84</v>
      </c>
      <c r="U382" t="str">
        <f t="shared" si="6"/>
        <v/>
      </c>
      <c r="V382" s="39" t="str">
        <f>IF(I382="","",VLOOKUP(I382,'装备&amp;材料'!$D$1:$E$6,2,FALSE))</f>
        <v/>
      </c>
      <c r="W382" s="39">
        <v>20127</v>
      </c>
      <c r="X382" s="39" t="str">
        <f>VLOOKUP(W382,技能!A:B,2)</f>
        <v>特效坚韧</v>
      </c>
      <c r="Y382" s="39">
        <v>5</v>
      </c>
    </row>
    <row r="383" spans="1:25">
      <c r="A383" s="39">
        <v>209</v>
      </c>
      <c r="B383" s="39" t="s">
        <v>152</v>
      </c>
      <c r="C383" s="39">
        <v>126</v>
      </c>
      <c r="D383" s="61" t="s">
        <v>1564</v>
      </c>
      <c r="E383" s="61"/>
      <c r="F383" s="61"/>
      <c r="G383" s="61"/>
      <c r="H383" s="61"/>
      <c r="I383" s="39">
        <v>2</v>
      </c>
      <c r="J383" s="39">
        <v>6</v>
      </c>
      <c r="K383" s="39">
        <v>1</v>
      </c>
      <c r="L383" s="39">
        <v>148</v>
      </c>
      <c r="M383" s="86">
        <v>5</v>
      </c>
      <c r="N383" s="86">
        <v>5</v>
      </c>
      <c r="O383" s="86">
        <v>6</v>
      </c>
      <c r="P383" s="86">
        <v>5</v>
      </c>
      <c r="Q383" s="86">
        <v>78</v>
      </c>
      <c r="R383" s="86">
        <v>78</v>
      </c>
      <c r="S383" s="86">
        <v>35</v>
      </c>
      <c r="T383" s="86">
        <v>35</v>
      </c>
      <c r="U383">
        <f t="shared" si="6"/>
        <v>375</v>
      </c>
      <c r="V383" s="39">
        <f>IF(I383="","",VLOOKUP(I383,'装备&amp;材料'!$D$1:$E$6,2,FALSE))</f>
        <v>375</v>
      </c>
      <c r="W383" s="39">
        <v>20106</v>
      </c>
      <c r="X383" s="39" t="str">
        <f>VLOOKUP(W383,技能!A:B,2)</f>
        <v>强效战意</v>
      </c>
      <c r="Y383" s="39">
        <v>1</v>
      </c>
    </row>
    <row r="384" spans="1:25">
      <c r="D384" s="61"/>
      <c r="E384" s="61"/>
      <c r="F384" s="61"/>
      <c r="G384" s="61"/>
      <c r="H384" s="61"/>
      <c r="L384" s="39" t="s">
        <v>84</v>
      </c>
      <c r="U384" t="str">
        <f t="shared" si="6"/>
        <v/>
      </c>
      <c r="V384" s="39" t="str">
        <f>IF(I384="","",VLOOKUP(I384,'装备&amp;材料'!$D$1:$E$6,2,FALSE))</f>
        <v/>
      </c>
      <c r="W384" s="39">
        <v>20120</v>
      </c>
      <c r="X384" s="39" t="str">
        <f>VLOOKUP(W384,技能!A:B,2)</f>
        <v>强效武器强化</v>
      </c>
      <c r="Y384" s="39">
        <v>2</v>
      </c>
    </row>
    <row r="385" spans="1:25">
      <c r="D385" s="61"/>
      <c r="E385" s="61"/>
      <c r="F385" s="61"/>
      <c r="G385" s="61"/>
      <c r="H385" s="61"/>
      <c r="L385" s="39" t="s">
        <v>84</v>
      </c>
      <c r="U385" t="str">
        <f t="shared" si="6"/>
        <v/>
      </c>
      <c r="V385" s="39" t="str">
        <f>IF(I385="","",VLOOKUP(I385,'装备&amp;材料'!$D$1:$E$6,2,FALSE))</f>
        <v/>
      </c>
      <c r="W385" s="39">
        <v>20123</v>
      </c>
      <c r="X385" s="39" t="str">
        <f>VLOOKUP(W385,技能!A:B,2)</f>
        <v>强效迅捷</v>
      </c>
      <c r="Y385" s="39">
        <v>3</v>
      </c>
    </row>
    <row r="386" spans="1:25">
      <c r="D386" s="61"/>
      <c r="E386" s="61"/>
      <c r="F386" s="61"/>
      <c r="G386" s="61"/>
      <c r="H386" s="61"/>
      <c r="L386" s="39" t="s">
        <v>84</v>
      </c>
      <c r="U386" t="str">
        <f t="shared" si="6"/>
        <v/>
      </c>
      <c r="V386" s="39" t="str">
        <f>IF(I386="","",VLOOKUP(I386,'装备&amp;材料'!$D$1:$E$6,2,FALSE))</f>
        <v/>
      </c>
      <c r="W386" s="39">
        <v>20129</v>
      </c>
      <c r="X386" s="39" t="str">
        <f>VLOOKUP(W386,技能!A:B,2)</f>
        <v>强效破甲</v>
      </c>
      <c r="Y386" s="39">
        <v>4</v>
      </c>
    </row>
    <row r="387" spans="1:25">
      <c r="D387" s="61"/>
      <c r="E387" s="61"/>
      <c r="F387" s="61"/>
      <c r="G387" s="61"/>
      <c r="H387" s="61"/>
      <c r="L387" s="39" t="s">
        <v>84</v>
      </c>
      <c r="U387" t="str">
        <f t="shared" si="6"/>
        <v/>
      </c>
      <c r="V387" s="39" t="str">
        <f>IF(I387="","",VLOOKUP(I387,'装备&amp;材料'!$D$1:$E$6,2,FALSE))</f>
        <v/>
      </c>
      <c r="W387" s="39">
        <v>20126</v>
      </c>
      <c r="X387" s="39" t="str">
        <f>VLOOKUP(W387,技能!A:B,2)</f>
        <v>强效坚韧</v>
      </c>
      <c r="Y387" s="39">
        <v>5</v>
      </c>
    </row>
    <row r="388" spans="1:25">
      <c r="A388" s="39">
        <v>210</v>
      </c>
      <c r="B388" s="39" t="s">
        <v>153</v>
      </c>
      <c r="C388" s="39">
        <v>127</v>
      </c>
      <c r="D388" s="61" t="s">
        <v>1414</v>
      </c>
      <c r="E388" s="61"/>
      <c r="F388" s="61"/>
      <c r="G388" s="61"/>
      <c r="H388" s="61"/>
      <c r="I388" s="39">
        <v>2</v>
      </c>
      <c r="J388" s="39">
        <v>6</v>
      </c>
      <c r="K388" s="39">
        <v>1</v>
      </c>
      <c r="L388" s="39">
        <v>148</v>
      </c>
      <c r="M388" s="86">
        <v>5</v>
      </c>
      <c r="N388" s="86">
        <v>5</v>
      </c>
      <c r="O388" s="86">
        <v>6</v>
      </c>
      <c r="P388" s="86">
        <v>5</v>
      </c>
      <c r="Q388" s="86">
        <v>78</v>
      </c>
      <c r="R388" s="86">
        <v>78</v>
      </c>
      <c r="S388" s="86">
        <v>35</v>
      </c>
      <c r="T388" s="86">
        <v>35</v>
      </c>
      <c r="U388">
        <f t="shared" si="6"/>
        <v>375</v>
      </c>
      <c r="V388" s="39">
        <f>IF(I388="","",VLOOKUP(I388,'装备&amp;材料'!$D$1:$E$6,2,FALSE))</f>
        <v>375</v>
      </c>
      <c r="W388" s="39">
        <v>20106</v>
      </c>
      <c r="X388" s="39" t="str">
        <f>VLOOKUP(W388,技能!A:B,2)</f>
        <v>强效战意</v>
      </c>
      <c r="Y388" s="39">
        <v>1</v>
      </c>
    </row>
    <row r="389" spans="1:25">
      <c r="D389" s="61"/>
      <c r="E389" s="61"/>
      <c r="F389" s="61"/>
      <c r="G389" s="61"/>
      <c r="H389" s="61"/>
      <c r="L389" s="39" t="s">
        <v>84</v>
      </c>
      <c r="U389" t="str">
        <f t="shared" si="6"/>
        <v/>
      </c>
      <c r="V389" s="39" t="str">
        <f>IF(I389="","",VLOOKUP(I389,'装备&amp;材料'!$D$1:$E$6,2,FALSE))</f>
        <v/>
      </c>
      <c r="W389" s="39">
        <v>20117</v>
      </c>
      <c r="X389" s="39" t="str">
        <f>VLOOKUP(W389,技能!A:B,2)</f>
        <v>强效奥能强化</v>
      </c>
      <c r="Y389" s="39">
        <v>2</v>
      </c>
    </row>
    <row r="390" spans="1:25">
      <c r="D390" s="61"/>
      <c r="E390" s="61"/>
      <c r="F390" s="61"/>
      <c r="G390" s="61"/>
      <c r="H390" s="61"/>
      <c r="L390" s="39" t="s">
        <v>84</v>
      </c>
      <c r="U390" t="str">
        <f t="shared" si="6"/>
        <v/>
      </c>
      <c r="V390" s="39" t="str">
        <f>IF(I390="","",VLOOKUP(I390,'装备&amp;材料'!$D$1:$E$6,2,FALSE))</f>
        <v/>
      </c>
      <c r="W390" s="39">
        <v>20123</v>
      </c>
      <c r="X390" s="39" t="str">
        <f>VLOOKUP(W390,技能!A:B,2)</f>
        <v>强效迅捷</v>
      </c>
      <c r="Y390" s="39">
        <v>3</v>
      </c>
    </row>
    <row r="391" spans="1:25">
      <c r="D391" s="61"/>
      <c r="E391" s="61"/>
      <c r="F391" s="61"/>
      <c r="G391" s="61"/>
      <c r="H391" s="61"/>
      <c r="L391" s="39" t="s">
        <v>84</v>
      </c>
      <c r="U391" t="str">
        <f t="shared" si="6"/>
        <v/>
      </c>
      <c r="V391" s="39" t="str">
        <f>IF(I391="","",VLOOKUP(I391,'装备&amp;材料'!$D$1:$E$6,2,FALSE))</f>
        <v/>
      </c>
      <c r="W391" s="39">
        <v>20132</v>
      </c>
      <c r="X391" s="39" t="str">
        <f>VLOOKUP(W391,技能!A:B,2)</f>
        <v>强力增效</v>
      </c>
      <c r="Y391" s="39">
        <v>4</v>
      </c>
    </row>
    <row r="392" spans="1:25" ht="14.25">
      <c r="D392" s="61"/>
      <c r="E392" s="61"/>
      <c r="F392" s="61"/>
      <c r="G392" s="61"/>
      <c r="H392" s="61"/>
      <c r="L392" s="39" t="s">
        <v>84</v>
      </c>
      <c r="M392" s="46"/>
      <c r="N392" s="46"/>
      <c r="O392" s="46"/>
      <c r="P392" s="46"/>
      <c r="Q392" s="46"/>
      <c r="R392" s="46"/>
      <c r="S392" s="46"/>
      <c r="T392" s="46"/>
      <c r="U392" t="str">
        <f t="shared" si="6"/>
        <v/>
      </c>
      <c r="V392" s="39" t="str">
        <f>IF(I392="","",VLOOKUP(I392,'装备&amp;材料'!$D$1:$E$6,2,FALSE))</f>
        <v/>
      </c>
      <c r="W392" s="39">
        <v>20126</v>
      </c>
      <c r="X392" s="39" t="str">
        <f>VLOOKUP(W392,技能!A:B,2)</f>
        <v>强效坚韧</v>
      </c>
      <c r="Y392" s="39">
        <v>5</v>
      </c>
    </row>
    <row r="393" spans="1:25" ht="14.25">
      <c r="A393" s="39">
        <v>211</v>
      </c>
      <c r="B393" s="39" t="s">
        <v>154</v>
      </c>
      <c r="C393" s="39">
        <v>123</v>
      </c>
      <c r="D393" s="61" t="s">
        <v>1415</v>
      </c>
      <c r="E393" s="61" t="s">
        <v>6023</v>
      </c>
      <c r="F393" s="61"/>
      <c r="G393" s="61"/>
      <c r="H393" s="61"/>
      <c r="I393" s="39">
        <v>1</v>
      </c>
      <c r="J393" s="39">
        <v>6</v>
      </c>
      <c r="K393" s="39">
        <v>1</v>
      </c>
      <c r="L393" s="46">
        <v>142</v>
      </c>
      <c r="M393" s="85">
        <v>4</v>
      </c>
      <c r="N393" s="85">
        <v>4</v>
      </c>
      <c r="O393" s="85">
        <v>4</v>
      </c>
      <c r="P393" s="85">
        <v>4</v>
      </c>
      <c r="Q393" s="85">
        <v>73</v>
      </c>
      <c r="R393" s="85">
        <v>73</v>
      </c>
      <c r="S393" s="85">
        <v>26</v>
      </c>
      <c r="T393" s="85">
        <v>26</v>
      </c>
      <c r="U393">
        <f t="shared" si="6"/>
        <v>325</v>
      </c>
      <c r="V393" s="39">
        <f>IF(I393="","",VLOOKUP(I393,'装备&amp;材料'!$D$1:$E$6,2,FALSE))</f>
        <v>325</v>
      </c>
      <c r="W393" s="39">
        <v>20104</v>
      </c>
      <c r="X393" s="39" t="str">
        <f>VLOOKUP(W393,技能!A:B,2)</f>
        <v>战斗怒吼</v>
      </c>
      <c r="Y393" s="39">
        <v>1</v>
      </c>
    </row>
    <row r="394" spans="1:25">
      <c r="D394" s="61"/>
      <c r="E394" s="61"/>
      <c r="F394" s="61"/>
      <c r="G394" s="61"/>
      <c r="H394" s="61"/>
      <c r="L394" s="39" t="s">
        <v>84</v>
      </c>
      <c r="U394" t="str">
        <f t="shared" si="6"/>
        <v/>
      </c>
      <c r="V394" s="39" t="str">
        <f>IF(I394="","",VLOOKUP(I394,'装备&amp;材料'!$D$1:$E$6,2,FALSE))</f>
        <v/>
      </c>
      <c r="W394" s="39">
        <v>20116</v>
      </c>
      <c r="X394" s="39" t="str">
        <f>VLOOKUP(W394,技能!A:B,2)</f>
        <v>奥能强化</v>
      </c>
      <c r="Y394" s="39">
        <v>2</v>
      </c>
    </row>
    <row r="395" spans="1:25">
      <c r="D395" s="61"/>
      <c r="E395" s="61"/>
      <c r="F395" s="61"/>
      <c r="G395" s="61"/>
      <c r="H395" s="61"/>
      <c r="L395" s="39" t="s">
        <v>84</v>
      </c>
      <c r="U395" t="str">
        <f t="shared" si="6"/>
        <v/>
      </c>
      <c r="V395" s="39" t="str">
        <f>IF(I395="","",VLOOKUP(I395,'装备&amp;材料'!$D$1:$E$6,2,FALSE))</f>
        <v/>
      </c>
      <c r="W395" s="39">
        <v>20122</v>
      </c>
      <c r="X395" s="39" t="str">
        <f>VLOOKUP(W395,技能!A:B,2)</f>
        <v>迅捷</v>
      </c>
      <c r="Y395" s="39">
        <v>3</v>
      </c>
    </row>
    <row r="396" spans="1:25">
      <c r="D396" s="61"/>
      <c r="E396" s="61"/>
      <c r="F396" s="61"/>
      <c r="G396" s="61"/>
      <c r="H396" s="61"/>
      <c r="L396" s="39" t="s">
        <v>84</v>
      </c>
      <c r="U396" t="str">
        <f t="shared" si="6"/>
        <v/>
      </c>
      <c r="V396" s="39" t="str">
        <f>IF(I396="","",VLOOKUP(I396,'装备&amp;材料'!$D$1:$E$6,2,FALSE))</f>
        <v/>
      </c>
      <c r="W396" s="39">
        <v>20128</v>
      </c>
      <c r="X396" s="39" t="str">
        <f>VLOOKUP(W396,技能!A:B,2)</f>
        <v>破甲</v>
      </c>
      <c r="Y396" s="39">
        <v>4</v>
      </c>
    </row>
    <row r="397" spans="1:25" ht="14.25">
      <c r="D397" s="61"/>
      <c r="E397" s="61"/>
      <c r="F397" s="61"/>
      <c r="G397" s="61"/>
      <c r="H397" s="61"/>
      <c r="L397" s="39" t="s">
        <v>84</v>
      </c>
      <c r="M397" s="46"/>
      <c r="N397" s="46"/>
      <c r="O397" s="46"/>
      <c r="P397" s="46"/>
      <c r="Q397" s="46"/>
      <c r="R397" s="46"/>
      <c r="S397" s="46"/>
      <c r="T397" s="46"/>
      <c r="U397" t="str">
        <f t="shared" si="6"/>
        <v/>
      </c>
      <c r="V397" s="39" t="str">
        <f>IF(I397="","",VLOOKUP(I397,'装备&amp;材料'!$D$1:$E$6,2,FALSE))</f>
        <v/>
      </c>
      <c r="W397" s="39">
        <v>20125</v>
      </c>
      <c r="X397" s="39" t="str">
        <f>VLOOKUP(W397,技能!A:B,2)</f>
        <v>坚韧</v>
      </c>
      <c r="Y397" s="39">
        <v>5</v>
      </c>
    </row>
    <row r="398" spans="1:25">
      <c r="A398" s="39">
        <v>212</v>
      </c>
      <c r="B398" s="39" t="s">
        <v>155</v>
      </c>
      <c r="C398" s="39">
        <v>124</v>
      </c>
      <c r="D398" s="61" t="s">
        <v>1416</v>
      </c>
      <c r="E398" s="61" t="s">
        <v>6023</v>
      </c>
      <c r="F398" s="61"/>
      <c r="G398" s="61"/>
      <c r="H398" s="61"/>
      <c r="I398" s="39">
        <v>1</v>
      </c>
      <c r="J398" s="39">
        <v>6</v>
      </c>
      <c r="K398" s="39">
        <v>1</v>
      </c>
      <c r="L398" s="39">
        <v>142</v>
      </c>
      <c r="M398" s="85">
        <v>4</v>
      </c>
      <c r="N398" s="85">
        <v>4</v>
      </c>
      <c r="O398" s="85">
        <v>4</v>
      </c>
      <c r="P398" s="85">
        <v>4</v>
      </c>
      <c r="Q398" s="85">
        <v>73</v>
      </c>
      <c r="R398" s="85">
        <v>73</v>
      </c>
      <c r="S398" s="85">
        <v>26</v>
      </c>
      <c r="T398" s="85">
        <v>26</v>
      </c>
      <c r="U398">
        <f t="shared" si="6"/>
        <v>325</v>
      </c>
      <c r="V398" s="39">
        <f>IF(I398="","",VLOOKUP(I398,'装备&amp;材料'!$D$1:$E$6,2,FALSE))</f>
        <v>325</v>
      </c>
      <c r="W398" s="39">
        <v>20104</v>
      </c>
      <c r="X398" s="39" t="str">
        <f>VLOOKUP(W398,技能!A:B,2)</f>
        <v>战斗怒吼</v>
      </c>
      <c r="Y398" s="39">
        <v>1</v>
      </c>
    </row>
    <row r="399" spans="1:25">
      <c r="D399" s="61"/>
      <c r="E399" s="61"/>
      <c r="F399" s="61"/>
      <c r="G399" s="61"/>
      <c r="H399" s="61"/>
      <c r="L399" s="39" t="s">
        <v>84</v>
      </c>
      <c r="U399" t="str">
        <f t="shared" si="6"/>
        <v/>
      </c>
      <c r="V399" s="39" t="str">
        <f>IF(I399="","",VLOOKUP(I399,'装备&amp;材料'!$D$1:$E$6,2,FALSE))</f>
        <v/>
      </c>
      <c r="W399" s="39">
        <v>20119</v>
      </c>
      <c r="X399" s="39" t="str">
        <f>VLOOKUP(W399,技能!A:B,2)</f>
        <v>武器强化</v>
      </c>
      <c r="Y399" s="39">
        <v>2</v>
      </c>
    </row>
    <row r="400" spans="1:25">
      <c r="D400" s="61"/>
      <c r="E400" s="61"/>
      <c r="F400" s="61"/>
      <c r="G400" s="61"/>
      <c r="H400" s="61"/>
      <c r="L400" s="39" t="s">
        <v>84</v>
      </c>
      <c r="U400" t="str">
        <f t="shared" si="6"/>
        <v/>
      </c>
      <c r="V400" s="39" t="str">
        <f>IF(I400="","",VLOOKUP(I400,'装备&amp;材料'!$D$1:$E$6,2,FALSE))</f>
        <v/>
      </c>
      <c r="W400" s="39">
        <v>20122</v>
      </c>
      <c r="X400" s="39" t="str">
        <f>VLOOKUP(W400,技能!A:B,2)</f>
        <v>迅捷</v>
      </c>
      <c r="Y400" s="39">
        <v>3</v>
      </c>
    </row>
    <row r="401" spans="1:25">
      <c r="D401" s="61"/>
      <c r="E401" s="61"/>
      <c r="F401" s="61"/>
      <c r="G401" s="61"/>
      <c r="H401" s="61"/>
      <c r="L401" s="39" t="s">
        <v>84</v>
      </c>
      <c r="U401" t="str">
        <f t="shared" si="6"/>
        <v/>
      </c>
      <c r="V401" s="39" t="str">
        <f>IF(I401="","",VLOOKUP(I401,'装备&amp;材料'!$D$1:$E$6,2,FALSE))</f>
        <v/>
      </c>
      <c r="W401" s="39">
        <v>20131</v>
      </c>
      <c r="X401" s="39" t="str">
        <f>VLOOKUP(W401,技能!A:B,2)</f>
        <v>增效</v>
      </c>
      <c r="Y401" s="39">
        <v>4</v>
      </c>
    </row>
    <row r="402" spans="1:25">
      <c r="D402" s="61"/>
      <c r="E402" s="61"/>
      <c r="F402" s="61"/>
      <c r="G402" s="61"/>
      <c r="H402" s="61"/>
      <c r="L402" s="39" t="s">
        <v>84</v>
      </c>
      <c r="U402" t="str">
        <f t="shared" si="6"/>
        <v/>
      </c>
      <c r="V402" s="39" t="str">
        <f>IF(I402="","",VLOOKUP(I402,'装备&amp;材料'!$D$1:$E$6,2,FALSE))</f>
        <v/>
      </c>
      <c r="W402" s="39">
        <v>20125</v>
      </c>
      <c r="X402" s="39" t="str">
        <f>VLOOKUP(W402,技能!A:B,2)</f>
        <v>坚韧</v>
      </c>
      <c r="Y402" s="39">
        <v>5</v>
      </c>
    </row>
    <row r="403" spans="1:25">
      <c r="A403" s="39">
        <v>213</v>
      </c>
      <c r="B403" s="39" t="s">
        <v>156</v>
      </c>
      <c r="C403" s="39">
        <v>1301</v>
      </c>
      <c r="D403" s="61" t="s">
        <v>1417</v>
      </c>
      <c r="E403" s="61"/>
      <c r="F403" s="61"/>
      <c r="G403" s="61"/>
      <c r="H403" s="61"/>
      <c r="I403" s="39">
        <v>3</v>
      </c>
      <c r="J403" s="39">
        <v>5</v>
      </c>
      <c r="K403" s="39">
        <v>1</v>
      </c>
      <c r="L403" s="39">
        <v>140</v>
      </c>
      <c r="M403" s="84">
        <v>7</v>
      </c>
      <c r="N403" s="84">
        <v>7</v>
      </c>
      <c r="O403" s="84">
        <v>7</v>
      </c>
      <c r="P403" s="84">
        <v>6</v>
      </c>
      <c r="Q403" s="84">
        <v>97</v>
      </c>
      <c r="R403" s="84">
        <v>83</v>
      </c>
      <c r="S403" s="84">
        <v>40</v>
      </c>
      <c r="T403" s="84">
        <v>40</v>
      </c>
      <c r="U403">
        <f t="shared" si="6"/>
        <v>425</v>
      </c>
      <c r="V403" s="39">
        <f>IF(I403="","",VLOOKUP(I403,'装备&amp;材料'!$D$1:$E$6,2,FALSE))</f>
        <v>425</v>
      </c>
      <c r="W403" s="39">
        <v>20151</v>
      </c>
      <c r="X403" s="39" t="str">
        <f>VLOOKUP(W403,技能!A:B,2)</f>
        <v>火焰冲击</v>
      </c>
      <c r="Y403" s="39">
        <v>1</v>
      </c>
    </row>
    <row r="404" spans="1:25">
      <c r="D404" s="61"/>
      <c r="E404" s="61"/>
      <c r="F404" s="61"/>
      <c r="G404" s="61"/>
      <c r="H404" s="61"/>
      <c r="L404" s="39" t="s">
        <v>84</v>
      </c>
      <c r="U404" t="str">
        <f t="shared" si="6"/>
        <v/>
      </c>
      <c r="V404" s="39" t="str">
        <f>IF(I404="","",VLOOKUP(I404,'装备&amp;材料'!$D$1:$E$6,2,FALSE))</f>
        <v/>
      </c>
      <c r="W404" s="39">
        <v>20139</v>
      </c>
      <c r="X404" s="39" t="str">
        <f>VLOOKUP(W404,技能!A:B,2)</f>
        <v>特级秘法连击</v>
      </c>
      <c r="Y404" s="39">
        <v>2</v>
      </c>
    </row>
    <row r="405" spans="1:25">
      <c r="D405" s="61"/>
      <c r="E405" s="61"/>
      <c r="F405" s="61"/>
      <c r="G405" s="61"/>
      <c r="H405" s="61"/>
      <c r="L405" s="39" t="s">
        <v>84</v>
      </c>
      <c r="U405" t="str">
        <f t="shared" si="6"/>
        <v/>
      </c>
      <c r="V405" s="39" t="str">
        <f>IF(I405="","",VLOOKUP(I405,'装备&amp;材料'!$D$1:$E$6,2,FALSE))</f>
        <v/>
      </c>
      <c r="W405" s="39">
        <v>20118</v>
      </c>
      <c r="X405" s="39" t="str">
        <f>VLOOKUP(W405,技能!A:B,2)</f>
        <v>特效奥能强化</v>
      </c>
      <c r="Y405" s="39">
        <v>3</v>
      </c>
    </row>
    <row r="406" spans="1:25">
      <c r="D406" s="61"/>
      <c r="E406" s="61"/>
      <c r="F406" s="61"/>
      <c r="G406" s="61"/>
      <c r="H406" s="61"/>
      <c r="L406" s="39" t="s">
        <v>84</v>
      </c>
      <c r="U406" t="str">
        <f t="shared" si="6"/>
        <v/>
      </c>
      <c r="V406" s="39" t="str">
        <f>IF(I406="","",VLOOKUP(I406,'装备&amp;材料'!$D$1:$E$6,2,FALSE))</f>
        <v/>
      </c>
      <c r="W406" s="39">
        <v>20133</v>
      </c>
      <c r="X406" s="39" t="str">
        <f>VLOOKUP(W406,技能!A:B,2)</f>
        <v>特级增效</v>
      </c>
      <c r="Y406" s="39">
        <v>4</v>
      </c>
    </row>
    <row r="407" spans="1:25">
      <c r="D407" s="61"/>
      <c r="E407" s="61"/>
      <c r="F407" s="61"/>
      <c r="G407" s="61"/>
      <c r="H407" s="61"/>
      <c r="L407" s="39" t="s">
        <v>84</v>
      </c>
      <c r="U407" t="str">
        <f t="shared" ref="U407:U470" si="7">IF(I407="","",L407*0.5+M407*3+N407*3+O407*5+P407*3+Q407+R407+S407+T407)</f>
        <v/>
      </c>
      <c r="V407" s="39" t="str">
        <f>IF(I407="","",VLOOKUP(I407,'装备&amp;材料'!$D$1:$E$6,2,FALSE))</f>
        <v/>
      </c>
      <c r="W407" s="39">
        <v>20127</v>
      </c>
      <c r="X407" s="39" t="str">
        <f>VLOOKUP(W407,技能!A:B,2)</f>
        <v>特效坚韧</v>
      </c>
      <c r="Y407" s="39">
        <v>5</v>
      </c>
    </row>
    <row r="408" spans="1:25" ht="14.25">
      <c r="A408" s="39">
        <v>214</v>
      </c>
      <c r="B408" s="39" t="s">
        <v>157</v>
      </c>
      <c r="C408" s="39">
        <v>1304</v>
      </c>
      <c r="D408" s="61" t="s">
        <v>1418</v>
      </c>
      <c r="E408" s="61"/>
      <c r="F408" s="61"/>
      <c r="G408" s="61"/>
      <c r="H408" s="61"/>
      <c r="I408" s="39">
        <v>3</v>
      </c>
      <c r="J408" s="39">
        <v>5</v>
      </c>
      <c r="K408" s="39">
        <v>1</v>
      </c>
      <c r="L408" s="46">
        <v>140</v>
      </c>
      <c r="M408" s="84">
        <v>7</v>
      </c>
      <c r="N408" s="84">
        <v>7</v>
      </c>
      <c r="O408" s="84">
        <v>7</v>
      </c>
      <c r="P408" s="84">
        <v>6</v>
      </c>
      <c r="Q408" s="84">
        <v>97</v>
      </c>
      <c r="R408" s="84">
        <v>83</v>
      </c>
      <c r="S408" s="84">
        <v>40</v>
      </c>
      <c r="T408" s="84">
        <v>40</v>
      </c>
      <c r="U408">
        <f t="shared" si="7"/>
        <v>425</v>
      </c>
      <c r="V408" s="39">
        <f>IF(I408="","",VLOOKUP(I408,'装备&amp;材料'!$D$1:$E$6,2,FALSE))</f>
        <v>425</v>
      </c>
      <c r="W408" s="39">
        <v>20157</v>
      </c>
      <c r="X408" s="39" t="str">
        <f>VLOOKUP(W408,技能!A:B,2)</f>
        <v>奥能闪现</v>
      </c>
      <c r="Y408" s="39">
        <v>1</v>
      </c>
    </row>
    <row r="409" spans="1:25">
      <c r="D409" s="61"/>
      <c r="E409" s="61"/>
      <c r="F409" s="61"/>
      <c r="G409" s="61"/>
      <c r="H409" s="61"/>
      <c r="L409" s="39" t="s">
        <v>84</v>
      </c>
      <c r="U409" t="str">
        <f t="shared" si="7"/>
        <v/>
      </c>
      <c r="V409" s="39" t="str">
        <f>IF(I409="","",VLOOKUP(I409,'装备&amp;材料'!$D$1:$E$6,2,FALSE))</f>
        <v/>
      </c>
      <c r="W409" s="39">
        <v>20139</v>
      </c>
      <c r="X409" s="39" t="str">
        <f>VLOOKUP(W409,技能!A:B,2)</f>
        <v>特级秘法连击</v>
      </c>
      <c r="Y409" s="39">
        <v>2</v>
      </c>
    </row>
    <row r="410" spans="1:25">
      <c r="D410" s="61"/>
      <c r="E410" s="61"/>
      <c r="F410" s="61"/>
      <c r="G410" s="61"/>
      <c r="H410" s="61"/>
      <c r="L410" s="39" t="s">
        <v>84</v>
      </c>
      <c r="U410" t="str">
        <f t="shared" si="7"/>
        <v/>
      </c>
      <c r="V410" s="39" t="str">
        <f>IF(I410="","",VLOOKUP(I410,'装备&amp;材料'!$D$1:$E$6,2,FALSE))</f>
        <v/>
      </c>
      <c r="W410" s="39">
        <v>20118</v>
      </c>
      <c r="X410" s="39" t="str">
        <f>VLOOKUP(W410,技能!A:B,2)</f>
        <v>特效奥能强化</v>
      </c>
      <c r="Y410" s="39">
        <v>3</v>
      </c>
    </row>
    <row r="411" spans="1:25">
      <c r="D411" s="61"/>
      <c r="E411" s="61"/>
      <c r="F411" s="61"/>
      <c r="G411" s="61"/>
      <c r="H411" s="61"/>
      <c r="L411" s="39" t="s">
        <v>84</v>
      </c>
      <c r="U411" t="str">
        <f t="shared" si="7"/>
        <v/>
      </c>
      <c r="V411" s="39" t="str">
        <f>IF(I411="","",VLOOKUP(I411,'装备&amp;材料'!$D$1:$E$6,2,FALSE))</f>
        <v/>
      </c>
      <c r="W411" s="39">
        <v>20133</v>
      </c>
      <c r="X411" s="39" t="str">
        <f>VLOOKUP(W411,技能!A:B,2)</f>
        <v>特级增效</v>
      </c>
      <c r="Y411" s="39">
        <v>4</v>
      </c>
    </row>
    <row r="412" spans="1:25">
      <c r="D412" s="61"/>
      <c r="E412" s="61"/>
      <c r="F412" s="61"/>
      <c r="G412" s="61"/>
      <c r="H412" s="61"/>
      <c r="L412" s="39" t="s">
        <v>84</v>
      </c>
      <c r="U412" t="str">
        <f t="shared" si="7"/>
        <v/>
      </c>
      <c r="V412" s="39" t="str">
        <f>IF(I412="","",VLOOKUP(I412,'装备&amp;材料'!$D$1:$E$6,2,FALSE))</f>
        <v/>
      </c>
      <c r="W412" s="39">
        <v>20127</v>
      </c>
      <c r="X412" s="39" t="str">
        <f>VLOOKUP(W412,技能!A:B,2)</f>
        <v>特效坚韧</v>
      </c>
      <c r="Y412" s="39">
        <v>5</v>
      </c>
    </row>
    <row r="413" spans="1:25">
      <c r="A413" s="39">
        <v>215</v>
      </c>
      <c r="B413" s="39" t="s">
        <v>158</v>
      </c>
      <c r="C413" s="39">
        <v>1205</v>
      </c>
      <c r="D413" s="61" t="s">
        <v>1419</v>
      </c>
      <c r="E413" s="61"/>
      <c r="F413" s="61"/>
      <c r="G413" s="61"/>
      <c r="H413" s="61"/>
      <c r="I413" s="39">
        <v>2</v>
      </c>
      <c r="J413" s="39">
        <v>5</v>
      </c>
      <c r="K413" s="39">
        <v>1</v>
      </c>
      <c r="L413" s="39">
        <v>134</v>
      </c>
      <c r="M413" s="86">
        <v>6</v>
      </c>
      <c r="N413" s="86">
        <v>6</v>
      </c>
      <c r="O413" s="86">
        <v>5</v>
      </c>
      <c r="P413" s="86">
        <v>5</v>
      </c>
      <c r="Q413" s="86">
        <v>92</v>
      </c>
      <c r="R413" s="86">
        <v>78</v>
      </c>
      <c r="S413" s="86">
        <v>31</v>
      </c>
      <c r="T413" s="86">
        <v>31</v>
      </c>
      <c r="U413">
        <f t="shared" si="7"/>
        <v>375</v>
      </c>
      <c r="V413" s="39">
        <f>IF(I413="","",VLOOKUP(I413,'装备&amp;材料'!$D$1:$E$6,2,FALSE))</f>
        <v>375</v>
      </c>
      <c r="W413" s="39">
        <v>20135</v>
      </c>
      <c r="X413" s="39" t="str">
        <f>VLOOKUP(W413,技能!A:B,2)</f>
        <v>秘法飞弹</v>
      </c>
      <c r="Y413" s="39">
        <v>1</v>
      </c>
    </row>
    <row r="414" spans="1:25">
      <c r="D414" s="61"/>
      <c r="E414" s="61"/>
      <c r="F414" s="61"/>
      <c r="G414" s="61"/>
      <c r="H414" s="61"/>
      <c r="L414" s="39" t="s">
        <v>84</v>
      </c>
      <c r="U414" t="str">
        <f t="shared" si="7"/>
        <v/>
      </c>
      <c r="V414" s="39" t="str">
        <f>IF(I414="","",VLOOKUP(I414,'装备&amp;材料'!$D$1:$E$6,2,FALSE))</f>
        <v/>
      </c>
      <c r="W414" s="39">
        <v>20138</v>
      </c>
      <c r="X414" s="39" t="str">
        <f>VLOOKUP(W414,技能!A:B,2)</f>
        <v>高级秘法连击</v>
      </c>
      <c r="Y414" s="39">
        <v>2</v>
      </c>
    </row>
    <row r="415" spans="1:25">
      <c r="D415" s="61"/>
      <c r="E415" s="61"/>
      <c r="F415" s="61"/>
      <c r="G415" s="61"/>
      <c r="H415" s="61"/>
      <c r="L415" s="39" t="s">
        <v>84</v>
      </c>
      <c r="U415" t="str">
        <f t="shared" si="7"/>
        <v/>
      </c>
      <c r="V415" s="39" t="str">
        <f>IF(I415="","",VLOOKUP(I415,'装备&amp;材料'!$D$1:$E$6,2,FALSE))</f>
        <v/>
      </c>
      <c r="W415" s="39">
        <v>20117</v>
      </c>
      <c r="X415" s="39" t="str">
        <f>VLOOKUP(W415,技能!A:B,2)</f>
        <v>强效奥能强化</v>
      </c>
      <c r="Y415" s="39">
        <v>3</v>
      </c>
    </row>
    <row r="416" spans="1:25">
      <c r="D416" s="61"/>
      <c r="E416" s="61"/>
      <c r="F416" s="61"/>
      <c r="G416" s="61"/>
      <c r="H416" s="61"/>
      <c r="L416" s="39" t="s">
        <v>84</v>
      </c>
      <c r="U416" t="str">
        <f t="shared" si="7"/>
        <v/>
      </c>
      <c r="V416" s="39" t="str">
        <f>IF(I416="","",VLOOKUP(I416,'装备&amp;材料'!$D$1:$E$6,2,FALSE))</f>
        <v/>
      </c>
      <c r="W416" s="39">
        <v>20132</v>
      </c>
      <c r="X416" s="39" t="str">
        <f>VLOOKUP(W416,技能!A:B,2)</f>
        <v>强力增效</v>
      </c>
      <c r="Y416" s="39">
        <v>4</v>
      </c>
    </row>
    <row r="417" spans="1:25">
      <c r="D417" s="61"/>
      <c r="E417" s="61"/>
      <c r="F417" s="61"/>
      <c r="G417" s="61"/>
      <c r="H417" s="61"/>
      <c r="L417" s="39" t="s">
        <v>84</v>
      </c>
      <c r="U417" t="str">
        <f t="shared" si="7"/>
        <v/>
      </c>
      <c r="V417" s="39" t="str">
        <f>IF(I417="","",VLOOKUP(I417,'装备&amp;材料'!$D$1:$E$6,2,FALSE))</f>
        <v/>
      </c>
      <c r="W417" s="39">
        <v>20126</v>
      </c>
      <c r="X417" s="39" t="str">
        <f>VLOOKUP(W417,技能!A:B,2)</f>
        <v>强效坚韧</v>
      </c>
      <c r="Y417" s="39">
        <v>5</v>
      </c>
    </row>
    <row r="418" spans="1:25">
      <c r="A418" s="39">
        <v>216</v>
      </c>
      <c r="B418" s="39" t="s">
        <v>159</v>
      </c>
      <c r="C418" s="39">
        <v>1401</v>
      </c>
      <c r="D418" s="61" t="s">
        <v>1420</v>
      </c>
      <c r="E418" s="61"/>
      <c r="F418" s="61"/>
      <c r="G418" s="61"/>
      <c r="H418" s="61"/>
      <c r="I418" s="39">
        <v>2</v>
      </c>
      <c r="J418" s="39">
        <v>5</v>
      </c>
      <c r="K418" s="39">
        <v>1</v>
      </c>
      <c r="L418" s="39">
        <v>134</v>
      </c>
      <c r="M418" s="86">
        <v>6</v>
      </c>
      <c r="N418" s="86">
        <v>6</v>
      </c>
      <c r="O418" s="86">
        <v>5</v>
      </c>
      <c r="P418" s="86">
        <v>5</v>
      </c>
      <c r="Q418" s="86">
        <v>92</v>
      </c>
      <c r="R418" s="86">
        <v>78</v>
      </c>
      <c r="S418" s="86">
        <v>31</v>
      </c>
      <c r="T418" s="86">
        <v>31</v>
      </c>
      <c r="U418">
        <f t="shared" si="7"/>
        <v>375</v>
      </c>
      <c r="V418" s="39">
        <f>IF(I418="","",VLOOKUP(I418,'装备&amp;材料'!$D$1:$E$6,2,FALSE))</f>
        <v>375</v>
      </c>
      <c r="W418" s="39">
        <v>20135</v>
      </c>
      <c r="X418" s="39" t="str">
        <f>VLOOKUP(W418,技能!A:B,2)</f>
        <v>秘法飞弹</v>
      </c>
      <c r="Y418" s="39">
        <v>1</v>
      </c>
    </row>
    <row r="419" spans="1:25">
      <c r="D419" s="61"/>
      <c r="E419" s="61"/>
      <c r="F419" s="61"/>
      <c r="G419" s="61"/>
      <c r="H419" s="61"/>
      <c r="L419" s="39" t="s">
        <v>84</v>
      </c>
      <c r="U419" t="str">
        <f t="shared" si="7"/>
        <v/>
      </c>
      <c r="V419" s="39" t="str">
        <f>IF(I419="","",VLOOKUP(I419,'装备&amp;材料'!$D$1:$E$6,2,FALSE))</f>
        <v/>
      </c>
      <c r="W419" s="39">
        <v>20138</v>
      </c>
      <c r="X419" s="39" t="str">
        <f>VLOOKUP(W419,技能!A:B,2)</f>
        <v>高级秘法连击</v>
      </c>
      <c r="Y419" s="39">
        <v>2</v>
      </c>
    </row>
    <row r="420" spans="1:25">
      <c r="D420" s="61"/>
      <c r="E420" s="61"/>
      <c r="F420" s="61"/>
      <c r="G420" s="61"/>
      <c r="H420" s="61"/>
      <c r="L420" s="39" t="s">
        <v>84</v>
      </c>
      <c r="U420" t="str">
        <f t="shared" si="7"/>
        <v/>
      </c>
      <c r="V420" s="39" t="str">
        <f>IF(I420="","",VLOOKUP(I420,'装备&amp;材料'!$D$1:$E$6,2,FALSE))</f>
        <v/>
      </c>
      <c r="W420" s="39">
        <v>20117</v>
      </c>
      <c r="X420" s="39" t="str">
        <f>VLOOKUP(W420,技能!A:B,2)</f>
        <v>强效奥能强化</v>
      </c>
      <c r="Y420" s="39">
        <v>3</v>
      </c>
    </row>
    <row r="421" spans="1:25">
      <c r="D421" s="61"/>
      <c r="E421" s="61"/>
      <c r="F421" s="61"/>
      <c r="G421" s="61"/>
      <c r="H421" s="61"/>
      <c r="L421" s="39" t="s">
        <v>84</v>
      </c>
      <c r="U421" t="str">
        <f t="shared" si="7"/>
        <v/>
      </c>
      <c r="V421" s="39" t="str">
        <f>IF(I421="","",VLOOKUP(I421,'装备&amp;材料'!$D$1:$E$6,2,FALSE))</f>
        <v/>
      </c>
      <c r="W421" s="39">
        <v>20132</v>
      </c>
      <c r="X421" s="39" t="str">
        <f>VLOOKUP(W421,技能!A:B,2)</f>
        <v>强力增效</v>
      </c>
      <c r="Y421" s="39">
        <v>4</v>
      </c>
    </row>
    <row r="422" spans="1:25" ht="14.25">
      <c r="D422" s="61"/>
      <c r="E422" s="61"/>
      <c r="F422" s="61"/>
      <c r="G422" s="61"/>
      <c r="H422" s="61"/>
      <c r="L422" s="39" t="s">
        <v>84</v>
      </c>
      <c r="M422" s="46"/>
      <c r="N422" s="46"/>
      <c r="O422" s="46"/>
      <c r="P422" s="46"/>
      <c r="Q422" s="46"/>
      <c r="R422" s="46"/>
      <c r="S422" s="46"/>
      <c r="T422" s="46"/>
      <c r="U422" t="str">
        <f t="shared" si="7"/>
        <v/>
      </c>
      <c r="V422" s="39" t="str">
        <f>IF(I422="","",VLOOKUP(I422,'装备&amp;材料'!$D$1:$E$6,2,FALSE))</f>
        <v/>
      </c>
      <c r="W422" s="39">
        <v>20126</v>
      </c>
      <c r="X422" s="39" t="str">
        <f>VLOOKUP(W422,技能!A:B,2)</f>
        <v>强效坚韧</v>
      </c>
      <c r="Y422" s="39">
        <v>5</v>
      </c>
    </row>
    <row r="423" spans="1:25" ht="27">
      <c r="A423" s="39">
        <v>217</v>
      </c>
      <c r="B423" s="39" t="s">
        <v>160</v>
      </c>
      <c r="C423" s="39">
        <v>1403</v>
      </c>
      <c r="D423" s="61" t="s">
        <v>1450</v>
      </c>
      <c r="E423" s="61" t="s">
        <v>6023</v>
      </c>
      <c r="F423" s="61"/>
      <c r="G423" s="61"/>
      <c r="H423" s="61"/>
      <c r="I423" s="39">
        <v>1</v>
      </c>
      <c r="J423" s="39">
        <v>5</v>
      </c>
      <c r="K423" s="39">
        <v>1</v>
      </c>
      <c r="L423" s="46">
        <v>142</v>
      </c>
      <c r="M423" s="85">
        <v>4</v>
      </c>
      <c r="N423" s="85">
        <v>4</v>
      </c>
      <c r="O423" s="85">
        <v>4</v>
      </c>
      <c r="P423" s="85">
        <v>4</v>
      </c>
      <c r="Q423" s="85">
        <v>80</v>
      </c>
      <c r="R423" s="85">
        <v>66</v>
      </c>
      <c r="S423" s="85">
        <v>26</v>
      </c>
      <c r="T423" s="85">
        <v>26</v>
      </c>
      <c r="U423">
        <f t="shared" si="7"/>
        <v>325</v>
      </c>
      <c r="V423" s="39">
        <f>IF(I423="","",VLOOKUP(I423,'装备&amp;材料'!$D$1:$E$6,2,FALSE))</f>
        <v>325</v>
      </c>
      <c r="W423" s="39">
        <v>20149</v>
      </c>
      <c r="X423" s="39" t="str">
        <f>VLOOKUP(W423,技能!A:B,2)</f>
        <v>火焰射击</v>
      </c>
      <c r="Y423" s="39">
        <v>1</v>
      </c>
    </row>
    <row r="424" spans="1:25">
      <c r="D424" s="61"/>
      <c r="E424" s="61"/>
      <c r="F424" s="61"/>
      <c r="G424" s="61"/>
      <c r="H424" s="61"/>
      <c r="L424" s="39" t="s">
        <v>84</v>
      </c>
      <c r="U424" t="str">
        <f t="shared" si="7"/>
        <v/>
      </c>
      <c r="V424" s="39" t="str">
        <f>IF(I424="","",VLOOKUP(I424,'装备&amp;材料'!$D$1:$E$6,2,FALSE))</f>
        <v/>
      </c>
      <c r="W424" s="39">
        <v>20137</v>
      </c>
      <c r="X424" s="39" t="str">
        <f>VLOOKUP(W424,技能!A:B,2)</f>
        <v>秘法连击</v>
      </c>
      <c r="Y424" s="39">
        <v>2</v>
      </c>
    </row>
    <row r="425" spans="1:25">
      <c r="D425" s="61"/>
      <c r="E425" s="61"/>
      <c r="F425" s="61"/>
      <c r="G425" s="61"/>
      <c r="H425" s="61"/>
      <c r="L425" s="39" t="s">
        <v>84</v>
      </c>
      <c r="U425" t="str">
        <f t="shared" si="7"/>
        <v/>
      </c>
      <c r="V425" s="39" t="str">
        <f>IF(I425="","",VLOOKUP(I425,'装备&amp;材料'!$D$1:$E$6,2,FALSE))</f>
        <v/>
      </c>
      <c r="W425" s="39">
        <v>20116</v>
      </c>
      <c r="X425" s="39" t="str">
        <f>VLOOKUP(W425,技能!A:B,2)</f>
        <v>奥能强化</v>
      </c>
      <c r="Y425" s="39">
        <v>3</v>
      </c>
    </row>
    <row r="426" spans="1:25">
      <c r="D426" s="61"/>
      <c r="E426" s="61"/>
      <c r="F426" s="61"/>
      <c r="G426" s="61"/>
      <c r="H426" s="61"/>
      <c r="L426" s="39" t="s">
        <v>84</v>
      </c>
      <c r="U426" t="str">
        <f t="shared" si="7"/>
        <v/>
      </c>
      <c r="V426" s="39" t="str">
        <f>IF(I426="","",VLOOKUP(I426,'装备&amp;材料'!$D$1:$E$6,2,FALSE))</f>
        <v/>
      </c>
      <c r="W426" s="39">
        <v>20131</v>
      </c>
      <c r="X426" s="39" t="str">
        <f>VLOOKUP(W426,技能!A:B,2)</f>
        <v>增效</v>
      </c>
      <c r="Y426" s="39">
        <v>4</v>
      </c>
    </row>
    <row r="427" spans="1:25" ht="14.25">
      <c r="D427" s="61"/>
      <c r="E427" s="61"/>
      <c r="F427" s="61"/>
      <c r="G427" s="61"/>
      <c r="H427" s="61"/>
      <c r="L427" s="39" t="s">
        <v>84</v>
      </c>
      <c r="M427" s="46"/>
      <c r="N427" s="46"/>
      <c r="O427" s="46"/>
      <c r="P427" s="46"/>
      <c r="Q427" s="46"/>
      <c r="R427" s="46"/>
      <c r="S427" s="46"/>
      <c r="T427" s="46"/>
      <c r="U427" t="str">
        <f t="shared" si="7"/>
        <v/>
      </c>
      <c r="V427" s="39" t="str">
        <f>IF(I427="","",VLOOKUP(I427,'装备&amp;材料'!$D$1:$E$6,2,FALSE))</f>
        <v/>
      </c>
      <c r="W427" s="39">
        <v>20105</v>
      </c>
      <c r="X427" s="39" t="str">
        <f>VLOOKUP(W427,技能!A:B,2)</f>
        <v>命令怒吼</v>
      </c>
      <c r="Y427" s="39">
        <v>5</v>
      </c>
    </row>
    <row r="428" spans="1:25" ht="27">
      <c r="A428" s="39">
        <v>218</v>
      </c>
      <c r="B428" s="39" t="s">
        <v>1382</v>
      </c>
      <c r="C428" s="39">
        <v>1402</v>
      </c>
      <c r="D428" s="61" t="s">
        <v>1432</v>
      </c>
      <c r="E428" s="61" t="s">
        <v>6024</v>
      </c>
      <c r="F428" s="61"/>
      <c r="G428" s="61"/>
      <c r="H428" s="61"/>
      <c r="I428" s="39">
        <v>1</v>
      </c>
      <c r="J428" s="39">
        <v>5</v>
      </c>
      <c r="K428" s="39">
        <v>1</v>
      </c>
      <c r="L428" s="39">
        <v>142</v>
      </c>
      <c r="M428" s="85">
        <v>4</v>
      </c>
      <c r="N428" s="85">
        <v>4</v>
      </c>
      <c r="O428" s="85">
        <v>4</v>
      </c>
      <c r="P428" s="85">
        <v>4</v>
      </c>
      <c r="Q428" s="85">
        <v>80</v>
      </c>
      <c r="R428" s="85">
        <v>66</v>
      </c>
      <c r="S428" s="85">
        <v>26</v>
      </c>
      <c r="T428" s="85">
        <v>26</v>
      </c>
      <c r="U428">
        <f t="shared" si="7"/>
        <v>325</v>
      </c>
      <c r="V428" s="39">
        <f>IF(I428="","",VLOOKUP(I428,'装备&amp;材料'!$D$1:$E$6,2,FALSE))</f>
        <v>325</v>
      </c>
      <c r="W428" s="39">
        <v>20134</v>
      </c>
      <c r="X428" s="39" t="str">
        <f>VLOOKUP(W428,技能!A:B,2)</f>
        <v>秘法射击</v>
      </c>
      <c r="Y428" s="39">
        <v>1</v>
      </c>
    </row>
    <row r="429" spans="1:25">
      <c r="D429" s="61"/>
      <c r="E429" s="61"/>
      <c r="F429" s="61"/>
      <c r="G429" s="61"/>
      <c r="H429" s="61"/>
      <c r="L429" s="39" t="s">
        <v>84</v>
      </c>
      <c r="U429" t="str">
        <f t="shared" si="7"/>
        <v/>
      </c>
      <c r="V429" s="39" t="str">
        <f>IF(I429="","",VLOOKUP(I429,'装备&amp;材料'!$D$1:$E$6,2,FALSE))</f>
        <v/>
      </c>
      <c r="W429" s="39">
        <v>20137</v>
      </c>
      <c r="X429" s="39" t="str">
        <f>VLOOKUP(W429,技能!A:B,2)</f>
        <v>秘法连击</v>
      </c>
      <c r="Y429" s="39">
        <v>2</v>
      </c>
    </row>
    <row r="430" spans="1:25">
      <c r="D430" s="61"/>
      <c r="E430" s="61"/>
      <c r="F430" s="61"/>
      <c r="G430" s="61"/>
      <c r="H430" s="61"/>
      <c r="L430" s="39" t="s">
        <v>84</v>
      </c>
      <c r="U430" t="str">
        <f t="shared" si="7"/>
        <v/>
      </c>
      <c r="V430" s="39" t="str">
        <f>IF(I430="","",VLOOKUP(I430,'装备&amp;材料'!$D$1:$E$6,2,FALSE))</f>
        <v/>
      </c>
      <c r="W430" s="39">
        <v>20116</v>
      </c>
      <c r="X430" s="39" t="str">
        <f>VLOOKUP(W430,技能!A:B,2)</f>
        <v>奥能强化</v>
      </c>
      <c r="Y430" s="39">
        <v>3</v>
      </c>
    </row>
    <row r="431" spans="1:25">
      <c r="D431" s="61"/>
      <c r="E431" s="61"/>
      <c r="F431" s="61"/>
      <c r="G431" s="61"/>
      <c r="H431" s="61"/>
      <c r="L431" s="39" t="s">
        <v>84</v>
      </c>
      <c r="U431" t="str">
        <f t="shared" si="7"/>
        <v/>
      </c>
      <c r="V431" s="39" t="str">
        <f>IF(I431="","",VLOOKUP(I431,'装备&amp;材料'!$D$1:$E$6,2,FALSE))</f>
        <v/>
      </c>
      <c r="W431" s="39">
        <v>20131</v>
      </c>
      <c r="X431" s="39" t="str">
        <f>VLOOKUP(W431,技能!A:B,2)</f>
        <v>增效</v>
      </c>
      <c r="Y431" s="39">
        <v>4</v>
      </c>
    </row>
    <row r="432" spans="1:25">
      <c r="D432" s="61"/>
      <c r="E432" s="61"/>
      <c r="F432" s="61"/>
      <c r="G432" s="61"/>
      <c r="H432" s="61"/>
      <c r="L432" s="39" t="s">
        <v>84</v>
      </c>
      <c r="U432" t="str">
        <f t="shared" si="7"/>
        <v/>
      </c>
      <c r="V432" s="39" t="str">
        <f>IF(I432="","",VLOOKUP(I432,'装备&amp;材料'!$D$1:$E$6,2,FALSE))</f>
        <v/>
      </c>
      <c r="W432" s="39">
        <v>20105</v>
      </c>
      <c r="X432" s="39" t="str">
        <f>VLOOKUP(W432,技能!A:B,2)</f>
        <v>命令怒吼</v>
      </c>
      <c r="Y432" s="39">
        <v>5</v>
      </c>
    </row>
    <row r="433" spans="1:25" ht="27">
      <c r="A433" s="39">
        <v>219</v>
      </c>
      <c r="B433" s="39" t="s">
        <v>161</v>
      </c>
      <c r="C433" s="39">
        <v>1203</v>
      </c>
      <c r="D433" s="61" t="s">
        <v>1449</v>
      </c>
      <c r="E433" s="61"/>
      <c r="F433" s="61"/>
      <c r="G433" s="61"/>
      <c r="H433" s="61"/>
      <c r="I433" s="39">
        <v>3</v>
      </c>
      <c r="J433" s="39">
        <v>2</v>
      </c>
      <c r="K433" s="39">
        <v>1</v>
      </c>
      <c r="L433" s="39">
        <v>140</v>
      </c>
      <c r="M433" s="84">
        <v>7</v>
      </c>
      <c r="N433" s="84">
        <v>7</v>
      </c>
      <c r="O433" s="84">
        <v>7</v>
      </c>
      <c r="P433" s="84">
        <v>6</v>
      </c>
      <c r="Q433" s="84">
        <v>83</v>
      </c>
      <c r="R433" s="84">
        <v>97</v>
      </c>
      <c r="S433" s="84">
        <v>40</v>
      </c>
      <c r="T433" s="84">
        <v>40</v>
      </c>
      <c r="U433">
        <f t="shared" si="7"/>
        <v>425</v>
      </c>
      <c r="V433" s="39">
        <f>IF(I433="","",VLOOKUP(I433,'装备&amp;材料'!$D$1:$E$6,2,FALSE))</f>
        <v>425</v>
      </c>
      <c r="W433" s="39">
        <v>20142</v>
      </c>
      <c r="X433" s="39" t="str">
        <f>VLOOKUP(W433,技能!A:B,2)</f>
        <v>爆裂射击</v>
      </c>
      <c r="Y433" s="39">
        <v>1</v>
      </c>
    </row>
    <row r="434" spans="1:25">
      <c r="D434" s="61"/>
      <c r="E434" s="61"/>
      <c r="F434" s="61"/>
      <c r="G434" s="61"/>
      <c r="H434" s="61"/>
      <c r="L434" s="39" t="s">
        <v>84</v>
      </c>
      <c r="U434" t="str">
        <f t="shared" si="7"/>
        <v/>
      </c>
      <c r="V434" s="39" t="str">
        <f>IF(I434="","",VLOOKUP(I434,'装备&amp;材料'!$D$1:$E$6,2,FALSE))</f>
        <v/>
      </c>
      <c r="W434" s="39">
        <v>20145</v>
      </c>
      <c r="X434" s="39" t="str">
        <f>VLOOKUP(W434,技能!A:B,2)</f>
        <v>风之子</v>
      </c>
      <c r="Y434" s="39">
        <v>2</v>
      </c>
    </row>
    <row r="435" spans="1:25">
      <c r="D435" s="61"/>
      <c r="E435" s="61"/>
      <c r="F435" s="61"/>
      <c r="G435" s="61"/>
      <c r="H435" s="61"/>
      <c r="L435" s="39" t="s">
        <v>84</v>
      </c>
      <c r="U435" t="str">
        <f t="shared" si="7"/>
        <v/>
      </c>
      <c r="V435" s="39" t="str">
        <f>IF(I435="","",VLOOKUP(I435,'装备&amp;材料'!$D$1:$E$6,2,FALSE))</f>
        <v/>
      </c>
      <c r="W435" s="39">
        <v>20156</v>
      </c>
      <c r="X435" s="39" t="str">
        <f>VLOOKUP(W435,技能!A:B,2)</f>
        <v>神圣箭弩</v>
      </c>
      <c r="Y435" s="39">
        <v>3</v>
      </c>
    </row>
    <row r="436" spans="1:25">
      <c r="D436" s="61"/>
      <c r="E436" s="61"/>
      <c r="F436" s="61"/>
      <c r="G436" s="61"/>
      <c r="H436" s="61"/>
      <c r="L436" s="39" t="s">
        <v>84</v>
      </c>
      <c r="U436" t="str">
        <f t="shared" si="7"/>
        <v/>
      </c>
      <c r="V436" s="39" t="str">
        <f>IF(I436="","",VLOOKUP(I436,'装备&amp;材料'!$D$1:$E$6,2,FALSE))</f>
        <v/>
      </c>
      <c r="W436" s="39">
        <v>20130</v>
      </c>
      <c r="X436" s="39" t="str">
        <f>VLOOKUP(W436,技能!A:B,2)</f>
        <v>特效破甲</v>
      </c>
      <c r="Y436" s="39">
        <v>4</v>
      </c>
    </row>
    <row r="437" spans="1:25">
      <c r="D437" s="61"/>
      <c r="E437" s="61"/>
      <c r="F437" s="61"/>
      <c r="G437" s="61"/>
      <c r="H437" s="61"/>
      <c r="L437" s="39" t="s">
        <v>84</v>
      </c>
      <c r="U437" t="str">
        <f t="shared" si="7"/>
        <v/>
      </c>
      <c r="V437" s="39" t="str">
        <f>IF(I437="","",VLOOKUP(I437,'装备&amp;材料'!$D$1:$E$6,2,FALSE))</f>
        <v/>
      </c>
      <c r="W437" s="39">
        <v>20127</v>
      </c>
      <c r="X437" s="39" t="str">
        <f>VLOOKUP(W437,技能!A:B,2)</f>
        <v>特效坚韧</v>
      </c>
      <c r="Y437" s="39">
        <v>5</v>
      </c>
    </row>
    <row r="438" spans="1:25" ht="27">
      <c r="A438" s="39">
        <v>220</v>
      </c>
      <c r="B438" s="39" t="s">
        <v>162</v>
      </c>
      <c r="C438" s="39">
        <v>1204</v>
      </c>
      <c r="D438" s="61" t="s">
        <v>1451</v>
      </c>
      <c r="E438" s="61"/>
      <c r="F438" s="61"/>
      <c r="G438" s="61"/>
      <c r="H438" s="61"/>
      <c r="I438" s="39">
        <v>3</v>
      </c>
      <c r="J438" s="39">
        <v>2</v>
      </c>
      <c r="K438" s="39">
        <v>1</v>
      </c>
      <c r="L438" s="46">
        <v>140</v>
      </c>
      <c r="M438" s="84">
        <v>7</v>
      </c>
      <c r="N438" s="84">
        <v>7</v>
      </c>
      <c r="O438" s="84">
        <v>7</v>
      </c>
      <c r="P438" s="84">
        <v>6</v>
      </c>
      <c r="Q438" s="84">
        <v>83</v>
      </c>
      <c r="R438" s="84">
        <v>97</v>
      </c>
      <c r="S438" s="84">
        <v>40</v>
      </c>
      <c r="T438" s="84">
        <v>40</v>
      </c>
      <c r="U438">
        <f t="shared" si="7"/>
        <v>425</v>
      </c>
      <c r="V438" s="39">
        <f>IF(I438="","",VLOOKUP(I438,'装备&amp;材料'!$D$1:$E$6,2,FALSE))</f>
        <v>425</v>
      </c>
      <c r="W438" s="39">
        <v>20142</v>
      </c>
      <c r="X438" s="39" t="str">
        <f>VLOOKUP(W438,技能!A:B,2)</f>
        <v>爆裂射击</v>
      </c>
      <c r="Y438" s="39">
        <v>1</v>
      </c>
    </row>
    <row r="439" spans="1:25">
      <c r="D439" s="61"/>
      <c r="E439" s="61"/>
      <c r="F439" s="61"/>
      <c r="G439" s="61"/>
      <c r="H439" s="61"/>
      <c r="L439" s="39" t="s">
        <v>84</v>
      </c>
      <c r="U439" t="str">
        <f t="shared" si="7"/>
        <v/>
      </c>
      <c r="V439" s="39" t="str">
        <f>IF(I439="","",VLOOKUP(I439,'装备&amp;材料'!$D$1:$E$6,2,FALSE))</f>
        <v/>
      </c>
      <c r="W439" s="39">
        <v>20145</v>
      </c>
      <c r="X439" s="39" t="str">
        <f>VLOOKUP(W439,技能!A:B,2)</f>
        <v>风之子</v>
      </c>
      <c r="Y439" s="39">
        <v>2</v>
      </c>
    </row>
    <row r="440" spans="1:25">
      <c r="D440" s="61"/>
      <c r="E440" s="61"/>
      <c r="F440" s="61"/>
      <c r="G440" s="61"/>
      <c r="H440" s="61"/>
      <c r="L440" s="39" t="s">
        <v>84</v>
      </c>
      <c r="U440" t="str">
        <f t="shared" si="7"/>
        <v/>
      </c>
      <c r="V440" s="39" t="str">
        <f>IF(I440="","",VLOOKUP(I440,'装备&amp;材料'!$D$1:$E$6,2,FALSE))</f>
        <v/>
      </c>
      <c r="W440" s="39">
        <v>20154</v>
      </c>
      <c r="X440" s="39" t="str">
        <f>VLOOKUP(W440,技能!A:B,2)</f>
        <v>原谅她</v>
      </c>
      <c r="Y440" s="39">
        <v>3</v>
      </c>
    </row>
    <row r="441" spans="1:25">
      <c r="D441" s="61"/>
      <c r="E441" s="61"/>
      <c r="F441" s="61"/>
      <c r="G441" s="61"/>
      <c r="H441" s="61"/>
      <c r="L441" s="39" t="s">
        <v>84</v>
      </c>
      <c r="U441" t="str">
        <f t="shared" si="7"/>
        <v/>
      </c>
      <c r="V441" s="39" t="str">
        <f>IF(I441="","",VLOOKUP(I441,'装备&amp;材料'!$D$1:$E$6,2,FALSE))</f>
        <v/>
      </c>
      <c r="W441" s="39">
        <v>20130</v>
      </c>
      <c r="X441" s="39" t="str">
        <f>VLOOKUP(W441,技能!A:B,2)</f>
        <v>特效破甲</v>
      </c>
      <c r="Y441" s="39">
        <v>4</v>
      </c>
    </row>
    <row r="442" spans="1:25">
      <c r="D442" s="61"/>
      <c r="E442" s="61"/>
      <c r="F442" s="61"/>
      <c r="G442" s="61"/>
      <c r="H442" s="61"/>
      <c r="L442" s="39" t="s">
        <v>84</v>
      </c>
      <c r="U442" t="str">
        <f t="shared" si="7"/>
        <v/>
      </c>
      <c r="V442" s="39" t="str">
        <f>IF(I442="","",VLOOKUP(I442,'装备&amp;材料'!$D$1:$E$6,2,FALSE))</f>
        <v/>
      </c>
      <c r="W442" s="39">
        <v>20127</v>
      </c>
      <c r="X442" s="39" t="str">
        <f>VLOOKUP(W442,技能!A:B,2)</f>
        <v>特效坚韧</v>
      </c>
      <c r="Y442" s="39">
        <v>5</v>
      </c>
    </row>
    <row r="443" spans="1:25">
      <c r="A443" s="39">
        <v>221</v>
      </c>
      <c r="B443" s="39" t="s">
        <v>163</v>
      </c>
      <c r="C443" s="39">
        <v>1202</v>
      </c>
      <c r="D443" s="61" t="s">
        <v>1452</v>
      </c>
      <c r="E443" s="61"/>
      <c r="F443" s="61"/>
      <c r="G443" s="61"/>
      <c r="H443" s="61"/>
      <c r="I443" s="39">
        <v>2</v>
      </c>
      <c r="J443" s="39">
        <v>2</v>
      </c>
      <c r="K443" s="39">
        <v>1</v>
      </c>
      <c r="L443" s="39">
        <v>134</v>
      </c>
      <c r="M443" s="86">
        <v>6</v>
      </c>
      <c r="N443" s="86">
        <v>6</v>
      </c>
      <c r="O443" s="86">
        <v>5</v>
      </c>
      <c r="P443" s="86">
        <v>5</v>
      </c>
      <c r="Q443" s="86">
        <v>78</v>
      </c>
      <c r="R443" s="86">
        <v>92</v>
      </c>
      <c r="S443" s="86">
        <v>31</v>
      </c>
      <c r="T443" s="86">
        <v>31</v>
      </c>
      <c r="U443">
        <f t="shared" si="7"/>
        <v>375</v>
      </c>
      <c r="V443" s="39">
        <f>IF(I443="","",VLOOKUP(I443,'装备&amp;材料'!$D$1:$E$6,2,FALSE))</f>
        <v>375</v>
      </c>
      <c r="W443" s="39">
        <v>20141</v>
      </c>
      <c r="X443" s="39" t="str">
        <f>VLOOKUP(W443,技能!A:B,2)</f>
        <v>弹幕射击</v>
      </c>
      <c r="Y443" s="39">
        <v>1</v>
      </c>
    </row>
    <row r="444" spans="1:25">
      <c r="D444" s="61"/>
      <c r="E444" s="61"/>
      <c r="F444" s="61"/>
      <c r="G444" s="61"/>
      <c r="H444" s="61"/>
      <c r="L444" s="39" t="s">
        <v>84</v>
      </c>
      <c r="U444" t="str">
        <f t="shared" si="7"/>
        <v/>
      </c>
      <c r="V444" s="39" t="str">
        <f>IF(I444="","",VLOOKUP(I444,'装备&amp;材料'!$D$1:$E$6,2,FALSE))</f>
        <v/>
      </c>
      <c r="W444" s="39">
        <v>20144</v>
      </c>
      <c r="X444" s="39" t="str">
        <f>VLOOKUP(W444,技能!A:B,2)</f>
        <v>射击大师</v>
      </c>
      <c r="Y444" s="39">
        <v>2</v>
      </c>
    </row>
    <row r="445" spans="1:25">
      <c r="D445" s="61"/>
      <c r="E445" s="61"/>
      <c r="F445" s="61"/>
      <c r="G445" s="61"/>
      <c r="H445" s="61"/>
      <c r="L445" s="39" t="s">
        <v>84</v>
      </c>
      <c r="U445" t="str">
        <f t="shared" si="7"/>
        <v/>
      </c>
      <c r="V445" s="39" t="str">
        <f>IF(I445="","",VLOOKUP(I445,'装备&amp;材料'!$D$1:$E$6,2,FALSE))</f>
        <v/>
      </c>
      <c r="W445" s="39">
        <v>20123</v>
      </c>
      <c r="X445" s="39" t="str">
        <f>VLOOKUP(W445,技能!A:B,2)</f>
        <v>强效迅捷</v>
      </c>
      <c r="Y445" s="39">
        <v>3</v>
      </c>
    </row>
    <row r="446" spans="1:25">
      <c r="D446" s="61"/>
      <c r="E446" s="61"/>
      <c r="F446" s="61"/>
      <c r="G446" s="61"/>
      <c r="H446" s="61"/>
      <c r="L446" s="39" t="s">
        <v>84</v>
      </c>
      <c r="U446" t="str">
        <f t="shared" si="7"/>
        <v/>
      </c>
      <c r="V446" s="39" t="str">
        <f>IF(I446="","",VLOOKUP(I446,'装备&amp;材料'!$D$1:$E$6,2,FALSE))</f>
        <v/>
      </c>
      <c r="W446" s="39">
        <v>20129</v>
      </c>
      <c r="X446" s="39" t="str">
        <f>VLOOKUP(W446,技能!A:B,2)</f>
        <v>强效破甲</v>
      </c>
      <c r="Y446" s="39">
        <v>4</v>
      </c>
    </row>
    <row r="447" spans="1:25">
      <c r="D447" s="61"/>
      <c r="E447" s="61"/>
      <c r="F447" s="61"/>
      <c r="G447" s="61"/>
      <c r="H447" s="61"/>
      <c r="L447" s="39" t="s">
        <v>84</v>
      </c>
      <c r="U447" t="str">
        <f t="shared" si="7"/>
        <v/>
      </c>
      <c r="V447" s="39" t="str">
        <f>IF(I447="","",VLOOKUP(I447,'装备&amp;材料'!$D$1:$E$6,2,FALSE))</f>
        <v/>
      </c>
      <c r="W447" s="39">
        <v>20126</v>
      </c>
      <c r="X447" s="39" t="str">
        <f>VLOOKUP(W447,技能!A:B,2)</f>
        <v>强效坚韧</v>
      </c>
      <c r="Y447" s="39">
        <v>5</v>
      </c>
    </row>
    <row r="448" spans="1:25">
      <c r="A448" s="39">
        <v>222</v>
      </c>
      <c r="B448" s="39" t="s">
        <v>164</v>
      </c>
      <c r="C448" s="39">
        <v>1201</v>
      </c>
      <c r="D448" s="61" t="s">
        <v>1453</v>
      </c>
      <c r="E448" s="61"/>
      <c r="F448" s="61"/>
      <c r="G448" s="61"/>
      <c r="H448" s="61"/>
      <c r="I448" s="39">
        <v>2</v>
      </c>
      <c r="J448" s="39">
        <v>2</v>
      </c>
      <c r="K448" s="39">
        <v>1</v>
      </c>
      <c r="L448" s="39">
        <v>134</v>
      </c>
      <c r="M448" s="86">
        <v>6</v>
      </c>
      <c r="N448" s="86">
        <v>6</v>
      </c>
      <c r="O448" s="86">
        <v>5</v>
      </c>
      <c r="P448" s="86">
        <v>5</v>
      </c>
      <c r="Q448" s="86">
        <v>78</v>
      </c>
      <c r="R448" s="86">
        <v>92</v>
      </c>
      <c r="S448" s="86">
        <v>31</v>
      </c>
      <c r="T448" s="86">
        <v>31</v>
      </c>
      <c r="U448">
        <f t="shared" si="7"/>
        <v>375</v>
      </c>
      <c r="V448" s="39">
        <f>IF(I448="","",VLOOKUP(I448,'装备&amp;材料'!$D$1:$E$6,2,FALSE))</f>
        <v>375</v>
      </c>
      <c r="W448" s="39">
        <v>20141</v>
      </c>
      <c r="X448" s="39" t="str">
        <f>VLOOKUP(W448,技能!A:B,2)</f>
        <v>弹幕射击</v>
      </c>
      <c r="Y448" s="39">
        <v>1</v>
      </c>
    </row>
    <row r="449" spans="1:25">
      <c r="D449" s="61"/>
      <c r="E449" s="61"/>
      <c r="F449" s="61"/>
      <c r="G449" s="61"/>
      <c r="H449" s="61"/>
      <c r="L449" s="39" t="s">
        <v>84</v>
      </c>
      <c r="U449" t="str">
        <f t="shared" si="7"/>
        <v/>
      </c>
      <c r="V449" s="39" t="str">
        <f>IF(I449="","",VLOOKUP(I449,'装备&amp;材料'!$D$1:$E$6,2,FALSE))</f>
        <v/>
      </c>
      <c r="W449" s="39">
        <v>20144</v>
      </c>
      <c r="X449" s="39" t="str">
        <f>VLOOKUP(W449,技能!A:B,2)</f>
        <v>射击大师</v>
      </c>
      <c r="Y449" s="39">
        <v>2</v>
      </c>
    </row>
    <row r="450" spans="1:25">
      <c r="D450" s="61"/>
      <c r="E450" s="61"/>
      <c r="F450" s="61"/>
      <c r="G450" s="61"/>
      <c r="H450" s="61"/>
      <c r="L450" s="39" t="s">
        <v>84</v>
      </c>
      <c r="U450" t="str">
        <f t="shared" si="7"/>
        <v/>
      </c>
      <c r="V450" s="39" t="str">
        <f>IF(I450="","",VLOOKUP(I450,'装备&amp;材料'!$D$1:$E$6,2,FALSE))</f>
        <v/>
      </c>
      <c r="W450" s="39">
        <v>20120</v>
      </c>
      <c r="X450" s="39" t="str">
        <f>VLOOKUP(W450,技能!A:B,2)</f>
        <v>强效武器强化</v>
      </c>
      <c r="Y450" s="39">
        <v>3</v>
      </c>
    </row>
    <row r="451" spans="1:25">
      <c r="D451" s="61"/>
      <c r="E451" s="61"/>
      <c r="F451" s="61"/>
      <c r="G451" s="61"/>
      <c r="H451" s="61"/>
      <c r="L451" s="39" t="s">
        <v>84</v>
      </c>
      <c r="U451" t="str">
        <f t="shared" si="7"/>
        <v/>
      </c>
      <c r="V451" s="39" t="str">
        <f>IF(I451="","",VLOOKUP(I451,'装备&amp;材料'!$D$1:$E$6,2,FALSE))</f>
        <v/>
      </c>
      <c r="W451" s="39">
        <v>20129</v>
      </c>
      <c r="X451" s="39" t="str">
        <f>VLOOKUP(W451,技能!A:B,2)</f>
        <v>强效破甲</v>
      </c>
      <c r="Y451" s="39">
        <v>4</v>
      </c>
    </row>
    <row r="452" spans="1:25" ht="14.25">
      <c r="D452" s="61"/>
      <c r="E452" s="61"/>
      <c r="F452" s="61"/>
      <c r="G452" s="61"/>
      <c r="H452" s="61"/>
      <c r="L452" s="39" t="s">
        <v>84</v>
      </c>
      <c r="M452" s="46"/>
      <c r="N452" s="46"/>
      <c r="O452" s="46"/>
      <c r="P452" s="46"/>
      <c r="Q452" s="46"/>
      <c r="R452" s="46"/>
      <c r="S452" s="46"/>
      <c r="T452" s="46"/>
      <c r="U452" t="str">
        <f t="shared" si="7"/>
        <v/>
      </c>
      <c r="V452" s="39" t="str">
        <f>IF(I452="","",VLOOKUP(I452,'装备&amp;材料'!$D$1:$E$6,2,FALSE))</f>
        <v/>
      </c>
      <c r="W452" s="39">
        <v>20126</v>
      </c>
      <c r="X452" s="39" t="str">
        <f>VLOOKUP(W452,技能!A:B,2)</f>
        <v>强效坚韧</v>
      </c>
      <c r="Y452" s="39">
        <v>5</v>
      </c>
    </row>
    <row r="453" spans="1:25">
      <c r="A453" s="39">
        <v>223</v>
      </c>
      <c r="B453" s="39" t="s">
        <v>165</v>
      </c>
      <c r="C453" s="39">
        <v>121</v>
      </c>
      <c r="D453" s="61" t="s">
        <v>1421</v>
      </c>
      <c r="E453" s="61" t="s">
        <v>6023</v>
      </c>
      <c r="F453" s="61"/>
      <c r="G453" s="61"/>
      <c r="H453" s="61"/>
      <c r="I453" s="39">
        <v>1</v>
      </c>
      <c r="J453" s="39">
        <v>2</v>
      </c>
      <c r="K453" s="39">
        <v>1</v>
      </c>
      <c r="L453" s="39">
        <v>142</v>
      </c>
      <c r="M453" s="85">
        <v>4</v>
      </c>
      <c r="N453" s="85">
        <v>4</v>
      </c>
      <c r="O453" s="85">
        <v>4</v>
      </c>
      <c r="P453" s="85">
        <v>4</v>
      </c>
      <c r="Q453" s="85">
        <v>66</v>
      </c>
      <c r="R453" s="85">
        <v>80</v>
      </c>
      <c r="S453" s="85">
        <v>26</v>
      </c>
      <c r="T453" s="85">
        <v>26</v>
      </c>
      <c r="U453">
        <f t="shared" si="7"/>
        <v>325</v>
      </c>
      <c r="V453" s="39">
        <f>IF(I453="","",VLOOKUP(I453,'装备&amp;材料'!$D$1:$E$6,2,FALSE))</f>
        <v>325</v>
      </c>
      <c r="W453" s="39">
        <v>20140</v>
      </c>
      <c r="X453" s="39" t="str">
        <f>VLOOKUP(W453,技能!A:B,2)</f>
        <v>精准射击</v>
      </c>
      <c r="Y453" s="39">
        <v>1</v>
      </c>
    </row>
    <row r="454" spans="1:25">
      <c r="D454" s="61"/>
      <c r="E454" s="61"/>
      <c r="F454" s="61"/>
      <c r="G454" s="61"/>
      <c r="H454" s="61"/>
      <c r="L454" s="39" t="s">
        <v>84</v>
      </c>
      <c r="U454" t="str">
        <f t="shared" si="7"/>
        <v/>
      </c>
      <c r="V454" s="39" t="str">
        <f>IF(I454="","",VLOOKUP(I454,'装备&amp;材料'!$D$1:$E$6,2,FALSE))</f>
        <v/>
      </c>
      <c r="W454" s="39">
        <v>20143</v>
      </c>
      <c r="X454" s="39" t="str">
        <f>VLOOKUP(W454,技能!A:B,2)</f>
        <v>百发百中</v>
      </c>
      <c r="Y454" s="39">
        <v>2</v>
      </c>
    </row>
    <row r="455" spans="1:25">
      <c r="D455" s="61"/>
      <c r="E455" s="61"/>
      <c r="F455" s="61"/>
      <c r="G455" s="61"/>
      <c r="H455" s="61"/>
      <c r="L455" s="39" t="s">
        <v>84</v>
      </c>
      <c r="U455" t="str">
        <f t="shared" si="7"/>
        <v/>
      </c>
      <c r="V455" s="39" t="str">
        <f>IF(I455="","",VLOOKUP(I455,'装备&amp;材料'!$D$1:$E$6,2,FALSE))</f>
        <v/>
      </c>
      <c r="W455" s="39">
        <v>20122</v>
      </c>
      <c r="X455" s="39" t="str">
        <f>VLOOKUP(W455,技能!A:B,2)</f>
        <v>迅捷</v>
      </c>
      <c r="Y455" s="39">
        <v>3</v>
      </c>
    </row>
    <row r="456" spans="1:25">
      <c r="D456" s="61"/>
      <c r="E456" s="61"/>
      <c r="F456" s="61"/>
      <c r="G456" s="61"/>
      <c r="H456" s="61"/>
      <c r="L456" s="39" t="s">
        <v>84</v>
      </c>
      <c r="U456" t="str">
        <f t="shared" si="7"/>
        <v/>
      </c>
      <c r="V456" s="39" t="str">
        <f>IF(I456="","",VLOOKUP(I456,'装备&amp;材料'!$D$1:$E$6,2,FALSE))</f>
        <v/>
      </c>
      <c r="W456" s="39">
        <v>20128</v>
      </c>
      <c r="X456" s="39" t="str">
        <f>VLOOKUP(W456,技能!A:B,2)</f>
        <v>破甲</v>
      </c>
      <c r="Y456" s="39">
        <v>4</v>
      </c>
    </row>
    <row r="457" spans="1:25" ht="14.25">
      <c r="D457" s="61"/>
      <c r="E457" s="61"/>
      <c r="F457" s="61"/>
      <c r="G457" s="61"/>
      <c r="H457" s="61"/>
      <c r="L457" s="39" t="s">
        <v>84</v>
      </c>
      <c r="M457" s="46"/>
      <c r="N457" s="46"/>
      <c r="O457" s="46"/>
      <c r="P457" s="46"/>
      <c r="Q457" s="46"/>
      <c r="R457" s="46"/>
      <c r="S457" s="46"/>
      <c r="T457" s="46"/>
      <c r="U457" t="str">
        <f t="shared" si="7"/>
        <v/>
      </c>
      <c r="V457" s="39" t="str">
        <f>IF(I457="","",VLOOKUP(I457,'装备&amp;材料'!$D$1:$E$6,2,FALSE))</f>
        <v/>
      </c>
      <c r="W457" s="39">
        <v>20105</v>
      </c>
      <c r="X457" s="39" t="str">
        <f>VLOOKUP(W457,技能!A:B,2)</f>
        <v>命令怒吼</v>
      </c>
      <c r="Y457" s="39">
        <v>5</v>
      </c>
    </row>
    <row r="458" spans="1:25" ht="14.25">
      <c r="A458" s="39">
        <v>224</v>
      </c>
      <c r="B458" s="39" t="s">
        <v>166</v>
      </c>
      <c r="C458" s="39">
        <v>122</v>
      </c>
      <c r="D458" s="61" t="s">
        <v>1422</v>
      </c>
      <c r="E458" s="61" t="s">
        <v>6023</v>
      </c>
      <c r="F458" s="61"/>
      <c r="G458" s="61"/>
      <c r="H458" s="61"/>
      <c r="I458" s="39">
        <v>1</v>
      </c>
      <c r="J458" s="39">
        <v>2</v>
      </c>
      <c r="K458" s="39">
        <v>1</v>
      </c>
      <c r="L458" s="46">
        <v>142</v>
      </c>
      <c r="M458" s="85">
        <v>4</v>
      </c>
      <c r="N458" s="85">
        <v>4</v>
      </c>
      <c r="O458" s="85">
        <v>4</v>
      </c>
      <c r="P458" s="85">
        <v>4</v>
      </c>
      <c r="Q458" s="85">
        <v>66</v>
      </c>
      <c r="R458" s="85">
        <v>80</v>
      </c>
      <c r="S458" s="85">
        <v>26</v>
      </c>
      <c r="T458" s="85">
        <v>26</v>
      </c>
      <c r="U458">
        <f t="shared" si="7"/>
        <v>325</v>
      </c>
      <c r="V458" s="39">
        <f>IF(I458="","",VLOOKUP(I458,'装备&amp;材料'!$D$1:$E$6,2,FALSE))</f>
        <v>325</v>
      </c>
      <c r="W458" s="39">
        <v>20140</v>
      </c>
      <c r="X458" s="39" t="str">
        <f>VLOOKUP(W458,技能!A:B,2)</f>
        <v>精准射击</v>
      </c>
      <c r="Y458" s="39">
        <v>1</v>
      </c>
    </row>
    <row r="459" spans="1:25">
      <c r="D459" s="61"/>
      <c r="E459" s="61"/>
      <c r="F459" s="61"/>
      <c r="G459" s="61"/>
      <c r="H459" s="61"/>
      <c r="L459" s="39" t="s">
        <v>84</v>
      </c>
      <c r="U459" t="str">
        <f t="shared" si="7"/>
        <v/>
      </c>
      <c r="V459" s="39" t="str">
        <f>IF(I459="","",VLOOKUP(I459,'装备&amp;材料'!$D$1:$E$6,2,FALSE))</f>
        <v/>
      </c>
      <c r="W459" s="39">
        <v>20143</v>
      </c>
      <c r="X459" s="39" t="str">
        <f>VLOOKUP(W459,技能!A:B,2)</f>
        <v>百发百中</v>
      </c>
      <c r="Y459" s="39">
        <v>2</v>
      </c>
    </row>
    <row r="460" spans="1:25">
      <c r="D460" s="61"/>
      <c r="E460" s="61"/>
      <c r="F460" s="61"/>
      <c r="G460" s="61"/>
      <c r="H460" s="61"/>
      <c r="L460" s="39" t="s">
        <v>84</v>
      </c>
      <c r="U460" t="str">
        <f t="shared" si="7"/>
        <v/>
      </c>
      <c r="V460" s="39" t="str">
        <f>IF(I460="","",VLOOKUP(I460,'装备&amp;材料'!$D$1:$E$6,2,FALSE))</f>
        <v/>
      </c>
      <c r="W460" s="39">
        <v>20119</v>
      </c>
      <c r="X460" s="39" t="str">
        <f>VLOOKUP(W460,技能!A:B,2)</f>
        <v>武器强化</v>
      </c>
      <c r="Y460" s="39">
        <v>3</v>
      </c>
    </row>
    <row r="461" spans="1:25">
      <c r="D461" s="61"/>
      <c r="E461" s="61"/>
      <c r="F461" s="61"/>
      <c r="G461" s="61"/>
      <c r="H461" s="61"/>
      <c r="L461" s="39" t="s">
        <v>84</v>
      </c>
      <c r="U461" t="str">
        <f t="shared" si="7"/>
        <v/>
      </c>
      <c r="V461" s="39" t="str">
        <f>IF(I461="","",VLOOKUP(I461,'装备&amp;材料'!$D$1:$E$6,2,FALSE))</f>
        <v/>
      </c>
      <c r="W461" s="39">
        <v>20128</v>
      </c>
      <c r="X461" s="39" t="str">
        <f>VLOOKUP(W461,技能!A:B,2)</f>
        <v>破甲</v>
      </c>
      <c r="Y461" s="39">
        <v>4</v>
      </c>
    </row>
    <row r="462" spans="1:25">
      <c r="D462" s="61"/>
      <c r="E462" s="61"/>
      <c r="F462" s="61"/>
      <c r="G462" s="61"/>
      <c r="H462" s="61"/>
      <c r="L462" s="39" t="s">
        <v>84</v>
      </c>
      <c r="U462" t="str">
        <f t="shared" si="7"/>
        <v/>
      </c>
      <c r="V462" s="39" t="str">
        <f>IF(I462="","",VLOOKUP(I462,'装备&amp;材料'!$D$1:$E$6,2,FALSE))</f>
        <v/>
      </c>
      <c r="W462" s="39">
        <v>20105</v>
      </c>
      <c r="X462" s="39" t="str">
        <f>VLOOKUP(W462,技能!A:B,2)</f>
        <v>命令怒吼</v>
      </c>
      <c r="Y462" s="39">
        <v>5</v>
      </c>
    </row>
    <row r="463" spans="1:25">
      <c r="A463" s="39">
        <v>225</v>
      </c>
      <c r="B463" s="39" t="s">
        <v>167</v>
      </c>
      <c r="C463" s="39">
        <v>1104</v>
      </c>
      <c r="D463" s="61" t="s">
        <v>1454</v>
      </c>
      <c r="E463" s="61"/>
      <c r="F463" s="61"/>
      <c r="G463" s="61"/>
      <c r="H463" s="61"/>
      <c r="I463" s="39">
        <v>3</v>
      </c>
      <c r="J463" s="39">
        <v>3</v>
      </c>
      <c r="K463" s="39">
        <v>1</v>
      </c>
      <c r="L463" s="39">
        <v>162</v>
      </c>
      <c r="M463" s="84">
        <v>7</v>
      </c>
      <c r="N463" s="84">
        <v>7</v>
      </c>
      <c r="O463" s="84">
        <v>7</v>
      </c>
      <c r="P463" s="84">
        <v>7</v>
      </c>
      <c r="Q463" s="84">
        <v>83</v>
      </c>
      <c r="R463" s="84">
        <v>83</v>
      </c>
      <c r="S463" s="84">
        <v>40</v>
      </c>
      <c r="T463" s="84">
        <v>40</v>
      </c>
      <c r="U463">
        <f t="shared" si="7"/>
        <v>425</v>
      </c>
      <c r="V463" s="39">
        <f>IF(I463="","",VLOOKUP(I463,'装备&amp;材料'!$D$1:$E$6,2,FALSE))</f>
        <v>425</v>
      </c>
      <c r="W463" s="39">
        <v>20148</v>
      </c>
      <c r="X463" s="39" t="str">
        <f>VLOOKUP(W463,技能!A:B,2)</f>
        <v>风暴涌动</v>
      </c>
      <c r="Y463" s="39">
        <v>1</v>
      </c>
    </row>
    <row r="464" spans="1:25">
      <c r="D464" s="61"/>
      <c r="E464" s="61"/>
      <c r="F464" s="61"/>
      <c r="G464" s="61"/>
      <c r="H464" s="61"/>
      <c r="L464" s="39" t="s">
        <v>84</v>
      </c>
      <c r="U464" t="str">
        <f t="shared" si="7"/>
        <v/>
      </c>
      <c r="V464" s="39" t="str">
        <f>IF(I464="","",VLOOKUP(I464,'装备&amp;材料'!$D$1:$E$6,2,FALSE))</f>
        <v/>
      </c>
      <c r="W464" s="39">
        <v>20124</v>
      </c>
      <c r="X464" s="39" t="str">
        <f>VLOOKUP(W464,技能!A:B,2)</f>
        <v>特效迅捷</v>
      </c>
      <c r="Y464" s="39">
        <v>2</v>
      </c>
    </row>
    <row r="465" spans="1:25">
      <c r="D465" s="61"/>
      <c r="E465" s="61"/>
      <c r="F465" s="61"/>
      <c r="G465" s="61"/>
      <c r="H465" s="61"/>
      <c r="L465" s="39" t="s">
        <v>84</v>
      </c>
      <c r="U465" t="str">
        <f t="shared" si="7"/>
        <v/>
      </c>
      <c r="V465" s="39" t="str">
        <f>IF(I465="","",VLOOKUP(I465,'装备&amp;材料'!$D$1:$E$6,2,FALSE))</f>
        <v/>
      </c>
      <c r="W465" s="39">
        <v>20152</v>
      </c>
      <c r="X465" s="39" t="str">
        <f>VLOOKUP(W465,技能!A:B,2)</f>
        <v>英勇意念</v>
      </c>
      <c r="Y465" s="39">
        <v>3</v>
      </c>
    </row>
    <row r="466" spans="1:25">
      <c r="D466" s="61"/>
      <c r="E466" s="61"/>
      <c r="F466" s="61"/>
      <c r="G466" s="61"/>
      <c r="H466" s="61"/>
      <c r="L466" s="39" t="s">
        <v>84</v>
      </c>
      <c r="U466" t="str">
        <f t="shared" si="7"/>
        <v/>
      </c>
      <c r="V466" s="39" t="str">
        <f>IF(I466="","",VLOOKUP(I466,'装备&amp;材料'!$D$1:$E$6,2,FALSE))</f>
        <v/>
      </c>
      <c r="W466" s="39">
        <v>20109</v>
      </c>
      <c r="X466" s="39" t="str">
        <f>VLOOKUP(W466,技能!A:B,2)</f>
        <v>特效战斗怒吼</v>
      </c>
      <c r="Y466" s="39">
        <v>4</v>
      </c>
    </row>
    <row r="467" spans="1:25">
      <c r="D467" s="61"/>
      <c r="E467" s="61"/>
      <c r="F467" s="61"/>
      <c r="G467" s="61"/>
      <c r="H467" s="61"/>
      <c r="L467" s="39" t="s">
        <v>84</v>
      </c>
      <c r="U467" t="str">
        <f t="shared" si="7"/>
        <v/>
      </c>
      <c r="V467" s="39" t="str">
        <f>IF(I467="","",VLOOKUP(I467,'装备&amp;材料'!$D$1:$E$6,2,FALSE))</f>
        <v/>
      </c>
      <c r="W467" s="39">
        <v>20127</v>
      </c>
      <c r="X467" s="39" t="str">
        <f>VLOOKUP(W467,技能!A:B,2)</f>
        <v>特效坚韧</v>
      </c>
      <c r="Y467" s="39">
        <v>5</v>
      </c>
    </row>
    <row r="468" spans="1:25">
      <c r="A468" s="39">
        <v>226</v>
      </c>
      <c r="B468" s="39" t="s">
        <v>168</v>
      </c>
      <c r="C468" s="39">
        <v>1105</v>
      </c>
      <c r="D468" s="61" t="s">
        <v>1423</v>
      </c>
      <c r="E468" s="61"/>
      <c r="F468" s="61"/>
      <c r="G468" s="61"/>
      <c r="H468" s="61"/>
      <c r="I468" s="39">
        <v>3</v>
      </c>
      <c r="J468" s="39">
        <v>3</v>
      </c>
      <c r="K468" s="39">
        <v>1</v>
      </c>
      <c r="L468" s="39">
        <v>162</v>
      </c>
      <c r="M468" s="84">
        <v>7</v>
      </c>
      <c r="N468" s="84">
        <v>7</v>
      </c>
      <c r="O468" s="84">
        <v>7</v>
      </c>
      <c r="P468" s="84">
        <v>7</v>
      </c>
      <c r="Q468" s="84">
        <v>83</v>
      </c>
      <c r="R468" s="84">
        <v>83</v>
      </c>
      <c r="S468" s="84">
        <v>40</v>
      </c>
      <c r="T468" s="84">
        <v>40</v>
      </c>
      <c r="U468">
        <f t="shared" si="7"/>
        <v>425</v>
      </c>
      <c r="V468" s="39">
        <f>IF(I468="","",VLOOKUP(I468,'装备&amp;材料'!$D$1:$E$6,2,FALSE))</f>
        <v>425</v>
      </c>
      <c r="W468" s="39">
        <v>20148</v>
      </c>
      <c r="X468" s="39" t="str">
        <f>VLOOKUP(W468,技能!A:B,2)</f>
        <v>风暴涌动</v>
      </c>
      <c r="Y468" s="39">
        <v>1</v>
      </c>
    </row>
    <row r="469" spans="1:25">
      <c r="D469" s="61"/>
      <c r="E469" s="61"/>
      <c r="F469" s="61"/>
      <c r="G469" s="61"/>
      <c r="H469" s="61"/>
      <c r="L469" s="39" t="s">
        <v>84</v>
      </c>
      <c r="U469" t="str">
        <f t="shared" si="7"/>
        <v/>
      </c>
      <c r="V469" s="39" t="str">
        <f>IF(I469="","",VLOOKUP(I469,'装备&amp;材料'!$D$1:$E$6,2,FALSE))</f>
        <v/>
      </c>
      <c r="W469" s="39">
        <v>20124</v>
      </c>
      <c r="X469" s="39" t="str">
        <f>VLOOKUP(W469,技能!A:B,2)</f>
        <v>特效迅捷</v>
      </c>
      <c r="Y469" s="39">
        <v>2</v>
      </c>
    </row>
    <row r="470" spans="1:25">
      <c r="D470" s="61"/>
      <c r="E470" s="61"/>
      <c r="F470" s="61"/>
      <c r="G470" s="61"/>
      <c r="H470" s="61"/>
      <c r="L470" s="39" t="s">
        <v>84</v>
      </c>
      <c r="U470" t="str">
        <f t="shared" si="7"/>
        <v/>
      </c>
      <c r="V470" s="39" t="str">
        <f>IF(I470="","",VLOOKUP(I470,'装备&amp;材料'!$D$1:$E$6,2,FALSE))</f>
        <v/>
      </c>
      <c r="W470" s="39">
        <v>20107</v>
      </c>
      <c r="X470" s="39" t="str">
        <f>VLOOKUP(W470,技能!A:B,2)</f>
        <v>特效战意</v>
      </c>
      <c r="Y470" s="39">
        <v>3</v>
      </c>
    </row>
    <row r="471" spans="1:25">
      <c r="D471" s="61"/>
      <c r="E471" s="61"/>
      <c r="F471" s="61"/>
      <c r="G471" s="61"/>
      <c r="H471" s="61"/>
      <c r="L471" s="39" t="s">
        <v>84</v>
      </c>
      <c r="U471" t="str">
        <f t="shared" ref="U471:U534" si="8">IF(I471="","",L471*0.5+M471*3+N471*3+O471*5+P471*3+Q471+R471+S471+T471)</f>
        <v/>
      </c>
      <c r="V471" s="39" t="str">
        <f>IF(I471="","",VLOOKUP(I471,'装备&amp;材料'!$D$1:$E$6,2,FALSE))</f>
        <v/>
      </c>
      <c r="W471" s="39">
        <v>20109</v>
      </c>
      <c r="X471" s="39" t="str">
        <f>VLOOKUP(W471,技能!A:B,2)</f>
        <v>特效战斗怒吼</v>
      </c>
      <c r="Y471" s="39">
        <v>4</v>
      </c>
    </row>
    <row r="472" spans="1:25">
      <c r="D472" s="61"/>
      <c r="E472" s="61"/>
      <c r="F472" s="61"/>
      <c r="G472" s="61"/>
      <c r="H472" s="61"/>
      <c r="L472" s="39" t="s">
        <v>84</v>
      </c>
      <c r="U472" t="str">
        <f t="shared" si="8"/>
        <v/>
      </c>
      <c r="V472" s="39" t="str">
        <f>IF(I472="","",VLOOKUP(I472,'装备&amp;材料'!$D$1:$E$6,2,FALSE))</f>
        <v/>
      </c>
      <c r="W472" s="39">
        <v>20127</v>
      </c>
      <c r="X472" s="39" t="str">
        <f>VLOOKUP(W472,技能!A:B,2)</f>
        <v>特效坚韧</v>
      </c>
      <c r="Y472" s="39">
        <v>5</v>
      </c>
    </row>
    <row r="473" spans="1:25" ht="27">
      <c r="A473" s="39">
        <v>227</v>
      </c>
      <c r="B473" s="39" t="s">
        <v>169</v>
      </c>
      <c r="C473" s="39">
        <v>107</v>
      </c>
      <c r="D473" s="61" t="s">
        <v>1455</v>
      </c>
      <c r="E473" s="61"/>
      <c r="F473" s="61"/>
      <c r="G473" s="61"/>
      <c r="H473" s="61"/>
      <c r="I473" s="39">
        <v>2</v>
      </c>
      <c r="J473" s="39">
        <v>3</v>
      </c>
      <c r="K473" s="39">
        <v>1</v>
      </c>
      <c r="L473" s="39">
        <v>170</v>
      </c>
      <c r="M473" s="86">
        <v>5</v>
      </c>
      <c r="N473" s="86">
        <v>5</v>
      </c>
      <c r="O473" s="86">
        <v>6</v>
      </c>
      <c r="P473" s="86">
        <v>6</v>
      </c>
      <c r="Q473" s="86">
        <v>71</v>
      </c>
      <c r="R473" s="86">
        <v>71</v>
      </c>
      <c r="S473" s="86">
        <v>35</v>
      </c>
      <c r="T473" s="86">
        <v>35</v>
      </c>
      <c r="U473">
        <f t="shared" si="8"/>
        <v>375</v>
      </c>
      <c r="V473" s="39">
        <f>IF(I473="","",VLOOKUP(I473,'装备&amp;材料'!$D$1:$E$6,2,FALSE))</f>
        <v>375</v>
      </c>
      <c r="W473" s="39">
        <v>20147</v>
      </c>
      <c r="X473" s="39" t="str">
        <f>VLOOKUP(W473,技能!A:B,2)</f>
        <v>雷霆践踏</v>
      </c>
      <c r="Y473" s="39">
        <v>1</v>
      </c>
    </row>
    <row r="474" spans="1:25">
      <c r="D474" s="61"/>
      <c r="E474" s="61"/>
      <c r="F474" s="61"/>
      <c r="G474" s="61"/>
      <c r="H474" s="61"/>
      <c r="L474" s="39" t="s">
        <v>84</v>
      </c>
      <c r="U474" t="str">
        <f t="shared" si="8"/>
        <v/>
      </c>
      <c r="V474" s="39" t="str">
        <f>IF(I474="","",VLOOKUP(I474,'装备&amp;材料'!$D$1:$E$6,2,FALSE))</f>
        <v/>
      </c>
      <c r="W474" s="39">
        <v>20123</v>
      </c>
      <c r="X474" s="39" t="str">
        <f>VLOOKUP(W474,技能!A:B,2)</f>
        <v>强效迅捷</v>
      </c>
      <c r="Y474" s="39">
        <v>2</v>
      </c>
    </row>
    <row r="475" spans="1:25">
      <c r="D475" s="61"/>
      <c r="E475" s="61"/>
      <c r="F475" s="61"/>
      <c r="G475" s="61"/>
      <c r="H475" s="61"/>
      <c r="L475" s="39" t="s">
        <v>84</v>
      </c>
      <c r="U475" t="str">
        <f t="shared" si="8"/>
        <v/>
      </c>
      <c r="V475" s="39" t="str">
        <f>IF(I475="","",VLOOKUP(I475,'装备&amp;材料'!$D$1:$E$6,2,FALSE))</f>
        <v/>
      </c>
      <c r="W475" s="39">
        <v>20106</v>
      </c>
      <c r="X475" s="39" t="str">
        <f>VLOOKUP(W475,技能!A:B,2)</f>
        <v>强效战意</v>
      </c>
      <c r="Y475" s="39">
        <v>3</v>
      </c>
    </row>
    <row r="476" spans="1:25">
      <c r="D476" s="61"/>
      <c r="E476" s="61"/>
      <c r="F476" s="61"/>
      <c r="G476" s="61"/>
      <c r="H476" s="61"/>
      <c r="L476" s="39" t="s">
        <v>84</v>
      </c>
      <c r="U476" t="str">
        <f t="shared" si="8"/>
        <v/>
      </c>
      <c r="V476" s="39" t="str">
        <f>IF(I476="","",VLOOKUP(I476,'装备&amp;材料'!$D$1:$E$6,2,FALSE))</f>
        <v/>
      </c>
      <c r="W476" s="39">
        <v>20108</v>
      </c>
      <c r="X476" s="39" t="str">
        <f>VLOOKUP(W476,技能!A:B,2)</f>
        <v>强效战斗怒吼</v>
      </c>
      <c r="Y476" s="39">
        <v>4</v>
      </c>
    </row>
    <row r="477" spans="1:25">
      <c r="D477" s="61"/>
      <c r="E477" s="61"/>
      <c r="F477" s="61"/>
      <c r="G477" s="61"/>
      <c r="H477" s="61"/>
      <c r="L477" s="39" t="s">
        <v>84</v>
      </c>
      <c r="U477" t="str">
        <f t="shared" si="8"/>
        <v/>
      </c>
      <c r="V477" s="39" t="str">
        <f>IF(I477="","",VLOOKUP(I477,'装备&amp;材料'!$D$1:$E$6,2,FALSE))</f>
        <v/>
      </c>
      <c r="W477" s="39">
        <v>20110</v>
      </c>
      <c r="X477" s="39" t="str">
        <f>VLOOKUP(W477,技能!A:B,2)</f>
        <v>强效命令怒吼</v>
      </c>
      <c r="Y477" s="39">
        <v>5</v>
      </c>
    </row>
    <row r="478" spans="1:25" ht="27">
      <c r="A478" s="39">
        <v>228</v>
      </c>
      <c r="B478" s="39" t="s">
        <v>170</v>
      </c>
      <c r="C478" s="39">
        <v>108</v>
      </c>
      <c r="D478" s="61" t="s">
        <v>1456</v>
      </c>
      <c r="E478" s="61"/>
      <c r="F478" s="61"/>
      <c r="G478" s="61"/>
      <c r="H478" s="61"/>
      <c r="I478" s="39">
        <v>2</v>
      </c>
      <c r="J478" s="39">
        <v>3</v>
      </c>
      <c r="K478" s="39">
        <v>1</v>
      </c>
      <c r="L478" s="39">
        <v>170</v>
      </c>
      <c r="M478" s="86">
        <v>5</v>
      </c>
      <c r="N478" s="86">
        <v>5</v>
      </c>
      <c r="O478" s="86">
        <v>6</v>
      </c>
      <c r="P478" s="86">
        <v>6</v>
      </c>
      <c r="Q478" s="86">
        <v>71</v>
      </c>
      <c r="R478" s="86">
        <v>71</v>
      </c>
      <c r="S478" s="86">
        <v>35</v>
      </c>
      <c r="T478" s="86">
        <v>35</v>
      </c>
      <c r="U478">
        <f t="shared" si="8"/>
        <v>375</v>
      </c>
      <c r="V478" s="39">
        <f>IF(I478="","",VLOOKUP(I478,'装备&amp;材料'!$D$1:$E$6,2,FALSE))</f>
        <v>375</v>
      </c>
      <c r="W478" s="39">
        <v>20147</v>
      </c>
      <c r="X478" s="39" t="str">
        <f>VLOOKUP(W478,技能!A:B,2)</f>
        <v>雷霆践踏</v>
      </c>
      <c r="Y478" s="39">
        <v>1</v>
      </c>
    </row>
    <row r="479" spans="1:25">
      <c r="D479" s="61"/>
      <c r="E479" s="61"/>
      <c r="F479" s="61"/>
      <c r="G479" s="61"/>
      <c r="H479" s="61"/>
      <c r="L479" s="39" t="s">
        <v>84</v>
      </c>
      <c r="U479" t="str">
        <f t="shared" si="8"/>
        <v/>
      </c>
      <c r="V479" s="39" t="str">
        <f>IF(I479="","",VLOOKUP(I479,'装备&amp;材料'!$D$1:$E$6,2,FALSE))</f>
        <v/>
      </c>
      <c r="W479" s="39">
        <v>20123</v>
      </c>
      <c r="X479" s="39" t="str">
        <f>VLOOKUP(W479,技能!A:B,2)</f>
        <v>强效迅捷</v>
      </c>
      <c r="Y479" s="39">
        <v>2</v>
      </c>
    </row>
    <row r="480" spans="1:25">
      <c r="D480" s="61"/>
      <c r="E480" s="61"/>
      <c r="F480" s="61"/>
      <c r="G480" s="61"/>
      <c r="H480" s="61"/>
      <c r="L480" s="39" t="s">
        <v>84</v>
      </c>
      <c r="U480" t="str">
        <f t="shared" si="8"/>
        <v/>
      </c>
      <c r="V480" s="39" t="str">
        <f>IF(I480="","",VLOOKUP(I480,'装备&amp;材料'!$D$1:$E$6,2,FALSE))</f>
        <v/>
      </c>
      <c r="W480" s="39">
        <v>20106</v>
      </c>
      <c r="X480" s="39" t="str">
        <f>VLOOKUP(W480,技能!A:B,2)</f>
        <v>强效战意</v>
      </c>
      <c r="Y480" s="39">
        <v>3</v>
      </c>
    </row>
    <row r="481" spans="1:25">
      <c r="D481" s="61"/>
      <c r="E481" s="61"/>
      <c r="F481" s="61"/>
      <c r="G481" s="61"/>
      <c r="H481" s="61"/>
      <c r="L481" s="39" t="s">
        <v>84</v>
      </c>
      <c r="U481" t="str">
        <f t="shared" si="8"/>
        <v/>
      </c>
      <c r="V481" s="39" t="str">
        <f>IF(I481="","",VLOOKUP(I481,'装备&amp;材料'!$D$1:$E$6,2,FALSE))</f>
        <v/>
      </c>
      <c r="W481" s="39">
        <v>20108</v>
      </c>
      <c r="X481" s="39" t="str">
        <f>VLOOKUP(W481,技能!A:B,2)</f>
        <v>强效战斗怒吼</v>
      </c>
      <c r="Y481" s="39">
        <v>4</v>
      </c>
    </row>
    <row r="482" spans="1:25">
      <c r="D482" s="61"/>
      <c r="E482" s="61"/>
      <c r="F482" s="61"/>
      <c r="G482" s="61"/>
      <c r="H482" s="61"/>
      <c r="L482" s="39" t="s">
        <v>84</v>
      </c>
      <c r="U482" t="str">
        <f t="shared" si="8"/>
        <v/>
      </c>
      <c r="V482" s="39" t="str">
        <f>IF(I482="","",VLOOKUP(I482,'装备&amp;材料'!$D$1:$E$6,2,FALSE))</f>
        <v/>
      </c>
      <c r="W482" s="39">
        <v>20110</v>
      </c>
      <c r="X482" s="39" t="str">
        <f>VLOOKUP(W482,技能!A:B,2)</f>
        <v>强效命令怒吼</v>
      </c>
      <c r="Y482" s="39">
        <v>5</v>
      </c>
    </row>
    <row r="483" spans="1:25">
      <c r="A483" s="39">
        <v>229</v>
      </c>
      <c r="B483" s="39" t="s">
        <v>171</v>
      </c>
      <c r="C483" s="39">
        <v>118</v>
      </c>
      <c r="D483" s="61" t="s">
        <v>1424</v>
      </c>
      <c r="E483" s="61"/>
      <c r="F483" s="61"/>
      <c r="G483" s="61"/>
      <c r="H483" s="61"/>
      <c r="I483" s="39">
        <v>1</v>
      </c>
      <c r="J483" s="39">
        <v>3</v>
      </c>
      <c r="K483" s="39">
        <v>1</v>
      </c>
      <c r="L483" s="39">
        <v>166</v>
      </c>
      <c r="M483" s="85">
        <v>3</v>
      </c>
      <c r="N483" s="85">
        <v>3</v>
      </c>
      <c r="O483" s="85">
        <v>4</v>
      </c>
      <c r="P483" s="85">
        <v>4</v>
      </c>
      <c r="Q483" s="85">
        <v>66</v>
      </c>
      <c r="R483" s="85">
        <v>66</v>
      </c>
      <c r="S483" s="85">
        <v>30</v>
      </c>
      <c r="T483" s="85">
        <v>30</v>
      </c>
      <c r="U483">
        <f t="shared" si="8"/>
        <v>325</v>
      </c>
      <c r="V483" s="39">
        <f>IF(I483="","",VLOOKUP(I483,'装备&amp;材料'!$D$1:$E$6,2,FALSE))</f>
        <v>325</v>
      </c>
      <c r="W483" s="39">
        <v>20146</v>
      </c>
      <c r="X483" s="39" t="str">
        <f>VLOOKUP(W483,技能!A:B,2)</f>
        <v>闪电冲击</v>
      </c>
      <c r="Y483" s="39">
        <v>1</v>
      </c>
    </row>
    <row r="484" spans="1:25">
      <c r="D484" s="61"/>
      <c r="E484" s="61"/>
      <c r="F484" s="61"/>
      <c r="G484" s="61"/>
      <c r="H484" s="61"/>
      <c r="L484" s="39" t="s">
        <v>84</v>
      </c>
      <c r="U484" t="str">
        <f t="shared" si="8"/>
        <v/>
      </c>
      <c r="V484" s="39" t="str">
        <f>IF(I484="","",VLOOKUP(I484,'装备&amp;材料'!$D$1:$E$6,2,FALSE))</f>
        <v/>
      </c>
      <c r="W484" s="39">
        <v>20122</v>
      </c>
      <c r="X484" s="39" t="str">
        <f>VLOOKUP(W484,技能!A:B,2)</f>
        <v>迅捷</v>
      </c>
      <c r="Y484" s="39">
        <v>2</v>
      </c>
    </row>
    <row r="485" spans="1:25">
      <c r="D485" s="61"/>
      <c r="E485" s="61"/>
      <c r="F485" s="61"/>
      <c r="G485" s="61"/>
      <c r="H485" s="61"/>
      <c r="L485" s="39" t="s">
        <v>84</v>
      </c>
      <c r="U485" t="str">
        <f t="shared" si="8"/>
        <v/>
      </c>
      <c r="V485" s="39" t="str">
        <f>IF(I485="","",VLOOKUP(I485,'装备&amp;材料'!$D$1:$E$6,2,FALSE))</f>
        <v/>
      </c>
      <c r="W485" s="39">
        <v>20103</v>
      </c>
      <c r="X485" s="39" t="str">
        <f>VLOOKUP(W485,技能!A:B,2)</f>
        <v>战意</v>
      </c>
      <c r="Y485" s="39">
        <v>3</v>
      </c>
    </row>
    <row r="486" spans="1:25">
      <c r="D486" s="61"/>
      <c r="E486" s="61"/>
      <c r="F486" s="61"/>
      <c r="G486" s="61"/>
      <c r="H486" s="61"/>
      <c r="L486" s="39" t="s">
        <v>84</v>
      </c>
      <c r="U486" t="str">
        <f t="shared" si="8"/>
        <v/>
      </c>
      <c r="V486" s="39" t="str">
        <f>IF(I486="","",VLOOKUP(I486,'装备&amp;材料'!$D$1:$E$6,2,FALSE))</f>
        <v/>
      </c>
      <c r="W486" s="39">
        <v>20104</v>
      </c>
      <c r="X486" s="39" t="str">
        <f>VLOOKUP(W486,技能!A:B,2)</f>
        <v>战斗怒吼</v>
      </c>
      <c r="Y486" s="39">
        <v>4</v>
      </c>
    </row>
    <row r="487" spans="1:25">
      <c r="D487" s="61"/>
      <c r="E487" s="61"/>
      <c r="F487" s="61"/>
      <c r="G487" s="61"/>
      <c r="H487" s="61"/>
      <c r="L487" s="39" t="s">
        <v>84</v>
      </c>
      <c r="U487" t="str">
        <f t="shared" si="8"/>
        <v/>
      </c>
      <c r="V487" s="39" t="str">
        <f>IF(I487="","",VLOOKUP(I487,'装备&amp;材料'!$D$1:$E$6,2,FALSE))</f>
        <v/>
      </c>
      <c r="W487" s="39">
        <v>20105</v>
      </c>
      <c r="X487" s="39" t="str">
        <f>VLOOKUP(W487,技能!A:B,2)</f>
        <v>命令怒吼</v>
      </c>
      <c r="Y487" s="39">
        <v>5</v>
      </c>
    </row>
    <row r="488" spans="1:25">
      <c r="A488" s="39">
        <v>230</v>
      </c>
      <c r="B488" s="39" t="s">
        <v>172</v>
      </c>
      <c r="C488" s="39">
        <v>119</v>
      </c>
      <c r="D488" s="61" t="s">
        <v>1425</v>
      </c>
      <c r="E488" s="61"/>
      <c r="F488" s="61"/>
      <c r="G488" s="61"/>
      <c r="H488" s="61"/>
      <c r="I488" s="39">
        <v>1</v>
      </c>
      <c r="J488" s="39">
        <v>3</v>
      </c>
      <c r="K488" s="39">
        <v>1</v>
      </c>
      <c r="L488" s="39">
        <v>166</v>
      </c>
      <c r="M488" s="85">
        <v>3</v>
      </c>
      <c r="N488" s="85">
        <v>3</v>
      </c>
      <c r="O488" s="85">
        <v>4</v>
      </c>
      <c r="P488" s="85">
        <v>4</v>
      </c>
      <c r="Q488" s="85">
        <v>66</v>
      </c>
      <c r="R488" s="85">
        <v>66</v>
      </c>
      <c r="S488" s="85">
        <v>30</v>
      </c>
      <c r="T488" s="85">
        <v>30</v>
      </c>
      <c r="U488">
        <f t="shared" si="8"/>
        <v>325</v>
      </c>
      <c r="V488" s="39">
        <f>IF(I488="","",VLOOKUP(I488,'装备&amp;材料'!$D$1:$E$6,2,FALSE))</f>
        <v>325</v>
      </c>
      <c r="W488" s="39">
        <v>20146</v>
      </c>
      <c r="X488" s="39" t="str">
        <f>VLOOKUP(W488,技能!A:B,2)</f>
        <v>闪电冲击</v>
      </c>
      <c r="Y488" s="39">
        <v>1</v>
      </c>
    </row>
    <row r="489" spans="1:25">
      <c r="L489" s="39" t="s">
        <v>84</v>
      </c>
      <c r="U489" t="str">
        <f t="shared" si="8"/>
        <v/>
      </c>
      <c r="V489" s="39" t="str">
        <f>IF(I489="","",VLOOKUP(I489,'装备&amp;材料'!$D$1:$E$6,2,FALSE))</f>
        <v/>
      </c>
      <c r="W489" s="39">
        <v>20122</v>
      </c>
      <c r="X489" s="39" t="str">
        <f>VLOOKUP(W489,技能!A:B,2)</f>
        <v>迅捷</v>
      </c>
      <c r="Y489" s="39">
        <v>2</v>
      </c>
    </row>
    <row r="490" spans="1:25">
      <c r="L490" s="39" t="s">
        <v>84</v>
      </c>
      <c r="U490" t="str">
        <f t="shared" si="8"/>
        <v/>
      </c>
      <c r="V490" s="39" t="str">
        <f>IF(I490="","",VLOOKUP(I490,'装备&amp;材料'!$D$1:$E$6,2,FALSE))</f>
        <v/>
      </c>
      <c r="W490" s="39">
        <v>20103</v>
      </c>
      <c r="X490" s="39" t="str">
        <f>VLOOKUP(W490,技能!A:B,2)</f>
        <v>战意</v>
      </c>
      <c r="Y490" s="39">
        <v>3</v>
      </c>
    </row>
    <row r="491" spans="1:25">
      <c r="L491" s="39" t="s">
        <v>84</v>
      </c>
      <c r="U491" t="str">
        <f t="shared" si="8"/>
        <v/>
      </c>
      <c r="V491" s="39" t="str">
        <f>IF(I491="","",VLOOKUP(I491,'装备&amp;材料'!$D$1:$E$6,2,FALSE))</f>
        <v/>
      </c>
      <c r="W491" s="39">
        <v>20104</v>
      </c>
      <c r="X491" s="39" t="str">
        <f>VLOOKUP(W491,技能!A:B,2)</f>
        <v>战斗怒吼</v>
      </c>
      <c r="Y491" s="39">
        <v>4</v>
      </c>
    </row>
    <row r="492" spans="1:25">
      <c r="L492" s="39" t="s">
        <v>84</v>
      </c>
      <c r="U492" t="str">
        <f t="shared" si="8"/>
        <v/>
      </c>
      <c r="V492" s="39" t="str">
        <f>IF(I492="","",VLOOKUP(I492,'装备&amp;材料'!$D$1:$E$6,2,FALSE))</f>
        <v/>
      </c>
      <c r="W492" s="39">
        <v>20105</v>
      </c>
      <c r="X492" s="39" t="str">
        <f>VLOOKUP(W492,技能!A:B,2)</f>
        <v>命令怒吼</v>
      </c>
      <c r="Y492" s="39">
        <v>5</v>
      </c>
    </row>
    <row r="493" spans="1:25" ht="27">
      <c r="A493" s="39">
        <v>231</v>
      </c>
      <c r="B493" s="39" t="s">
        <v>633</v>
      </c>
      <c r="C493" s="39">
        <v>301</v>
      </c>
      <c r="D493" s="40" t="s">
        <v>1435</v>
      </c>
      <c r="E493" s="40" t="s">
        <v>6012</v>
      </c>
      <c r="I493" s="39">
        <v>3</v>
      </c>
      <c r="J493" s="39">
        <v>0</v>
      </c>
      <c r="K493" s="39">
        <v>1</v>
      </c>
      <c r="L493" s="39">
        <v>150</v>
      </c>
      <c r="M493" s="84">
        <v>7</v>
      </c>
      <c r="N493" s="84">
        <v>7</v>
      </c>
      <c r="O493" s="84">
        <v>7</v>
      </c>
      <c r="P493" s="84">
        <v>7</v>
      </c>
      <c r="Q493" s="84">
        <v>88</v>
      </c>
      <c r="R493" s="84">
        <v>88</v>
      </c>
      <c r="S493" s="84">
        <v>38</v>
      </c>
      <c r="T493" s="84">
        <v>38</v>
      </c>
      <c r="U493">
        <f t="shared" si="8"/>
        <v>425</v>
      </c>
      <c r="V493" s="39">
        <f>IF(I493="","",VLOOKUP(I493,'装备&amp;材料'!$D$1:$E$6,2,FALSE))</f>
        <v>425</v>
      </c>
      <c r="W493" s="39">
        <v>23101</v>
      </c>
      <c r="X493" s="39" t="str">
        <f>VLOOKUP(W493,技能!A:B,2)</f>
        <v>方块冲击</v>
      </c>
      <c r="Y493" s="39">
        <v>1</v>
      </c>
    </row>
    <row r="494" spans="1:25">
      <c r="L494" s="39" t="s">
        <v>84</v>
      </c>
      <c r="U494" t="str">
        <f t="shared" si="8"/>
        <v/>
      </c>
      <c r="V494" s="39" t="str">
        <f>IF(I494="","",VLOOKUP(I494,'装备&amp;材料'!$D$1:$E$6,2,FALSE))</f>
        <v/>
      </c>
      <c r="W494" s="39">
        <v>23102</v>
      </c>
      <c r="X494" s="39" t="str">
        <f>VLOOKUP(W494,技能!A:B,2)</f>
        <v>院长之力</v>
      </c>
      <c r="Y494" s="39">
        <v>2</v>
      </c>
    </row>
    <row r="495" spans="1:25">
      <c r="L495" s="39" t="s">
        <v>84</v>
      </c>
      <c r="U495" t="str">
        <f t="shared" si="8"/>
        <v/>
      </c>
      <c r="V495" s="39" t="str">
        <f>IF(I495="","",VLOOKUP(I495,'装备&amp;材料'!$D$1:$E$6,2,FALSE))</f>
        <v/>
      </c>
      <c r="W495" s="39">
        <v>23103</v>
      </c>
      <c r="X495" s="39" t="str">
        <f>VLOOKUP(W495,技能!A:B,2)</f>
        <v>院长壁垒</v>
      </c>
      <c r="Y495" s="39">
        <v>3</v>
      </c>
    </row>
    <row r="496" spans="1:25">
      <c r="L496" s="39" t="s">
        <v>84</v>
      </c>
      <c r="U496" t="str">
        <f t="shared" si="8"/>
        <v/>
      </c>
      <c r="V496" s="39" t="str">
        <f>IF(I496="","",VLOOKUP(I496,'装备&amp;材料'!$D$1:$E$6,2,FALSE))</f>
        <v/>
      </c>
      <c r="W496" s="39">
        <v>23104</v>
      </c>
      <c r="X496" s="39" t="str">
        <f>VLOOKUP(W496,技能!A:B,2)</f>
        <v>来自北方的礼物</v>
      </c>
      <c r="Y496" s="39">
        <v>4</v>
      </c>
    </row>
    <row r="497" spans="1:25">
      <c r="L497" s="39" t="s">
        <v>84</v>
      </c>
      <c r="U497" t="str">
        <f t="shared" si="8"/>
        <v/>
      </c>
      <c r="V497" s="39" t="str">
        <f>IF(I497="","",VLOOKUP(I497,'装备&amp;材料'!$D$1:$E$6,2,FALSE))</f>
        <v/>
      </c>
      <c r="W497" s="39">
        <v>23105</v>
      </c>
      <c r="X497" s="39" t="str">
        <f>VLOOKUP(W497,技能!A:B,2)</f>
        <v>方之世界</v>
      </c>
      <c r="Y497" s="39">
        <v>5</v>
      </c>
    </row>
    <row r="498" spans="1:25">
      <c r="A498" s="39">
        <v>232</v>
      </c>
      <c r="B498" s="39" t="s">
        <v>634</v>
      </c>
      <c r="C498" s="39">
        <v>302</v>
      </c>
      <c r="D498" s="40" t="s">
        <v>1426</v>
      </c>
      <c r="E498" s="40" t="s">
        <v>6012</v>
      </c>
      <c r="I498" s="39">
        <v>3</v>
      </c>
      <c r="J498" s="39">
        <v>0</v>
      </c>
      <c r="K498" s="39">
        <v>1</v>
      </c>
      <c r="L498" s="39">
        <v>150</v>
      </c>
      <c r="M498" s="84">
        <v>7</v>
      </c>
      <c r="N498" s="84">
        <v>7</v>
      </c>
      <c r="O498" s="84">
        <v>7</v>
      </c>
      <c r="P498" s="84">
        <v>7</v>
      </c>
      <c r="Q498" s="84">
        <v>88</v>
      </c>
      <c r="R498" s="84">
        <v>88</v>
      </c>
      <c r="S498" s="84">
        <v>38</v>
      </c>
      <c r="T498" s="84">
        <v>38</v>
      </c>
      <c r="U498">
        <f t="shared" si="8"/>
        <v>425</v>
      </c>
      <c r="V498" s="39">
        <f>IF(I498="","",VLOOKUP(I498,'装备&amp;材料'!$D$1:$E$6,2,FALSE))</f>
        <v>425</v>
      </c>
      <c r="W498" s="39">
        <v>23201</v>
      </c>
      <c r="X498" s="39" t="str">
        <f>VLOOKUP(W498,技能!A:B,2)</f>
        <v>大福弹射</v>
      </c>
      <c r="Y498" s="39">
        <v>1</v>
      </c>
    </row>
    <row r="499" spans="1:25">
      <c r="L499" s="39" t="s">
        <v>84</v>
      </c>
      <c r="U499" t="str">
        <f t="shared" si="8"/>
        <v/>
      </c>
      <c r="V499" s="39" t="str">
        <f>IF(I499="","",VLOOKUP(I499,'装备&amp;材料'!$D$1:$E$6,2,FALSE))</f>
        <v/>
      </c>
      <c r="W499" s="39">
        <v>23202</v>
      </c>
      <c r="X499" s="39" t="str">
        <f>VLOOKUP(W499,技能!A:B,2)</f>
        <v>黄金大福</v>
      </c>
      <c r="Y499" s="39">
        <v>2</v>
      </c>
    </row>
    <row r="500" spans="1:25">
      <c r="L500" s="39" t="s">
        <v>84</v>
      </c>
      <c r="U500" t="str">
        <f t="shared" si="8"/>
        <v/>
      </c>
      <c r="V500" s="39" t="str">
        <f>IF(I500="","",VLOOKUP(I500,'装备&amp;材料'!$D$1:$E$6,2,FALSE))</f>
        <v/>
      </c>
      <c r="W500" s="39">
        <v>23203</v>
      </c>
      <c r="X500" s="39" t="str">
        <f>VLOOKUP(W500,技能!A:B,2)</f>
        <v>大福派送</v>
      </c>
      <c r="Y500" s="39">
        <v>3</v>
      </c>
    </row>
    <row r="501" spans="1:25">
      <c r="L501" s="39" t="s">
        <v>84</v>
      </c>
      <c r="U501" t="str">
        <f t="shared" si="8"/>
        <v/>
      </c>
      <c r="V501" s="39" t="str">
        <f>IF(I501="","",VLOOKUP(I501,'装备&amp;材料'!$D$1:$E$6,2,FALSE))</f>
        <v/>
      </c>
      <c r="W501" s="39">
        <v>23204</v>
      </c>
      <c r="X501" s="39" t="str">
        <f>VLOOKUP(W501,技能!A:B,2)</f>
        <v>大福世界</v>
      </c>
      <c r="Y501" s="39">
        <v>4</v>
      </c>
    </row>
    <row r="502" spans="1:25">
      <c r="L502" s="39" t="s">
        <v>84</v>
      </c>
      <c r="U502" t="str">
        <f t="shared" si="8"/>
        <v/>
      </c>
      <c r="V502" s="39" t="str">
        <f>IF(I502="","",VLOOKUP(I502,'装备&amp;材料'!$D$1:$E$6,2,FALSE))</f>
        <v/>
      </c>
      <c r="W502" s="39">
        <v>23205</v>
      </c>
      <c r="X502" s="39" t="str">
        <f>VLOOKUP(W502,技能!A:B,2)</f>
        <v>福</v>
      </c>
      <c r="Y502" s="39">
        <v>5</v>
      </c>
    </row>
    <row r="503" spans="1:25">
      <c r="A503" s="39">
        <v>233</v>
      </c>
      <c r="B503" s="39" t="s">
        <v>635</v>
      </c>
      <c r="C503" s="39">
        <v>104</v>
      </c>
      <c r="D503" s="40" t="s">
        <v>1427</v>
      </c>
      <c r="I503" s="39">
        <v>2</v>
      </c>
      <c r="J503" s="39">
        <v>0</v>
      </c>
      <c r="K503" s="39">
        <v>1</v>
      </c>
      <c r="L503" s="39">
        <v>146</v>
      </c>
      <c r="M503" s="86">
        <v>6</v>
      </c>
      <c r="N503" s="86">
        <v>6</v>
      </c>
      <c r="O503" s="86">
        <v>6</v>
      </c>
      <c r="P503" s="86">
        <v>6</v>
      </c>
      <c r="Q503" s="86">
        <v>78</v>
      </c>
      <c r="R503" s="86">
        <v>78</v>
      </c>
      <c r="S503" s="86">
        <v>31</v>
      </c>
      <c r="T503" s="86">
        <v>31</v>
      </c>
      <c r="U503">
        <f t="shared" si="8"/>
        <v>375</v>
      </c>
      <c r="V503" s="39">
        <f>IF(I503="","",VLOOKUP(I503,'装备&amp;材料'!$D$1:$E$6,2,FALSE))</f>
        <v>375</v>
      </c>
      <c r="W503" s="39">
        <v>23301</v>
      </c>
      <c r="X503" s="39" t="str">
        <f>VLOOKUP(W503,技能!A:B,2)</f>
        <v>瞎几把打</v>
      </c>
      <c r="Y503" s="39">
        <v>1</v>
      </c>
    </row>
    <row r="504" spans="1:25">
      <c r="L504" s="39" t="s">
        <v>84</v>
      </c>
      <c r="U504" t="str">
        <f t="shared" si="8"/>
        <v/>
      </c>
      <c r="V504" s="39" t="str">
        <f>IF(I504="","",VLOOKUP(I504,'装备&amp;材料'!$D$1:$E$6,2,FALSE))</f>
        <v/>
      </c>
      <c r="W504" s="39">
        <v>23302</v>
      </c>
      <c r="X504" s="39" t="str">
        <f>VLOOKUP(W504,技能!A:B,2)</f>
        <v>塑料回收</v>
      </c>
      <c r="Y504" s="39">
        <v>2</v>
      </c>
    </row>
    <row r="505" spans="1:25">
      <c r="L505" s="39" t="s">
        <v>84</v>
      </c>
      <c r="U505" t="str">
        <f t="shared" si="8"/>
        <v/>
      </c>
      <c r="V505" s="39" t="str">
        <f>IF(I505="","",VLOOKUP(I505,'装备&amp;材料'!$D$1:$E$6,2,FALSE))</f>
        <v/>
      </c>
      <c r="W505" s="39">
        <v>23303</v>
      </c>
      <c r="X505" s="39" t="str">
        <f>VLOOKUP(W505,技能!A:B,2)</f>
        <v>重构</v>
      </c>
      <c r="Y505" s="39">
        <v>3</v>
      </c>
    </row>
    <row r="506" spans="1:25">
      <c r="L506" s="39" t="s">
        <v>84</v>
      </c>
      <c r="U506" t="str">
        <f t="shared" si="8"/>
        <v/>
      </c>
      <c r="V506" s="39" t="str">
        <f>IF(I506="","",VLOOKUP(I506,'装备&amp;材料'!$D$1:$E$6,2,FALSE))</f>
        <v/>
      </c>
      <c r="W506" s="39">
        <v>23304</v>
      </c>
      <c r="X506" s="39" t="str">
        <f>VLOOKUP(W506,技能!A:B,2)</f>
        <v>塑料勇士</v>
      </c>
      <c r="Y506" s="39">
        <v>4</v>
      </c>
    </row>
    <row r="507" spans="1:25">
      <c r="L507" s="39" t="s">
        <v>84</v>
      </c>
      <c r="U507" t="str">
        <f t="shared" si="8"/>
        <v/>
      </c>
      <c r="V507" s="39" t="str">
        <f>IF(I507="","",VLOOKUP(I507,'装备&amp;材料'!$D$1:$E$6,2,FALSE))</f>
        <v/>
      </c>
      <c r="W507" s="39">
        <v>23305</v>
      </c>
      <c r="X507" s="39" t="str">
        <f>VLOOKUP(W507,技能!A:B,2)</f>
        <v>高分粒子炮</v>
      </c>
      <c r="Y507" s="39">
        <v>5</v>
      </c>
    </row>
    <row r="508" spans="1:25" ht="54">
      <c r="A508" s="39">
        <v>234</v>
      </c>
      <c r="B508" s="39" t="s">
        <v>636</v>
      </c>
      <c r="C508" s="39">
        <v>304</v>
      </c>
      <c r="D508" s="40" t="s">
        <v>1544</v>
      </c>
      <c r="F508" s="40" t="s">
        <v>1543</v>
      </c>
      <c r="G508" s="40" t="s">
        <v>1541</v>
      </c>
      <c r="H508" s="40" t="s">
        <v>1542</v>
      </c>
      <c r="I508" s="39">
        <v>2</v>
      </c>
      <c r="J508" s="39">
        <v>0</v>
      </c>
      <c r="K508" s="39">
        <v>1</v>
      </c>
      <c r="L508" s="39">
        <v>146</v>
      </c>
      <c r="M508" s="86">
        <v>6</v>
      </c>
      <c r="N508" s="86">
        <v>6</v>
      </c>
      <c r="O508" s="86">
        <v>6</v>
      </c>
      <c r="P508" s="86">
        <v>6</v>
      </c>
      <c r="Q508" s="86">
        <v>78</v>
      </c>
      <c r="R508" s="86">
        <v>78</v>
      </c>
      <c r="S508" s="86">
        <v>31</v>
      </c>
      <c r="T508" s="86">
        <v>31</v>
      </c>
      <c r="U508">
        <f t="shared" si="8"/>
        <v>375</v>
      </c>
      <c r="V508" s="39">
        <f>IF(I508="","",VLOOKUP(I508,'装备&amp;材料'!$D$1:$E$6,2,FALSE))</f>
        <v>375</v>
      </c>
      <c r="W508" s="39">
        <v>23401</v>
      </c>
      <c r="X508" s="39" t="str">
        <f>VLOOKUP(W508,技能!A:B,2)</f>
        <v>键盘之力</v>
      </c>
      <c r="Y508" s="39">
        <v>1</v>
      </c>
    </row>
    <row r="509" spans="1:25">
      <c r="L509" s="39" t="s">
        <v>84</v>
      </c>
      <c r="U509" t="str">
        <f t="shared" si="8"/>
        <v/>
      </c>
      <c r="V509" s="39" t="str">
        <f>IF(I509="","",VLOOKUP(I509,'装备&amp;材料'!$D$1:$E$6,2,FALSE))</f>
        <v/>
      </c>
      <c r="W509" s="39">
        <v>23402</v>
      </c>
      <c r="X509" s="39" t="str">
        <f>VLOOKUP(W509,技能!A:B,2)</f>
        <v>编包</v>
      </c>
      <c r="Y509" s="39">
        <v>2</v>
      </c>
    </row>
    <row r="510" spans="1:25">
      <c r="L510" s="39" t="s">
        <v>84</v>
      </c>
      <c r="U510" t="str">
        <f t="shared" si="8"/>
        <v/>
      </c>
      <c r="V510" s="39" t="str">
        <f>IF(I510="","",VLOOKUP(I510,'装备&amp;材料'!$D$1:$E$6,2,FALSE))</f>
        <v/>
      </c>
      <c r="W510" s="39">
        <v>23403</v>
      </c>
      <c r="X510" s="39" t="str">
        <f>VLOOKUP(W510,技能!A:B,2)</f>
        <v>指令序列</v>
      </c>
      <c r="Y510" s="39">
        <v>3</v>
      </c>
    </row>
    <row r="511" spans="1:25">
      <c r="L511" s="39" t="s">
        <v>84</v>
      </c>
      <c r="U511" t="str">
        <f t="shared" si="8"/>
        <v/>
      </c>
      <c r="V511" s="39" t="str">
        <f>IF(I511="","",VLOOKUP(I511,'装备&amp;材料'!$D$1:$E$6,2,FALSE))</f>
        <v/>
      </c>
      <c r="W511" s="39">
        <v>23404</v>
      </c>
      <c r="X511" s="39" t="str">
        <f>VLOOKUP(W511,技能!A:B,2)</f>
        <v>源代码</v>
      </c>
      <c r="Y511" s="39">
        <v>4</v>
      </c>
    </row>
    <row r="512" spans="1:25" ht="14.25">
      <c r="L512" s="39" t="s">
        <v>84</v>
      </c>
      <c r="M512" s="46"/>
      <c r="N512" s="46"/>
      <c r="O512" s="46"/>
      <c r="P512" s="46"/>
      <c r="Q512" s="46"/>
      <c r="R512" s="46"/>
      <c r="S512" s="46"/>
      <c r="T512" s="46"/>
      <c r="U512" t="str">
        <f t="shared" si="8"/>
        <v/>
      </c>
      <c r="V512" s="39" t="str">
        <f>IF(I512="","",VLOOKUP(I512,'装备&amp;材料'!$D$1:$E$6,2,FALSE))</f>
        <v/>
      </c>
      <c r="W512" s="39">
        <v>23405</v>
      </c>
      <c r="X512" s="39" t="str">
        <f>VLOOKUP(W512,技能!A:B,2)</f>
        <v>终极编程术</v>
      </c>
      <c r="Y512" s="39">
        <v>5</v>
      </c>
    </row>
    <row r="513" spans="1:25" ht="14.25">
      <c r="A513" s="39">
        <v>235</v>
      </c>
      <c r="B513" s="39" t="s">
        <v>637</v>
      </c>
      <c r="C513" s="39">
        <v>305</v>
      </c>
      <c r="D513" s="40" t="s">
        <v>1545</v>
      </c>
      <c r="I513" s="39">
        <v>1</v>
      </c>
      <c r="J513" s="39">
        <v>0</v>
      </c>
      <c r="K513" s="39">
        <v>1</v>
      </c>
      <c r="L513" s="46">
        <v>142</v>
      </c>
      <c r="M513" s="85">
        <v>4</v>
      </c>
      <c r="N513" s="85">
        <v>4</v>
      </c>
      <c r="O513" s="85">
        <v>4</v>
      </c>
      <c r="P513" s="85">
        <v>4</v>
      </c>
      <c r="Q513" s="85">
        <v>73</v>
      </c>
      <c r="R513" s="85">
        <v>73</v>
      </c>
      <c r="S513" s="85">
        <v>26</v>
      </c>
      <c r="T513" s="85">
        <v>26</v>
      </c>
      <c r="U513">
        <f t="shared" si="8"/>
        <v>325</v>
      </c>
      <c r="V513" s="39">
        <f>IF(I513="","",VLOOKUP(I513,'装备&amp;材料'!$D$1:$E$6,2,FALSE))</f>
        <v>325</v>
      </c>
      <c r="W513" s="39">
        <v>23501</v>
      </c>
      <c r="X513" s="39" t="str">
        <f>VLOOKUP(W513,技能!A:B,2)</f>
        <v>挖金矿</v>
      </c>
      <c r="Y513" s="39">
        <v>1</v>
      </c>
    </row>
    <row r="514" spans="1:25">
      <c r="L514" s="39" t="s">
        <v>84</v>
      </c>
      <c r="U514" t="str">
        <f t="shared" si="8"/>
        <v/>
      </c>
      <c r="V514" s="39" t="str">
        <f>IF(I514="","",VLOOKUP(I514,'装备&amp;材料'!$D$1:$E$6,2,FALSE))</f>
        <v/>
      </c>
      <c r="W514" s="39">
        <v>23502</v>
      </c>
      <c r="X514" s="39" t="str">
        <f>VLOOKUP(W514,技能!A:B,2)</f>
        <v>放炸弹</v>
      </c>
      <c r="Y514" s="39">
        <v>2</v>
      </c>
    </row>
    <row r="515" spans="1:25">
      <c r="L515" s="39" t="s">
        <v>84</v>
      </c>
      <c r="U515" t="str">
        <f t="shared" si="8"/>
        <v/>
      </c>
      <c r="V515" s="39" t="str">
        <f>IF(I515="","",VLOOKUP(I515,'装备&amp;材料'!$D$1:$E$6,2,FALSE))</f>
        <v/>
      </c>
      <c r="W515" s="39">
        <v>23503</v>
      </c>
      <c r="X515" s="39" t="str">
        <f>VLOOKUP(W515,技能!A:B,2)</f>
        <v>淘金狂热</v>
      </c>
      <c r="Y515" s="39">
        <v>3</v>
      </c>
    </row>
    <row r="516" spans="1:25">
      <c r="L516" s="39" t="s">
        <v>84</v>
      </c>
      <c r="U516" t="str">
        <f t="shared" si="8"/>
        <v/>
      </c>
      <c r="V516" s="39" t="str">
        <f>IF(I516="","",VLOOKUP(I516,'装备&amp;材料'!$D$1:$E$6,2,FALSE))</f>
        <v/>
      </c>
      <c r="W516" s="39">
        <v>23504</v>
      </c>
      <c r="X516" s="39" t="str">
        <f>VLOOKUP(W516,技能!A:B,2)</f>
        <v>幸运</v>
      </c>
      <c r="Y516" s="39">
        <v>4</v>
      </c>
    </row>
    <row r="517" spans="1:25" ht="14.25">
      <c r="L517" s="39" t="s">
        <v>84</v>
      </c>
      <c r="M517" s="46"/>
      <c r="N517" s="46"/>
      <c r="O517" s="46"/>
      <c r="P517" s="46"/>
      <c r="Q517" s="46"/>
      <c r="R517" s="46"/>
      <c r="S517" s="46"/>
      <c r="T517" s="46"/>
      <c r="U517" t="str">
        <f t="shared" si="8"/>
        <v/>
      </c>
      <c r="V517" s="39" t="str">
        <f>IF(I517="","",VLOOKUP(I517,'装备&amp;材料'!$D$1:$E$6,2,FALSE))</f>
        <v/>
      </c>
      <c r="W517" s="39">
        <v>23505</v>
      </c>
      <c r="X517" s="39" t="str">
        <f>VLOOKUP(W517,技能!A:B,2)</f>
        <v>大力士</v>
      </c>
      <c r="Y517" s="39">
        <v>5</v>
      </c>
    </row>
    <row r="518" spans="1:25" ht="14.25">
      <c r="A518" s="39">
        <v>236</v>
      </c>
      <c r="B518" s="39" t="s">
        <v>638</v>
      </c>
      <c r="C518" s="39">
        <v>306</v>
      </c>
      <c r="D518" s="40" t="s">
        <v>1428</v>
      </c>
      <c r="I518" s="39">
        <v>1</v>
      </c>
      <c r="J518" s="39">
        <v>0</v>
      </c>
      <c r="K518" s="39">
        <v>1</v>
      </c>
      <c r="L518" s="46">
        <v>142</v>
      </c>
      <c r="M518" s="85">
        <v>4</v>
      </c>
      <c r="N518" s="85">
        <v>4</v>
      </c>
      <c r="O518" s="85">
        <v>4</v>
      </c>
      <c r="P518" s="85">
        <v>4</v>
      </c>
      <c r="Q518" s="85">
        <v>73</v>
      </c>
      <c r="R518" s="85">
        <v>73</v>
      </c>
      <c r="S518" s="85">
        <v>26</v>
      </c>
      <c r="T518" s="85">
        <v>26</v>
      </c>
      <c r="U518">
        <f t="shared" si="8"/>
        <v>325</v>
      </c>
      <c r="V518" s="39">
        <f>IF(I518="","",VLOOKUP(I518,'装备&amp;材料'!$D$1:$E$6,2,FALSE))</f>
        <v>325</v>
      </c>
      <c r="W518" s="39">
        <v>23601</v>
      </c>
      <c r="X518" s="39" t="str">
        <f>VLOOKUP(W518,技能!A:B,2)</f>
        <v>水上作战</v>
      </c>
      <c r="Y518" s="39">
        <v>1</v>
      </c>
    </row>
    <row r="519" spans="1:25">
      <c r="L519" s="39" t="s">
        <v>84</v>
      </c>
      <c r="U519" t="str">
        <f t="shared" si="8"/>
        <v/>
      </c>
      <c r="V519" s="39" t="str">
        <f>IF(I519="","",VLOOKUP(I519,'装备&amp;材料'!$D$1:$E$6,2,FALSE))</f>
        <v/>
      </c>
      <c r="W519" s="39">
        <v>23602</v>
      </c>
      <c r="X519" s="39" t="str">
        <f>VLOOKUP(W519,技能!A:B,2)</f>
        <v>迅捷</v>
      </c>
      <c r="Y519" s="39">
        <v>2</v>
      </c>
    </row>
    <row r="520" spans="1:25">
      <c r="L520" s="39" t="s">
        <v>84</v>
      </c>
      <c r="U520" t="str">
        <f t="shared" si="8"/>
        <v/>
      </c>
      <c r="V520" s="39" t="str">
        <f>IF(I520="","",VLOOKUP(I520,'装备&amp;材料'!$D$1:$E$6,2,FALSE))</f>
        <v/>
      </c>
      <c r="W520" s="39">
        <v>23603</v>
      </c>
      <c r="X520" s="39" t="str">
        <f>VLOOKUP(W520,技能!A:B,2)</f>
        <v>孤注一掷</v>
      </c>
      <c r="Y520" s="39">
        <v>3</v>
      </c>
    </row>
    <row r="521" spans="1:25">
      <c r="L521" s="39" t="s">
        <v>84</v>
      </c>
      <c r="U521" t="str">
        <f t="shared" si="8"/>
        <v/>
      </c>
      <c r="V521" s="39" t="str">
        <f>IF(I521="","",VLOOKUP(I521,'装备&amp;材料'!$D$1:$E$6,2,FALSE))</f>
        <v/>
      </c>
      <c r="W521" s="39">
        <v>23604</v>
      </c>
      <c r="X521" s="39" t="str">
        <f>VLOOKUP(W521,技能!A:B,2)</f>
        <v>海洋之心</v>
      </c>
      <c r="Y521" s="39">
        <v>4</v>
      </c>
    </row>
    <row r="522" spans="1:25">
      <c r="L522" s="39" t="s">
        <v>84</v>
      </c>
      <c r="U522" t="str">
        <f t="shared" si="8"/>
        <v/>
      </c>
      <c r="V522" s="39" t="str">
        <f>IF(I522="","",VLOOKUP(I522,'装备&amp;材料'!$D$1:$E$6,2,FALSE))</f>
        <v/>
      </c>
      <c r="W522" s="39">
        <v>23605</v>
      </c>
      <c r="X522" s="39" t="str">
        <f>VLOOKUP(W522,技能!A:B,2)</f>
        <v>开拓者</v>
      </c>
      <c r="Y522" s="39">
        <v>5</v>
      </c>
    </row>
    <row r="523" spans="1:25">
      <c r="A523" s="39">
        <v>237</v>
      </c>
      <c r="B523" s="39" t="s">
        <v>639</v>
      </c>
      <c r="C523" s="39">
        <v>307</v>
      </c>
      <c r="D523" s="40" t="s">
        <v>1429</v>
      </c>
      <c r="I523" s="39">
        <v>3</v>
      </c>
      <c r="J523" s="39">
        <v>4</v>
      </c>
      <c r="K523" s="39">
        <v>1</v>
      </c>
      <c r="L523" s="39">
        <v>138</v>
      </c>
      <c r="M523" s="84">
        <v>8</v>
      </c>
      <c r="N523" s="84">
        <v>8</v>
      </c>
      <c r="O523" s="84">
        <v>6</v>
      </c>
      <c r="P523" s="84">
        <v>6</v>
      </c>
      <c r="Q523" s="84">
        <v>97</v>
      </c>
      <c r="R523" s="84">
        <v>83</v>
      </c>
      <c r="S523" s="84">
        <v>40</v>
      </c>
      <c r="T523" s="84">
        <v>40</v>
      </c>
      <c r="U523">
        <f t="shared" si="8"/>
        <v>425</v>
      </c>
      <c r="V523" s="39">
        <f>IF(I523="","",VLOOKUP(I523,'装备&amp;材料'!$D$1:$E$6,2,FALSE))</f>
        <v>425</v>
      </c>
      <c r="W523" s="39">
        <v>23701</v>
      </c>
      <c r="X523" s="39" t="str">
        <f>VLOOKUP(W523,技能!A:B,2)</f>
        <v>背后突袭</v>
      </c>
      <c r="Y523" s="39">
        <v>1</v>
      </c>
    </row>
    <row r="524" spans="1:25">
      <c r="L524" s="39" t="s">
        <v>84</v>
      </c>
      <c r="U524" t="str">
        <f t="shared" si="8"/>
        <v/>
      </c>
      <c r="V524" s="39" t="str">
        <f>IF(I524="","",VLOOKUP(I524,'装备&amp;材料'!$D$1:$E$6,2,FALSE))</f>
        <v/>
      </c>
      <c r="W524" s="39">
        <v>23702</v>
      </c>
      <c r="X524" s="39" t="str">
        <f>VLOOKUP(W524,技能!A:B,2)</f>
        <v>气息遮蔽</v>
      </c>
      <c r="Y524" s="39">
        <v>2</v>
      </c>
    </row>
    <row r="525" spans="1:25">
      <c r="L525" s="39" t="s">
        <v>84</v>
      </c>
      <c r="U525" t="str">
        <f t="shared" si="8"/>
        <v/>
      </c>
      <c r="V525" s="39" t="str">
        <f>IF(I525="","",VLOOKUP(I525,'装备&amp;材料'!$D$1:$E$6,2,FALSE))</f>
        <v/>
      </c>
      <c r="W525" s="39">
        <v>23703</v>
      </c>
      <c r="X525" s="39" t="str">
        <f>VLOOKUP(W525,技能!A:B,2)</f>
        <v>决心</v>
      </c>
      <c r="Y525" s="39">
        <v>3</v>
      </c>
    </row>
    <row r="526" spans="1:25">
      <c r="L526" s="39" t="s">
        <v>84</v>
      </c>
      <c r="U526" t="str">
        <f t="shared" si="8"/>
        <v/>
      </c>
      <c r="V526" s="39" t="str">
        <f>IF(I526="","",VLOOKUP(I526,'装备&amp;材料'!$D$1:$E$6,2,FALSE))</f>
        <v/>
      </c>
      <c r="W526" s="39">
        <v>23704</v>
      </c>
      <c r="X526" s="39" t="str">
        <f>VLOOKUP(W526,技能!A:B,2)</f>
        <v>解剖学</v>
      </c>
      <c r="Y526" s="39">
        <v>4</v>
      </c>
    </row>
    <row r="527" spans="1:25">
      <c r="L527" s="39" t="s">
        <v>84</v>
      </c>
      <c r="U527" t="str">
        <f t="shared" si="8"/>
        <v/>
      </c>
      <c r="V527" s="39" t="str">
        <f>IF(I527="","",VLOOKUP(I527,'装备&amp;材料'!$D$1:$E$6,2,FALSE))</f>
        <v/>
      </c>
      <c r="W527" s="39">
        <v>23705</v>
      </c>
      <c r="X527" s="39" t="str">
        <f>VLOOKUP(W527,技能!A:B,2)</f>
        <v>血与毒药</v>
      </c>
      <c r="Y527" s="39">
        <v>5</v>
      </c>
    </row>
    <row r="528" spans="1:25">
      <c r="A528" s="39">
        <v>238</v>
      </c>
      <c r="B528" s="39" t="s">
        <v>640</v>
      </c>
      <c r="C528" s="39">
        <v>308</v>
      </c>
      <c r="D528" s="40" t="s">
        <v>641</v>
      </c>
      <c r="I528" s="39">
        <v>3</v>
      </c>
      <c r="J528" s="39">
        <v>4</v>
      </c>
      <c r="K528" s="39">
        <v>1</v>
      </c>
      <c r="L528" s="39">
        <v>138</v>
      </c>
      <c r="M528" s="84">
        <v>8</v>
      </c>
      <c r="N528" s="84">
        <v>8</v>
      </c>
      <c r="O528" s="84">
        <v>6</v>
      </c>
      <c r="P528" s="84">
        <v>6</v>
      </c>
      <c r="Q528" s="84">
        <v>97</v>
      </c>
      <c r="R528" s="84">
        <v>83</v>
      </c>
      <c r="S528" s="84">
        <v>40</v>
      </c>
      <c r="T528" s="84">
        <v>40</v>
      </c>
      <c r="U528">
        <f t="shared" si="8"/>
        <v>425</v>
      </c>
      <c r="V528" s="39">
        <f>IF(I528="","",VLOOKUP(I528,'装备&amp;材料'!$D$1:$E$6,2,FALSE))</f>
        <v>425</v>
      </c>
      <c r="W528" s="39">
        <v>23801</v>
      </c>
      <c r="X528" s="39" t="str">
        <f>VLOOKUP(W528,技能!A:B,2)</f>
        <v>雨林作战教学</v>
      </c>
      <c r="Y528" s="39">
        <v>1</v>
      </c>
    </row>
    <row r="529" spans="1:25">
      <c r="L529" s="39" t="s">
        <v>84</v>
      </c>
      <c r="U529" t="str">
        <f t="shared" si="8"/>
        <v/>
      </c>
      <c r="V529" s="39" t="str">
        <f>IF(I529="","",VLOOKUP(I529,'装备&amp;材料'!$D$1:$E$6,2,FALSE))</f>
        <v/>
      </c>
      <c r="W529" s="39">
        <v>23802</v>
      </c>
      <c r="X529" s="39" t="str">
        <f>VLOOKUP(W529,技能!A:B,2)</f>
        <v>林之毒</v>
      </c>
      <c r="Y529" s="39">
        <v>2</v>
      </c>
    </row>
    <row r="530" spans="1:25">
      <c r="L530" s="39" t="s">
        <v>84</v>
      </c>
      <c r="U530" t="str">
        <f t="shared" si="8"/>
        <v/>
      </c>
      <c r="V530" s="39" t="str">
        <f>IF(I530="","",VLOOKUP(I530,'装备&amp;材料'!$D$1:$E$6,2,FALSE))</f>
        <v/>
      </c>
      <c r="W530" s="39">
        <v>23803</v>
      </c>
      <c r="X530" s="39" t="str">
        <f>VLOOKUP(W530,技能!A:B,2)</f>
        <v>输出靠吼</v>
      </c>
      <c r="Y530" s="39">
        <v>3</v>
      </c>
    </row>
    <row r="531" spans="1:25">
      <c r="L531" s="39" t="s">
        <v>84</v>
      </c>
      <c r="U531" t="str">
        <f t="shared" si="8"/>
        <v/>
      </c>
      <c r="V531" s="39" t="str">
        <f>IF(I531="","",VLOOKUP(I531,'装备&amp;材料'!$D$1:$E$6,2,FALSE))</f>
        <v/>
      </c>
      <c r="W531" s="39">
        <v>23804</v>
      </c>
      <c r="X531" s="39" t="str">
        <f>VLOOKUP(W531,技能!A:B,2)</f>
        <v>箭毒长矛</v>
      </c>
      <c r="Y531" s="39">
        <v>4</v>
      </c>
    </row>
    <row r="532" spans="1:25">
      <c r="L532" s="39" t="s">
        <v>84</v>
      </c>
      <c r="U532" t="str">
        <f t="shared" si="8"/>
        <v/>
      </c>
      <c r="V532" s="39" t="str">
        <f>IF(I532="","",VLOOKUP(I532,'装备&amp;材料'!$D$1:$E$6,2,FALSE))</f>
        <v/>
      </c>
      <c r="W532" s="39">
        <v>23805</v>
      </c>
      <c r="X532" s="39" t="str">
        <f>VLOOKUP(W532,技能!A:B,2)</f>
        <v>大河之主</v>
      </c>
      <c r="Y532" s="39">
        <v>5</v>
      </c>
    </row>
    <row r="533" spans="1:25">
      <c r="A533" s="39">
        <v>239</v>
      </c>
      <c r="B533" s="39" t="s">
        <v>642</v>
      </c>
      <c r="C533" s="39">
        <v>309</v>
      </c>
      <c r="D533" s="40" t="s">
        <v>643</v>
      </c>
      <c r="I533" s="39">
        <v>2</v>
      </c>
      <c r="J533" s="39">
        <v>4</v>
      </c>
      <c r="K533" s="39">
        <v>1</v>
      </c>
      <c r="L533" s="39">
        <v>128</v>
      </c>
      <c r="M533" s="86">
        <v>7</v>
      </c>
      <c r="N533" s="86">
        <v>7</v>
      </c>
      <c r="O533" s="86">
        <v>5</v>
      </c>
      <c r="P533" s="86">
        <v>4</v>
      </c>
      <c r="Q533" s="86">
        <v>92</v>
      </c>
      <c r="R533" s="86">
        <v>78</v>
      </c>
      <c r="S533" s="86">
        <v>31</v>
      </c>
      <c r="T533" s="86">
        <v>31</v>
      </c>
      <c r="U533">
        <f t="shared" si="8"/>
        <v>375</v>
      </c>
      <c r="V533" s="39">
        <f>IF(I533="","",VLOOKUP(I533,'装备&amp;材料'!$D$1:$E$6,2,FALSE))</f>
        <v>375</v>
      </c>
      <c r="W533" s="39">
        <v>23901</v>
      </c>
      <c r="X533" s="39" t="str">
        <f>VLOOKUP(W533,技能!A:B,2)</f>
        <v>嘲讽脸</v>
      </c>
      <c r="Y533" s="39">
        <v>1</v>
      </c>
    </row>
    <row r="534" spans="1:25">
      <c r="L534" s="39" t="s">
        <v>84</v>
      </c>
      <c r="U534" t="str">
        <f t="shared" si="8"/>
        <v/>
      </c>
      <c r="V534" s="39" t="str">
        <f>IF(I534="","",VLOOKUP(I534,'装备&amp;材料'!$D$1:$E$6,2,FALSE))</f>
        <v/>
      </c>
      <c r="W534" s="39">
        <v>23902</v>
      </c>
      <c r="X534" s="39" t="str">
        <f>VLOOKUP(W534,技能!A:B,2)</f>
        <v>蓄势待发</v>
      </c>
      <c r="Y534" s="39">
        <v>2</v>
      </c>
    </row>
    <row r="535" spans="1:25">
      <c r="L535" s="39" t="s">
        <v>84</v>
      </c>
      <c r="U535" t="str">
        <f t="shared" ref="U535:U552" si="9">IF(I535="","",L535*0.5+M535*3+N535*3+O535*5+P535*3+Q535+R535+S535+T535)</f>
        <v/>
      </c>
      <c r="V535" s="39" t="str">
        <f>IF(I535="","",VLOOKUP(I535,'装备&amp;材料'!$D$1:$E$6,2,FALSE))</f>
        <v/>
      </c>
      <c r="W535" s="39">
        <v>23903</v>
      </c>
      <c r="X535" s="39" t="str">
        <f>VLOOKUP(W535,技能!A:B,2)</f>
        <v>一击</v>
      </c>
      <c r="Y535" s="39">
        <v>3</v>
      </c>
    </row>
    <row r="536" spans="1:25">
      <c r="L536" s="39" t="s">
        <v>84</v>
      </c>
      <c r="U536" t="str">
        <f t="shared" si="9"/>
        <v/>
      </c>
      <c r="V536" s="39" t="str">
        <f>IF(I536="","",VLOOKUP(I536,'装备&amp;材料'!$D$1:$E$6,2,FALSE))</f>
        <v/>
      </c>
      <c r="W536" s="39">
        <v>23904</v>
      </c>
      <c r="X536" s="39" t="str">
        <f>VLOOKUP(W536,技能!A:B,2)</f>
        <v>跑得快</v>
      </c>
      <c r="Y536" s="39">
        <v>4</v>
      </c>
    </row>
    <row r="537" spans="1:25">
      <c r="L537" s="39" t="s">
        <v>84</v>
      </c>
      <c r="U537" t="str">
        <f t="shared" si="9"/>
        <v/>
      </c>
      <c r="V537" s="39" t="str">
        <f>IF(I537="","",VLOOKUP(I537,'装备&amp;材料'!$D$1:$E$6,2,FALSE))</f>
        <v/>
      </c>
      <c r="W537" s="39">
        <v>23905</v>
      </c>
      <c r="X537" s="39" t="str">
        <f>VLOOKUP(W537,技能!A:B,2)</f>
        <v>心理训练</v>
      </c>
      <c r="Y537" s="39">
        <v>5</v>
      </c>
    </row>
    <row r="538" spans="1:25" ht="27">
      <c r="A538" s="39">
        <v>240</v>
      </c>
      <c r="B538" s="39" t="s">
        <v>644</v>
      </c>
      <c r="C538" s="39">
        <v>310</v>
      </c>
      <c r="D538" s="40" t="s">
        <v>1462</v>
      </c>
      <c r="I538" s="39">
        <v>2</v>
      </c>
      <c r="J538" s="39">
        <v>4</v>
      </c>
      <c r="K538" s="39">
        <v>1</v>
      </c>
      <c r="L538" s="39">
        <v>128</v>
      </c>
      <c r="M538" s="86">
        <v>7</v>
      </c>
      <c r="N538" s="86">
        <v>7</v>
      </c>
      <c r="O538" s="86">
        <v>5</v>
      </c>
      <c r="P538" s="86">
        <v>4</v>
      </c>
      <c r="Q538" s="86">
        <v>92</v>
      </c>
      <c r="R538" s="86">
        <v>78</v>
      </c>
      <c r="S538" s="86">
        <v>31</v>
      </c>
      <c r="T538" s="86">
        <v>31</v>
      </c>
      <c r="U538">
        <f t="shared" si="9"/>
        <v>375</v>
      </c>
      <c r="V538" s="39">
        <f>IF(I538="","",VLOOKUP(I538,'装备&amp;材料'!$D$1:$E$6,2,FALSE))</f>
        <v>375</v>
      </c>
      <c r="W538" s="39">
        <v>24001</v>
      </c>
      <c r="X538" s="39" t="str">
        <f>VLOOKUP(W538,技能!A:B,2)</f>
        <v>外星射线</v>
      </c>
      <c r="Y538" s="39">
        <v>1</v>
      </c>
    </row>
    <row r="539" spans="1:25">
      <c r="L539" s="39" t="s">
        <v>84</v>
      </c>
      <c r="U539" t="str">
        <f t="shared" si="9"/>
        <v/>
      </c>
      <c r="V539" s="39" t="str">
        <f>IF(I539="","",VLOOKUP(I539,'装备&amp;材料'!$D$1:$E$6,2,FALSE))</f>
        <v/>
      </c>
      <c r="W539" s="39">
        <v>24002</v>
      </c>
      <c r="X539" s="39" t="str">
        <f>VLOOKUP(W539,技能!A:B,2)</f>
        <v>飞碟侦查</v>
      </c>
      <c r="Y539" s="39">
        <v>2</v>
      </c>
    </row>
    <row r="540" spans="1:25">
      <c r="L540" s="39" t="s">
        <v>84</v>
      </c>
      <c r="U540" t="str">
        <f t="shared" si="9"/>
        <v/>
      </c>
      <c r="V540" s="39" t="str">
        <f>IF(I540="","",VLOOKUP(I540,'装备&amp;材料'!$D$1:$E$6,2,FALSE))</f>
        <v/>
      </c>
      <c r="W540" s="39">
        <v>24003</v>
      </c>
      <c r="X540" s="39" t="str">
        <f>VLOOKUP(W540,技能!A:B,2)</f>
        <v>智能</v>
      </c>
      <c r="Y540" s="39">
        <v>3</v>
      </c>
    </row>
    <row r="541" spans="1:25">
      <c r="L541" s="39" t="s">
        <v>84</v>
      </c>
      <c r="U541" t="str">
        <f t="shared" si="9"/>
        <v/>
      </c>
      <c r="V541" s="39" t="str">
        <f>IF(I541="","",VLOOKUP(I541,'装备&amp;材料'!$D$1:$E$6,2,FALSE))</f>
        <v/>
      </c>
      <c r="W541" s="39">
        <v>24004</v>
      </c>
      <c r="X541" s="39" t="str">
        <f>VLOOKUP(W541,技能!A:B,2)</f>
        <v>未来视</v>
      </c>
      <c r="Y541" s="39">
        <v>4</v>
      </c>
    </row>
    <row r="542" spans="1:25">
      <c r="L542" s="39" t="s">
        <v>84</v>
      </c>
      <c r="U542" t="str">
        <f t="shared" si="9"/>
        <v/>
      </c>
      <c r="V542" s="39" t="str">
        <f>IF(I542="","",VLOOKUP(I542,'装备&amp;材料'!$D$1:$E$6,2,FALSE))</f>
        <v/>
      </c>
      <c r="W542" s="39">
        <v>24005</v>
      </c>
      <c r="X542" s="39" t="str">
        <f>VLOOKUP(W542,技能!A:B,2)</f>
        <v>灵魂连接</v>
      </c>
      <c r="Y542" s="39">
        <v>5</v>
      </c>
    </row>
    <row r="543" spans="1:25" ht="40.5">
      <c r="A543" s="39">
        <v>241</v>
      </c>
      <c r="B543" s="39" t="s">
        <v>645</v>
      </c>
      <c r="C543" s="39">
        <v>311</v>
      </c>
      <c r="D543" s="40" t="s">
        <v>1548</v>
      </c>
      <c r="E543" s="40" t="s">
        <v>6027</v>
      </c>
      <c r="G543" s="40" t="s">
        <v>1546</v>
      </c>
      <c r="H543" s="40" t="s">
        <v>1549</v>
      </c>
      <c r="I543" s="39">
        <v>1</v>
      </c>
      <c r="J543" s="39">
        <v>4</v>
      </c>
      <c r="K543" s="39">
        <v>1</v>
      </c>
      <c r="L543" s="39">
        <v>136</v>
      </c>
      <c r="M543" s="85">
        <v>5</v>
      </c>
      <c r="N543" s="85">
        <v>5</v>
      </c>
      <c r="O543" s="85">
        <v>4</v>
      </c>
      <c r="P543" s="85">
        <v>3</v>
      </c>
      <c r="Q543" s="85">
        <v>80</v>
      </c>
      <c r="R543" s="85">
        <v>66</v>
      </c>
      <c r="S543" s="85">
        <v>26</v>
      </c>
      <c r="T543" s="85">
        <v>26</v>
      </c>
      <c r="U543">
        <f t="shared" si="9"/>
        <v>325</v>
      </c>
      <c r="V543" s="39">
        <f>IF(I543="","",VLOOKUP(I543,'装备&amp;材料'!$D$1:$E$6,2,FALSE))</f>
        <v>325</v>
      </c>
      <c r="W543" s="39">
        <v>24101</v>
      </c>
      <c r="X543" s="39" t="str">
        <f>VLOOKUP(W543,技能!A:B,2)</f>
        <v>扔酒瓶</v>
      </c>
      <c r="Y543" s="39">
        <v>1</v>
      </c>
    </row>
    <row r="544" spans="1:25">
      <c r="L544" s="39" t="s">
        <v>84</v>
      </c>
      <c r="U544" t="str">
        <f t="shared" si="9"/>
        <v/>
      </c>
      <c r="V544" s="39" t="str">
        <f>IF(I544="","",VLOOKUP(I544,'装备&amp;材料'!$D$1:$E$6,2,FALSE))</f>
        <v/>
      </c>
      <c r="W544" s="39">
        <v>24102</v>
      </c>
      <c r="X544" s="39" t="str">
        <f>VLOOKUP(W544,技能!A:B,2)</f>
        <v>拍板砖</v>
      </c>
      <c r="Y544" s="39">
        <v>2</v>
      </c>
    </row>
    <row r="545" spans="1:25">
      <c r="L545" s="39" t="s">
        <v>84</v>
      </c>
      <c r="U545" t="str">
        <f t="shared" si="9"/>
        <v/>
      </c>
      <c r="V545" s="39" t="str">
        <f>IF(I545="","",VLOOKUP(I545,'装备&amp;材料'!$D$1:$E$6,2,FALSE))</f>
        <v/>
      </c>
      <c r="W545" s="39">
        <v>24103</v>
      </c>
      <c r="X545" s="39" t="str">
        <f>VLOOKUP(W545,技能!A:B,2)</f>
        <v>恐吓</v>
      </c>
      <c r="Y545" s="39">
        <v>3</v>
      </c>
    </row>
    <row r="546" spans="1:25">
      <c r="L546" s="39" t="s">
        <v>84</v>
      </c>
      <c r="U546" t="str">
        <f t="shared" si="9"/>
        <v/>
      </c>
      <c r="V546" s="39" t="str">
        <f>IF(I546="","",VLOOKUP(I546,'装备&amp;材料'!$D$1:$E$6,2,FALSE))</f>
        <v/>
      </c>
      <c r="W546" s="39">
        <v>24104</v>
      </c>
      <c r="X546" s="39" t="str">
        <f>VLOOKUP(W546,技能!A:B,2)</f>
        <v>街巷战术</v>
      </c>
      <c r="Y546" s="39">
        <v>4</v>
      </c>
    </row>
    <row r="547" spans="1:25">
      <c r="L547" s="39" t="s">
        <v>84</v>
      </c>
      <c r="U547" t="str">
        <f t="shared" si="9"/>
        <v/>
      </c>
      <c r="V547" s="39" t="str">
        <f>IF(I547="","",VLOOKUP(I547,'装备&amp;材料'!$D$1:$E$6,2,FALSE))</f>
        <v/>
      </c>
      <c r="W547" s="39">
        <v>24105</v>
      </c>
      <c r="X547" s="39" t="str">
        <f>VLOOKUP(W547,技能!A:B,2)</f>
        <v>大哥之心</v>
      </c>
      <c r="Y547" s="39">
        <v>5</v>
      </c>
    </row>
    <row r="548" spans="1:25" ht="40.5">
      <c r="A548" s="39">
        <v>242</v>
      </c>
      <c r="B548" s="39" t="s">
        <v>646</v>
      </c>
      <c r="C548" s="39">
        <v>312</v>
      </c>
      <c r="D548" s="40" t="s">
        <v>6026</v>
      </c>
      <c r="E548" s="40" t="s">
        <v>6027</v>
      </c>
      <c r="G548" s="40" t="s">
        <v>1546</v>
      </c>
      <c r="H548" s="40" t="s">
        <v>1547</v>
      </c>
      <c r="I548" s="39">
        <v>1</v>
      </c>
      <c r="J548" s="39">
        <v>4</v>
      </c>
      <c r="K548" s="39">
        <v>1</v>
      </c>
      <c r="L548" s="39">
        <v>136</v>
      </c>
      <c r="M548" s="85">
        <v>5</v>
      </c>
      <c r="N548" s="85">
        <v>5</v>
      </c>
      <c r="O548" s="85">
        <v>4</v>
      </c>
      <c r="P548" s="85">
        <v>3</v>
      </c>
      <c r="Q548" s="85">
        <v>80</v>
      </c>
      <c r="R548" s="85">
        <v>66</v>
      </c>
      <c r="S548" s="85">
        <v>26</v>
      </c>
      <c r="T548" s="85">
        <v>26</v>
      </c>
      <c r="U548">
        <f t="shared" si="9"/>
        <v>325</v>
      </c>
      <c r="V548" s="39">
        <f>IF(I548="","",VLOOKUP(I548,'装备&amp;材料'!$D$1:$E$6,2,FALSE))</f>
        <v>325</v>
      </c>
      <c r="W548" s="39">
        <v>24201</v>
      </c>
      <c r="X548" s="39" t="str">
        <f>VLOOKUP(W548,技能!A:B,2)</f>
        <v>无情吐槽</v>
      </c>
      <c r="Y548" s="39">
        <v>1</v>
      </c>
    </row>
    <row r="549" spans="1:25">
      <c r="L549" s="39" t="s">
        <v>84</v>
      </c>
      <c r="U549" t="str">
        <f t="shared" si="9"/>
        <v/>
      </c>
      <c r="V549" s="39" t="str">
        <f>IF(I549="","",VLOOKUP(I549,'装备&amp;材料'!$D$1:$E$6,2,FALSE))</f>
        <v/>
      </c>
      <c r="W549" s="39">
        <v>24202</v>
      </c>
      <c r="X549" s="39" t="str">
        <f>VLOOKUP(W549,技能!A:B,2)</f>
        <v>伪魅惑</v>
      </c>
      <c r="Y549" s="39">
        <v>2</v>
      </c>
    </row>
    <row r="550" spans="1:25">
      <c r="L550" s="39" t="s">
        <v>84</v>
      </c>
      <c r="U550" t="str">
        <f t="shared" si="9"/>
        <v/>
      </c>
      <c r="V550" s="39" t="str">
        <f>IF(I550="","",VLOOKUP(I550,'装备&amp;材料'!$D$1:$E$6,2,FALSE))</f>
        <v/>
      </c>
      <c r="W550" s="39">
        <v>24203</v>
      </c>
      <c r="X550" s="39" t="str">
        <f>VLOOKUP(W550,技能!A:B,2)</f>
        <v>吓牛</v>
      </c>
      <c r="Y550" s="39">
        <v>3</v>
      </c>
    </row>
    <row r="551" spans="1:25">
      <c r="L551" s="39" t="s">
        <v>84</v>
      </c>
      <c r="U551" t="str">
        <f t="shared" si="9"/>
        <v/>
      </c>
      <c r="V551" s="39" t="str">
        <f>IF(I551="","",VLOOKUP(I551,'装备&amp;材料'!$D$1:$E$6,2,FALSE))</f>
        <v/>
      </c>
      <c r="W551" s="39">
        <v>24204</v>
      </c>
      <c r="X551" s="39" t="str">
        <f>VLOOKUP(W551,技能!A:B,2)</f>
        <v>音波功</v>
      </c>
      <c r="Y551" s="39">
        <v>4</v>
      </c>
    </row>
    <row r="552" spans="1:25">
      <c r="L552" s="39" t="s">
        <v>84</v>
      </c>
      <c r="U552" t="str">
        <f t="shared" si="9"/>
        <v/>
      </c>
      <c r="V552" s="39" t="str">
        <f>IF(I552="","",VLOOKUP(I552,'装备&amp;材料'!$D$1:$E$6,2,FALSE))</f>
        <v/>
      </c>
      <c r="W552" s="39">
        <v>24205</v>
      </c>
      <c r="X552" s="39" t="str">
        <f>VLOOKUP(W552,技能!A:B,2)</f>
        <v>优雅</v>
      </c>
      <c r="Y552" s="39">
        <v>5</v>
      </c>
    </row>
  </sheetData>
  <phoneticPr fontId="1" type="noConversion"/>
  <conditionalFormatting sqref="B113 B118 B123 B128 B133 B138 B143 B148">
    <cfRule type="duplicateValues" dxfId="233" priority="1409"/>
  </conditionalFormatting>
  <conditionalFormatting sqref="U1:U322 U343:U1048576">
    <cfRule type="cellIs" dxfId="232" priority="51" operator="equal">
      <formula>325</formula>
    </cfRule>
    <cfRule type="cellIs" dxfId="231" priority="52" operator="equal">
      <formula>375</formula>
    </cfRule>
    <cfRule type="cellIs" dxfId="230" priority="53" operator="equal">
      <formula>425</formula>
    </cfRule>
    <cfRule type="cellIs" dxfId="229" priority="60" operator="equal">
      <formula>750</formula>
    </cfRule>
    <cfRule type="cellIs" dxfId="228" priority="61" operator="equal">
      <formula>600</formula>
    </cfRule>
    <cfRule type="cellIs" dxfId="227" priority="64" operator="equal">
      <formula>500</formula>
    </cfRule>
  </conditionalFormatting>
  <conditionalFormatting sqref="V1:V322 V343:V1048576">
    <cfRule type="cellIs" dxfId="226" priority="54" operator="equal">
      <formula>325</formula>
    </cfRule>
    <cfRule type="cellIs" dxfId="225" priority="55" operator="equal">
      <formula>375</formula>
    </cfRule>
    <cfRule type="cellIs" dxfId="224" priority="56" operator="equal">
      <formula>425</formula>
    </cfRule>
    <cfRule type="cellIs" dxfId="223" priority="57" operator="equal">
      <formula>750</formula>
    </cfRule>
    <cfRule type="cellIs" dxfId="222" priority="58" operator="equal">
      <formula>600</formula>
    </cfRule>
    <cfRule type="cellIs" dxfId="221" priority="59" operator="equal">
      <formula>500</formula>
    </cfRule>
  </conditionalFormatting>
  <conditionalFormatting sqref="U323:U327">
    <cfRule type="cellIs" dxfId="220" priority="39" operator="equal">
      <formula>325</formula>
    </cfRule>
    <cfRule type="cellIs" dxfId="219" priority="40" operator="equal">
      <formula>375</formula>
    </cfRule>
    <cfRule type="cellIs" dxfId="218" priority="41" operator="equal">
      <formula>425</formula>
    </cfRule>
    <cfRule type="cellIs" dxfId="217" priority="48" operator="equal">
      <formula>750</formula>
    </cfRule>
    <cfRule type="cellIs" dxfId="216" priority="49" operator="equal">
      <formula>600</formula>
    </cfRule>
    <cfRule type="cellIs" dxfId="215" priority="50" operator="equal">
      <formula>500</formula>
    </cfRule>
  </conditionalFormatting>
  <conditionalFormatting sqref="V323:V327">
    <cfRule type="cellIs" dxfId="214" priority="42" operator="equal">
      <formula>325</formula>
    </cfRule>
    <cfRule type="cellIs" dxfId="213" priority="43" operator="equal">
      <formula>375</formula>
    </cfRule>
    <cfRule type="cellIs" dxfId="212" priority="44" operator="equal">
      <formula>425</formula>
    </cfRule>
    <cfRule type="cellIs" dxfId="211" priority="45" operator="equal">
      <formula>750</formula>
    </cfRule>
    <cfRule type="cellIs" dxfId="210" priority="46" operator="equal">
      <formula>600</formula>
    </cfRule>
    <cfRule type="cellIs" dxfId="209" priority="47" operator="equal">
      <formula>500</formula>
    </cfRule>
  </conditionalFormatting>
  <conditionalFormatting sqref="U328:U332">
    <cfRule type="cellIs" dxfId="208" priority="27" operator="equal">
      <formula>325</formula>
    </cfRule>
    <cfRule type="cellIs" dxfId="207" priority="28" operator="equal">
      <formula>375</formula>
    </cfRule>
    <cfRule type="cellIs" dxfId="206" priority="29" operator="equal">
      <formula>425</formula>
    </cfRule>
    <cfRule type="cellIs" dxfId="205" priority="36" operator="equal">
      <formula>750</formula>
    </cfRule>
    <cfRule type="cellIs" dxfId="204" priority="37" operator="equal">
      <formula>600</formula>
    </cfRule>
    <cfRule type="cellIs" dxfId="203" priority="38" operator="equal">
      <formula>500</formula>
    </cfRule>
  </conditionalFormatting>
  <conditionalFormatting sqref="V328:V332">
    <cfRule type="cellIs" dxfId="202" priority="30" operator="equal">
      <formula>325</formula>
    </cfRule>
    <cfRule type="cellIs" dxfId="201" priority="31" operator="equal">
      <formula>375</formula>
    </cfRule>
    <cfRule type="cellIs" dxfId="200" priority="32" operator="equal">
      <formula>425</formula>
    </cfRule>
    <cfRule type="cellIs" dxfId="199" priority="33" operator="equal">
      <formula>750</formula>
    </cfRule>
    <cfRule type="cellIs" dxfId="198" priority="34" operator="equal">
      <formula>600</formula>
    </cfRule>
    <cfRule type="cellIs" dxfId="197" priority="35" operator="equal">
      <formula>500</formula>
    </cfRule>
  </conditionalFormatting>
  <conditionalFormatting sqref="U333:U337">
    <cfRule type="cellIs" dxfId="196" priority="15" operator="equal">
      <formula>325</formula>
    </cfRule>
    <cfRule type="cellIs" dxfId="195" priority="16" operator="equal">
      <formula>375</formula>
    </cfRule>
    <cfRule type="cellIs" dxfId="194" priority="17" operator="equal">
      <formula>425</formula>
    </cfRule>
    <cfRule type="cellIs" dxfId="193" priority="24" operator="equal">
      <formula>750</formula>
    </cfRule>
    <cfRule type="cellIs" dxfId="192" priority="25" operator="equal">
      <formula>600</formula>
    </cfRule>
    <cfRule type="cellIs" dxfId="191" priority="26" operator="equal">
      <formula>500</formula>
    </cfRule>
  </conditionalFormatting>
  <conditionalFormatting sqref="V333:V337">
    <cfRule type="cellIs" dxfId="190" priority="18" operator="equal">
      <formula>325</formula>
    </cfRule>
    <cfRule type="cellIs" dxfId="189" priority="19" operator="equal">
      <formula>375</formula>
    </cfRule>
    <cfRule type="cellIs" dxfId="188" priority="20" operator="equal">
      <formula>425</formula>
    </cfRule>
    <cfRule type="cellIs" dxfId="187" priority="21" operator="equal">
      <formula>750</formula>
    </cfRule>
    <cfRule type="cellIs" dxfId="186" priority="22" operator="equal">
      <formula>600</formula>
    </cfRule>
    <cfRule type="cellIs" dxfId="185" priority="23" operator="equal">
      <formula>500</formula>
    </cfRule>
  </conditionalFormatting>
  <conditionalFormatting sqref="U338:U342">
    <cfRule type="cellIs" dxfId="184" priority="3" operator="equal">
      <formula>325</formula>
    </cfRule>
    <cfRule type="cellIs" dxfId="183" priority="4" operator="equal">
      <formula>375</formula>
    </cfRule>
    <cfRule type="cellIs" dxfId="182" priority="5" operator="equal">
      <formula>425</formula>
    </cfRule>
    <cfRule type="cellIs" dxfId="181" priority="12" operator="equal">
      <formula>750</formula>
    </cfRule>
    <cfRule type="cellIs" dxfId="180" priority="13" operator="equal">
      <formula>600</formula>
    </cfRule>
    <cfRule type="cellIs" dxfId="179" priority="14" operator="equal">
      <formula>500</formula>
    </cfRule>
  </conditionalFormatting>
  <conditionalFormatting sqref="V338:V342">
    <cfRule type="cellIs" dxfId="178" priority="6" operator="equal">
      <formula>325</formula>
    </cfRule>
    <cfRule type="cellIs" dxfId="177" priority="7" operator="equal">
      <formula>375</formula>
    </cfRule>
    <cfRule type="cellIs" dxfId="176" priority="8" operator="equal">
      <formula>425</formula>
    </cfRule>
    <cfRule type="cellIs" dxfId="175" priority="9" operator="equal">
      <formula>750</formula>
    </cfRule>
    <cfRule type="cellIs" dxfId="174" priority="10" operator="equal">
      <formula>600</formula>
    </cfRule>
    <cfRule type="cellIs" dxfId="173" priority="11" operator="equal">
      <formula>500</formula>
    </cfRule>
  </conditionalFormatting>
  <conditionalFormatting sqref="V1:V1048576">
    <cfRule type="cellIs" dxfId="172" priority="2" operator="equal">
      <formula>1000</formula>
    </cfRule>
  </conditionalFormatting>
  <conditionalFormatting sqref="U1:U1048576">
    <cfRule type="cellIs" dxfId="171" priority="1" operator="equal">
      <formula>1000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M2015"/>
  <sheetViews>
    <sheetView workbookViewId="0">
      <pane xSplit="3" ySplit="2" topLeftCell="W786" activePane="bottomRight" state="frozenSplit"/>
      <selection pane="topRight" activeCell="D1" sqref="D1"/>
      <selection pane="bottomLeft" activeCell="A4" sqref="A4"/>
      <selection pane="bottomRight" activeCell="C805" sqref="C805:C807"/>
    </sheetView>
  </sheetViews>
  <sheetFormatPr defaultColWidth="8.875" defaultRowHeight="13.5"/>
  <cols>
    <col min="1" max="1" width="9.5" style="20" bestFit="1" customWidth="1"/>
    <col min="2" max="2" width="15.625" style="20" bestFit="1" customWidth="1"/>
    <col min="3" max="3" width="73.625" style="21" customWidth="1"/>
    <col min="4" max="4" width="7.375" style="20" bestFit="1" customWidth="1"/>
    <col min="5" max="5" width="12.625" style="20" bestFit="1" customWidth="1"/>
    <col min="6" max="6" width="86.625" style="20" customWidth="1"/>
    <col min="7" max="7" width="12" style="20" bestFit="1" customWidth="1"/>
    <col min="8" max="8" width="11.625" style="20" customWidth="1"/>
    <col min="9" max="9" width="17" style="20" bestFit="1" customWidth="1"/>
    <col min="10" max="10" width="17.5" style="20" bestFit="1" customWidth="1"/>
    <col min="11" max="12" width="9.5" style="20" bestFit="1" customWidth="1"/>
    <col min="13" max="13" width="7.625" style="20" bestFit="1" customWidth="1"/>
    <col min="14" max="14" width="7.625" style="20" customWidth="1"/>
    <col min="15" max="15" width="9.375" style="20" bestFit="1" customWidth="1"/>
    <col min="16" max="16" width="8.375" style="20" bestFit="1" customWidth="1"/>
    <col min="17" max="17" width="10.875" style="20" bestFit="1" customWidth="1"/>
    <col min="18" max="19" width="6.5" style="20" bestFit="1" customWidth="1"/>
    <col min="20" max="22" width="9.375" style="20" bestFit="1" customWidth="1"/>
    <col min="23" max="23" width="17.125" style="20" customWidth="1"/>
    <col min="24" max="24" width="9.375" style="20" bestFit="1" customWidth="1"/>
    <col min="25" max="25" width="11.5" style="20" bestFit="1" customWidth="1"/>
    <col min="26" max="26" width="9.125" style="20" customWidth="1"/>
    <col min="27" max="27" width="11.5" style="20" bestFit="1" customWidth="1"/>
    <col min="28" max="28" width="11.125" style="20" bestFit="1" customWidth="1"/>
    <col min="29" max="29" width="30.875" style="20" bestFit="1" customWidth="1"/>
    <col min="30" max="30" width="13.5" style="20" bestFit="1" customWidth="1"/>
    <col min="31" max="31" width="13.125" style="20" customWidth="1"/>
    <col min="32" max="38" width="8.875" style="20"/>
    <col min="39" max="39" width="9.375" style="20" bestFit="1" customWidth="1"/>
    <col min="40" max="16384" width="8.875" style="20"/>
  </cols>
  <sheetData>
    <row r="1" spans="1:33">
      <c r="A1" s="20" t="s">
        <v>1579</v>
      </c>
      <c r="B1" s="20" t="s">
        <v>1577</v>
      </c>
      <c r="H1" s="20" t="s">
        <v>748</v>
      </c>
      <c r="L1" s="20" t="s">
        <v>754</v>
      </c>
      <c r="N1" s="20" t="s">
        <v>228</v>
      </c>
      <c r="O1" s="20" t="s">
        <v>1591</v>
      </c>
      <c r="P1" s="20" t="s">
        <v>82</v>
      </c>
      <c r="Q1" s="20" t="s">
        <v>227</v>
      </c>
      <c r="T1" s="20" t="s">
        <v>229</v>
      </c>
      <c r="U1" s="20" t="s">
        <v>230</v>
      </c>
      <c r="V1" s="20" t="s">
        <v>231</v>
      </c>
      <c r="X1" s="20" t="s">
        <v>1608</v>
      </c>
      <c r="Y1" s="20" t="s">
        <v>225</v>
      </c>
      <c r="Z1" s="20" t="s">
        <v>226</v>
      </c>
      <c r="AA1" s="20" t="s">
        <v>755</v>
      </c>
      <c r="AB1" s="20" t="s">
        <v>17</v>
      </c>
      <c r="AC1" s="20" t="s">
        <v>18</v>
      </c>
      <c r="AD1" s="20" t="s">
        <v>33</v>
      </c>
      <c r="AE1" s="20" t="s">
        <v>63</v>
      </c>
    </row>
    <row r="2" spans="1:33">
      <c r="A2" s="20" t="s">
        <v>1578</v>
      </c>
      <c r="B2" s="20" t="s">
        <v>4</v>
      </c>
      <c r="C2" s="21" t="s">
        <v>2038</v>
      </c>
      <c r="D2" s="20" t="s">
        <v>1583</v>
      </c>
      <c r="E2" s="20" t="s">
        <v>1584</v>
      </c>
      <c r="F2" s="20" t="s">
        <v>1585</v>
      </c>
      <c r="G2" s="20" t="s">
        <v>1601</v>
      </c>
      <c r="H2" s="20" t="s">
        <v>105</v>
      </c>
      <c r="I2" s="20" t="s">
        <v>7039</v>
      </c>
      <c r="J2" s="20" t="s">
        <v>7040</v>
      </c>
      <c r="K2" s="20" t="s">
        <v>1586</v>
      </c>
      <c r="L2" s="20" t="s">
        <v>1587</v>
      </c>
      <c r="M2" s="20" t="s">
        <v>1588</v>
      </c>
      <c r="N2" s="20" t="s">
        <v>1589</v>
      </c>
      <c r="O2" s="20" t="s">
        <v>1590</v>
      </c>
      <c r="P2" s="20" t="s">
        <v>1592</v>
      </c>
      <c r="Q2" s="20" t="s">
        <v>1593</v>
      </c>
      <c r="R2" s="20" t="s">
        <v>1594</v>
      </c>
      <c r="S2" s="20" t="s">
        <v>1595</v>
      </c>
      <c r="T2" s="20" t="s">
        <v>1597</v>
      </c>
      <c r="U2" s="20" t="s">
        <v>1596</v>
      </c>
      <c r="V2" s="20" t="s">
        <v>1598</v>
      </c>
      <c r="W2" s="20" t="s">
        <v>1599</v>
      </c>
      <c r="X2" s="20" t="s">
        <v>1600</v>
      </c>
      <c r="Y2" s="20" t="s">
        <v>2009</v>
      </c>
      <c r="Z2" s="20" t="s">
        <v>1580</v>
      </c>
      <c r="AA2" s="20" t="s">
        <v>1602</v>
      </c>
      <c r="AB2" s="20" t="s">
        <v>1581</v>
      </c>
      <c r="AC2" s="20" t="s">
        <v>1603</v>
      </c>
      <c r="AD2" s="20" t="s">
        <v>1582</v>
      </c>
      <c r="AE2" s="20" t="s">
        <v>7027</v>
      </c>
      <c r="AF2" s="20" t="s">
        <v>6595</v>
      </c>
      <c r="AG2" s="20" t="s">
        <v>6596</v>
      </c>
    </row>
    <row r="3" spans="1:33">
      <c r="A3" s="20">
        <v>1</v>
      </c>
      <c r="B3" s="20" t="s">
        <v>31</v>
      </c>
      <c r="C3" s="21" t="s">
        <v>2039</v>
      </c>
      <c r="F3" s="20" t="s">
        <v>92</v>
      </c>
      <c r="H3" s="20">
        <v>20</v>
      </c>
      <c r="J3" s="20" t="s">
        <v>106</v>
      </c>
      <c r="K3" s="20">
        <v>1</v>
      </c>
      <c r="L3" s="20">
        <v>100</v>
      </c>
      <c r="O3" s="20">
        <v>0</v>
      </c>
      <c r="W3" s="20">
        <f>IF(Q3&lt;&gt;0,3,IF(K3="","",VLOOKUP(K3,'#状态名词'!$J$1:$K$15,2,FALSE)))</f>
        <v>1</v>
      </c>
    </row>
    <row r="4" spans="1:33">
      <c r="A4" s="20">
        <v>2</v>
      </c>
      <c r="B4" s="20" t="s">
        <v>716</v>
      </c>
      <c r="F4" s="20">
        <v>1</v>
      </c>
      <c r="H4" s="20">
        <v>10</v>
      </c>
      <c r="J4" s="19" t="s">
        <v>1463</v>
      </c>
      <c r="K4" s="20">
        <v>5</v>
      </c>
      <c r="L4" s="20">
        <v>1000</v>
      </c>
      <c r="O4" s="20">
        <v>1</v>
      </c>
      <c r="W4" s="20">
        <f>IF(Q4&lt;&gt;0,3,IF(K4="","",VLOOKUP(K4,'#状态名词'!$J$1:$K$15,2,FALSE)))</f>
        <v>1</v>
      </c>
    </row>
    <row r="5" spans="1:33" ht="27">
      <c r="A5" s="20">
        <v>101</v>
      </c>
      <c r="B5" s="20" t="s">
        <v>3836</v>
      </c>
      <c r="C5" s="21" t="s">
        <v>3837</v>
      </c>
      <c r="E5" s="20" t="s">
        <v>1633</v>
      </c>
      <c r="F5" s="20" t="s">
        <v>3838</v>
      </c>
      <c r="H5" s="20">
        <v>25</v>
      </c>
      <c r="J5" s="20" t="s">
        <v>107</v>
      </c>
      <c r="K5" s="20">
        <v>5</v>
      </c>
      <c r="L5" s="20">
        <v>12</v>
      </c>
      <c r="O5" s="20">
        <v>0</v>
      </c>
      <c r="T5" s="20">
        <v>20</v>
      </c>
      <c r="W5" s="20">
        <f>IF(Q5&lt;&gt;0,3,IF(K5="","",VLOOKUP(K5,'#状态名词'!$J$1:$K$15,2,FALSE)))</f>
        <v>1</v>
      </c>
      <c r="AA5" s="20">
        <v>1</v>
      </c>
      <c r="AB5" s="20">
        <v>101</v>
      </c>
      <c r="AC5" s="20">
        <v>100</v>
      </c>
      <c r="AD5" s="20">
        <v>2</v>
      </c>
    </row>
    <row r="6" spans="1:33">
      <c r="A6" s="20">
        <v>102</v>
      </c>
      <c r="B6" s="20" t="s">
        <v>3839</v>
      </c>
      <c r="C6" s="21" t="s">
        <v>3840</v>
      </c>
      <c r="E6" s="20" t="s">
        <v>1634</v>
      </c>
      <c r="K6" s="20">
        <v>9</v>
      </c>
      <c r="L6" s="20">
        <v>100</v>
      </c>
      <c r="W6" s="20">
        <f>IF(Q6&lt;&gt;0,3,IF(K6="","",VLOOKUP(K6,'#状态名词'!$J$1:$K$15,2,FALSE)))</f>
        <v>3</v>
      </c>
      <c r="AA6" s="20">
        <v>1</v>
      </c>
      <c r="AB6" s="20">
        <v>2</v>
      </c>
      <c r="AC6" s="20" t="s">
        <v>600</v>
      </c>
      <c r="AD6" s="20">
        <v>0</v>
      </c>
    </row>
    <row r="7" spans="1:33">
      <c r="A7" s="20">
        <v>103</v>
      </c>
      <c r="B7" s="20" t="s">
        <v>3841</v>
      </c>
      <c r="C7" s="21" t="s">
        <v>6598</v>
      </c>
      <c r="E7" s="20" t="s">
        <v>1635</v>
      </c>
      <c r="W7" s="20" t="str">
        <f>IF(Q7&lt;&gt;0,3,IF(K7="","",VLOOKUP(K7,'#状态名词'!$J$1:$K$15,2,FALSE)))</f>
        <v/>
      </c>
      <c r="AA7" s="20">
        <v>1</v>
      </c>
      <c r="AB7" s="20">
        <v>105</v>
      </c>
      <c r="AC7" s="20">
        <v>100</v>
      </c>
      <c r="AD7" s="20">
        <v>1</v>
      </c>
    </row>
    <row r="8" spans="1:33">
      <c r="A8" s="20">
        <v>104</v>
      </c>
      <c r="B8" s="20" t="s">
        <v>3842</v>
      </c>
      <c r="C8" s="21" t="s">
        <v>6616</v>
      </c>
      <c r="E8" s="20" t="s">
        <v>1636</v>
      </c>
      <c r="W8" s="20" t="str">
        <f>IF(Q8&lt;&gt;0,3,IF(K8="","",VLOOKUP(K8,'#状态名词'!$J$1:$K$15,2,FALSE)))</f>
        <v/>
      </c>
      <c r="AA8" s="20">
        <v>1</v>
      </c>
      <c r="AB8" s="20">
        <v>106</v>
      </c>
      <c r="AC8" s="20">
        <v>100</v>
      </c>
      <c r="AD8" s="20">
        <v>2</v>
      </c>
    </row>
    <row r="9" spans="1:33">
      <c r="A9" s="20">
        <v>105</v>
      </c>
      <c r="B9" s="20" t="s">
        <v>3843</v>
      </c>
      <c r="C9" s="21" t="s">
        <v>6658</v>
      </c>
      <c r="E9" s="20" t="s">
        <v>1637</v>
      </c>
      <c r="W9" s="20" t="str">
        <f>IF(Q9&lt;&gt;0,3,IF(K9="","",VLOOKUP(K9,'#状态名词'!$J$1:$K$15,2,FALSE)))</f>
        <v/>
      </c>
      <c r="AA9" s="20">
        <v>1</v>
      </c>
      <c r="AB9" s="20">
        <v>90</v>
      </c>
      <c r="AC9" s="20">
        <v>100</v>
      </c>
      <c r="AD9" s="20">
        <v>1</v>
      </c>
    </row>
    <row r="10" spans="1:33">
      <c r="A10" s="20">
        <v>111</v>
      </c>
      <c r="B10" s="20" t="s">
        <v>3844</v>
      </c>
      <c r="C10" s="21" t="s">
        <v>6599</v>
      </c>
      <c r="E10" s="20" t="s">
        <v>1638</v>
      </c>
      <c r="W10" s="20" t="str">
        <f>IF(Q10&lt;&gt;0,3,IF(K10="","",VLOOKUP(K10,'#状态名词'!$J$1:$K$15,2,FALSE)))</f>
        <v/>
      </c>
    </row>
    <row r="11" spans="1:33">
      <c r="A11" s="20">
        <v>112</v>
      </c>
      <c r="B11" s="20" t="s">
        <v>2591</v>
      </c>
      <c r="C11" s="21" t="s">
        <v>7812</v>
      </c>
      <c r="E11" s="20" t="s">
        <v>1639</v>
      </c>
      <c r="W11" s="20" t="str">
        <f>IF(Q11&lt;&gt;0,3,IF(K11="","",VLOOKUP(K11,'#状态名词'!$J$1:$K$15,2,FALSE)))</f>
        <v/>
      </c>
    </row>
    <row r="12" spans="1:33" ht="27">
      <c r="A12" s="31">
        <v>201</v>
      </c>
      <c r="B12" s="20" t="s">
        <v>3845</v>
      </c>
      <c r="C12" s="21" t="s">
        <v>8064</v>
      </c>
      <c r="E12" s="20" t="s">
        <v>1640</v>
      </c>
      <c r="W12" s="20" t="str">
        <f>IF(Q12&lt;&gt;0,3,IF(K12="","",VLOOKUP(K12,'#状态名词'!$J$1:$K$15,2,FALSE)))</f>
        <v/>
      </c>
      <c r="AA12" s="20">
        <v>1</v>
      </c>
      <c r="AB12" s="20">
        <v>201</v>
      </c>
      <c r="AC12" s="20">
        <v>100</v>
      </c>
      <c r="AD12" s="20">
        <v>1</v>
      </c>
    </row>
    <row r="13" spans="1:33" ht="27">
      <c r="A13" s="31">
        <v>202</v>
      </c>
      <c r="B13" s="20" t="s">
        <v>3846</v>
      </c>
      <c r="C13" s="21" t="s">
        <v>7583</v>
      </c>
      <c r="E13" s="20" t="s">
        <v>1641</v>
      </c>
      <c r="F13" s="20" t="s">
        <v>7193</v>
      </c>
      <c r="H13" s="20">
        <v>20</v>
      </c>
      <c r="J13" s="71" t="s">
        <v>1468</v>
      </c>
      <c r="K13" s="20">
        <v>5</v>
      </c>
      <c r="L13" s="20">
        <v>12</v>
      </c>
      <c r="N13" s="20">
        <v>4</v>
      </c>
      <c r="O13" s="20">
        <v>0</v>
      </c>
      <c r="W13" s="20">
        <f>IF(Q13&lt;&gt;0,3,IF(K13="","",VLOOKUP(K13,'#状态名词'!$J$1:$K$15,2,FALSE)))</f>
        <v>1</v>
      </c>
    </row>
    <row r="14" spans="1:33">
      <c r="A14" s="31">
        <v>203</v>
      </c>
      <c r="B14" s="20" t="s">
        <v>3847</v>
      </c>
      <c r="C14" s="21" t="s">
        <v>8057</v>
      </c>
      <c r="E14" s="20" t="s">
        <v>1642</v>
      </c>
      <c r="K14" s="20">
        <v>9</v>
      </c>
      <c r="W14" s="20">
        <f>IF(Q14&lt;&gt;0,3,IF(K14="","",VLOOKUP(K14,'#状态名词'!$J$1:$K$15,2,FALSE)))</f>
        <v>3</v>
      </c>
      <c r="AA14" s="20">
        <v>1</v>
      </c>
      <c r="AB14" s="20">
        <v>202</v>
      </c>
      <c r="AC14" s="20">
        <v>30</v>
      </c>
      <c r="AD14" s="20">
        <v>0</v>
      </c>
    </row>
    <row r="15" spans="1:33">
      <c r="A15" s="31">
        <v>204</v>
      </c>
      <c r="B15" s="20" t="s">
        <v>7181</v>
      </c>
      <c r="C15" s="21" t="s">
        <v>9058</v>
      </c>
      <c r="E15" s="20" t="s">
        <v>1643</v>
      </c>
      <c r="W15" s="20" t="str">
        <f>IF(Q15&lt;&gt;0,3,IF(K15="","",VLOOKUP(K15,'#状态名词'!$J$1:$K$15,2,FALSE)))</f>
        <v/>
      </c>
      <c r="AA15" s="20">
        <v>1</v>
      </c>
      <c r="AB15" s="20">
        <v>204</v>
      </c>
      <c r="AC15" s="20">
        <v>100</v>
      </c>
      <c r="AD15" s="20">
        <v>1</v>
      </c>
    </row>
    <row r="16" spans="1:33">
      <c r="A16" s="31">
        <v>205</v>
      </c>
      <c r="B16" s="20" t="s">
        <v>3848</v>
      </c>
      <c r="C16" s="21" t="s">
        <v>7796</v>
      </c>
      <c r="E16" s="20" t="s">
        <v>1644</v>
      </c>
      <c r="K16" s="20">
        <v>6</v>
      </c>
      <c r="W16" s="20">
        <f>IF(Q16&lt;&gt;0,3,IF(K16="","",VLOOKUP(K16,'#状态名词'!$J$1:$K$15,2,FALSE)))</f>
        <v>3</v>
      </c>
      <c r="AA16" s="20">
        <v>1</v>
      </c>
      <c r="AB16" s="20">
        <v>205</v>
      </c>
      <c r="AC16" s="20">
        <v>5</v>
      </c>
      <c r="AD16" s="20">
        <v>1</v>
      </c>
    </row>
    <row r="17" spans="1:31">
      <c r="A17" s="20">
        <v>301</v>
      </c>
      <c r="B17" s="20" t="s">
        <v>3849</v>
      </c>
      <c r="C17" s="21" t="s">
        <v>3850</v>
      </c>
      <c r="E17" s="20" t="s">
        <v>1645</v>
      </c>
      <c r="K17" s="20">
        <v>9</v>
      </c>
      <c r="L17" s="20">
        <v>100</v>
      </c>
      <c r="W17" s="20">
        <f>IF(Q17&lt;&gt;0,3,IF(K17="","",VLOOKUP(K17,'#状态名词'!$J$1:$K$15,2,FALSE)))</f>
        <v>3</v>
      </c>
      <c r="AA17" s="20">
        <v>1</v>
      </c>
      <c r="AB17" s="20">
        <v>4</v>
      </c>
      <c r="AC17" s="20" t="s">
        <v>3851</v>
      </c>
      <c r="AD17" s="20">
        <v>0</v>
      </c>
    </row>
    <row r="18" spans="1:31">
      <c r="A18" s="20">
        <v>302</v>
      </c>
      <c r="B18" s="20" t="s">
        <v>3852</v>
      </c>
      <c r="C18" s="21" t="s">
        <v>7099</v>
      </c>
      <c r="E18" s="20" t="s">
        <v>1646</v>
      </c>
      <c r="J18" s="19" t="s">
        <v>1464</v>
      </c>
      <c r="K18" s="20">
        <v>11</v>
      </c>
      <c r="W18" s="20">
        <f>IF(Q18&lt;&gt;0,3,IF(K18="","",VLOOKUP(K18,'#状态名词'!$J$1:$K$15,2,FALSE)))</f>
        <v>4</v>
      </c>
      <c r="AA18" s="20">
        <v>1</v>
      </c>
      <c r="AB18" s="20">
        <v>302</v>
      </c>
      <c r="AC18" s="20">
        <v>100</v>
      </c>
      <c r="AD18" s="20">
        <v>1</v>
      </c>
    </row>
    <row r="19" spans="1:31">
      <c r="A19" s="20">
        <v>303</v>
      </c>
      <c r="B19" s="20" t="s">
        <v>3853</v>
      </c>
      <c r="C19" s="21" t="s">
        <v>6600</v>
      </c>
      <c r="E19" s="20" t="s">
        <v>1647</v>
      </c>
      <c r="W19" s="20" t="str">
        <f>IF(Q19&lt;&gt;0,3,IF(K19="","",VLOOKUP(K19,'#状态名词'!$J$1:$K$15,2,FALSE)))</f>
        <v/>
      </c>
      <c r="AA19" s="20">
        <v>1</v>
      </c>
      <c r="AB19" s="20">
        <v>303</v>
      </c>
      <c r="AC19" s="20">
        <v>100</v>
      </c>
      <c r="AD19" s="20">
        <v>1</v>
      </c>
    </row>
    <row r="20" spans="1:31">
      <c r="A20" s="20">
        <v>304</v>
      </c>
      <c r="B20" s="20" t="s">
        <v>3854</v>
      </c>
      <c r="C20" s="73" t="s">
        <v>8992</v>
      </c>
      <c r="E20" s="20" t="s">
        <v>1648</v>
      </c>
      <c r="W20" s="20" t="str">
        <f>IF(Q20&lt;&gt;0,3,IF(K20="","",VLOOKUP(K20,'#状态名词'!$J$1:$K$15,2,FALSE)))</f>
        <v/>
      </c>
      <c r="AA20" s="20">
        <v>1</v>
      </c>
      <c r="AB20" s="20">
        <v>304</v>
      </c>
      <c r="AC20" s="20">
        <v>100</v>
      </c>
      <c r="AD20" s="20">
        <v>1</v>
      </c>
    </row>
    <row r="21" spans="1:31">
      <c r="A21" s="20">
        <v>305</v>
      </c>
      <c r="B21" s="20" t="s">
        <v>3855</v>
      </c>
      <c r="C21" s="73" t="s">
        <v>9060</v>
      </c>
      <c r="E21" s="20" t="s">
        <v>1649</v>
      </c>
      <c r="W21" s="20" t="str">
        <f>IF(Q21&lt;&gt;0,3,IF(K21="","",VLOOKUP(K21,'#状态名词'!$J$1:$K$15,2,FALSE)))</f>
        <v/>
      </c>
      <c r="AA21" s="20">
        <v>1</v>
      </c>
      <c r="AB21" s="20">
        <v>305</v>
      </c>
      <c r="AC21" s="20">
        <v>100</v>
      </c>
      <c r="AD21" s="20">
        <v>1</v>
      </c>
    </row>
    <row r="22" spans="1:31" ht="27">
      <c r="A22" s="20">
        <v>401</v>
      </c>
      <c r="B22" s="20" t="s">
        <v>3856</v>
      </c>
      <c r="C22" s="21" t="s">
        <v>8049</v>
      </c>
      <c r="E22" s="20" t="s">
        <v>1650</v>
      </c>
      <c r="F22" s="20" t="s">
        <v>3857</v>
      </c>
      <c r="H22" s="20">
        <v>10</v>
      </c>
      <c r="J22" s="19" t="s">
        <v>1465</v>
      </c>
      <c r="K22" s="20">
        <v>5</v>
      </c>
      <c r="L22" s="20">
        <v>10</v>
      </c>
      <c r="N22" s="20">
        <v>2</v>
      </c>
      <c r="O22" s="20">
        <v>0</v>
      </c>
      <c r="W22" s="20">
        <f>IF(Q22&lt;&gt;0,3,IF(K22="","",VLOOKUP(K22,'#状态名词'!$J$1:$K$15,2,FALSE)))</f>
        <v>1</v>
      </c>
      <c r="AA22" s="20">
        <v>1</v>
      </c>
      <c r="AB22" s="20">
        <v>61</v>
      </c>
      <c r="AC22" s="20">
        <v>100</v>
      </c>
      <c r="AD22" s="20">
        <v>1</v>
      </c>
      <c r="AE22" s="20">
        <v>15</v>
      </c>
    </row>
    <row r="23" spans="1:31" ht="27">
      <c r="A23" s="20">
        <v>402</v>
      </c>
      <c r="B23" s="20" t="s">
        <v>7130</v>
      </c>
      <c r="C23" s="21" t="s">
        <v>3858</v>
      </c>
      <c r="E23" s="20" t="s">
        <v>1651</v>
      </c>
      <c r="F23" s="20" t="s">
        <v>3859</v>
      </c>
      <c r="H23" s="20">
        <v>30</v>
      </c>
      <c r="J23" s="19" t="s">
        <v>125</v>
      </c>
      <c r="K23" s="20">
        <v>5</v>
      </c>
      <c r="L23" s="20">
        <v>5</v>
      </c>
      <c r="N23" s="20">
        <v>2</v>
      </c>
      <c r="O23" s="20">
        <v>0</v>
      </c>
      <c r="U23" s="20">
        <v>30</v>
      </c>
      <c r="W23" s="20">
        <f>IF(Q23&lt;&gt;0,3,IF(K23="","",VLOOKUP(K23,'#状态名词'!$J$1:$K$15,2,FALSE)))</f>
        <v>1</v>
      </c>
      <c r="AA23" s="20">
        <v>1</v>
      </c>
      <c r="AB23" s="20">
        <v>13</v>
      </c>
      <c r="AC23" s="20">
        <v>100</v>
      </c>
      <c r="AD23" s="20">
        <v>0</v>
      </c>
    </row>
    <row r="24" spans="1:31">
      <c r="A24" s="20">
        <v>403</v>
      </c>
      <c r="B24" s="20" t="s">
        <v>3860</v>
      </c>
      <c r="C24" s="21" t="s">
        <v>6659</v>
      </c>
      <c r="E24" s="20" t="s">
        <v>1652</v>
      </c>
      <c r="W24" s="20" t="str">
        <f>IF(Q24&lt;&gt;0,3,IF(K24="","",VLOOKUP(K24,'#状态名词'!$J$1:$K$15,2,FALSE)))</f>
        <v/>
      </c>
      <c r="AA24" s="20">
        <v>1</v>
      </c>
      <c r="AB24" s="20">
        <v>403</v>
      </c>
      <c r="AC24" s="20">
        <v>100</v>
      </c>
      <c r="AD24" s="20">
        <v>1</v>
      </c>
    </row>
    <row r="25" spans="1:31">
      <c r="A25" s="20">
        <v>404</v>
      </c>
      <c r="B25" s="20" t="s">
        <v>3861</v>
      </c>
      <c r="C25" s="21" t="s">
        <v>6601</v>
      </c>
      <c r="E25" s="20" t="s">
        <v>1653</v>
      </c>
      <c r="W25" s="20" t="str">
        <f>IF(Q25&lt;&gt;0,3,IF(K25="","",VLOOKUP(K25,'#状态名词'!$J$1:$K$15,2,FALSE)))</f>
        <v/>
      </c>
      <c r="AA25" s="20">
        <v>1</v>
      </c>
      <c r="AB25" s="20">
        <v>404</v>
      </c>
      <c r="AC25" s="20">
        <v>100</v>
      </c>
      <c r="AD25" s="20">
        <v>1</v>
      </c>
    </row>
    <row r="26" spans="1:31">
      <c r="A26" s="20">
        <v>405</v>
      </c>
      <c r="B26" s="20" t="s">
        <v>3862</v>
      </c>
      <c r="C26" s="21" t="s">
        <v>8065</v>
      </c>
      <c r="E26" s="20" t="s">
        <v>1654</v>
      </c>
      <c r="G26" s="31">
        <v>402</v>
      </c>
      <c r="W26" s="20" t="str">
        <f>IF(Q26&lt;&gt;0,3,IF(K26="","",VLOOKUP(K26,'#状态名词'!$J$1:$K$15,2,FALSE)))</f>
        <v/>
      </c>
      <c r="AA26" s="20">
        <v>1</v>
      </c>
      <c r="AB26" s="20">
        <v>405</v>
      </c>
      <c r="AC26" s="20">
        <v>100</v>
      </c>
      <c r="AD26" s="20">
        <v>2</v>
      </c>
    </row>
    <row r="27" spans="1:31">
      <c r="A27" s="20">
        <v>501</v>
      </c>
      <c r="B27" s="20" t="s">
        <v>7092</v>
      </c>
      <c r="C27" s="21" t="s">
        <v>7094</v>
      </c>
      <c r="E27" s="20" t="s">
        <v>1655</v>
      </c>
      <c r="K27" s="20">
        <v>9</v>
      </c>
      <c r="L27" s="20">
        <v>100</v>
      </c>
      <c r="W27" s="20">
        <f>IF(Q27&lt;&gt;0,3,IF(K27="","",VLOOKUP(K27,'#状态名词'!$J$1:$K$15,2,FALSE)))</f>
        <v>3</v>
      </c>
      <c r="AA27" s="20">
        <v>1</v>
      </c>
      <c r="AB27" s="20">
        <v>42</v>
      </c>
      <c r="AC27" s="20" t="s">
        <v>7095</v>
      </c>
      <c r="AD27" s="20">
        <v>1</v>
      </c>
    </row>
    <row r="28" spans="1:31">
      <c r="W28" s="20" t="str">
        <f>IF(Q28&lt;&gt;0,3,IF(K28="","",VLOOKUP(K28,'#状态名词'!$J$1:$K$15,2,FALSE)))</f>
        <v/>
      </c>
      <c r="AA28" s="20">
        <v>1</v>
      </c>
      <c r="AB28" s="20">
        <v>22</v>
      </c>
      <c r="AC28" s="20" t="s">
        <v>7093</v>
      </c>
      <c r="AD28" s="20">
        <v>0</v>
      </c>
    </row>
    <row r="29" spans="1:31" ht="27">
      <c r="A29" s="20">
        <v>502</v>
      </c>
      <c r="B29" s="20" t="s">
        <v>7059</v>
      </c>
      <c r="C29" s="21" t="s">
        <v>9021</v>
      </c>
      <c r="E29" s="20" t="s">
        <v>1656</v>
      </c>
      <c r="F29" s="20" t="s">
        <v>3863</v>
      </c>
      <c r="H29" s="20">
        <v>20</v>
      </c>
      <c r="J29" s="19" t="s">
        <v>1466</v>
      </c>
      <c r="K29" s="20">
        <v>4</v>
      </c>
      <c r="L29" s="20">
        <v>100</v>
      </c>
      <c r="N29" s="20">
        <v>2</v>
      </c>
      <c r="O29" s="20">
        <v>0</v>
      </c>
      <c r="W29" s="20">
        <f>IF(Q29&lt;&gt;0,3,IF(K29="","",VLOOKUP(K29,'#状态名词'!$J$1:$K$15,2,FALSE)))</f>
        <v>3</v>
      </c>
      <c r="AA29" s="20">
        <v>1</v>
      </c>
      <c r="AB29" s="20">
        <v>12</v>
      </c>
      <c r="AC29" s="20">
        <v>100</v>
      </c>
      <c r="AD29" s="20">
        <v>0</v>
      </c>
    </row>
    <row r="30" spans="1:31">
      <c r="A30" s="20">
        <v>503</v>
      </c>
      <c r="B30" s="20" t="s">
        <v>3864</v>
      </c>
      <c r="C30" s="21" t="s">
        <v>3865</v>
      </c>
      <c r="E30" s="20" t="s">
        <v>1657</v>
      </c>
      <c r="K30" s="20">
        <v>9</v>
      </c>
      <c r="L30" s="20">
        <v>100</v>
      </c>
      <c r="W30" s="20">
        <f>IF(Q30&lt;&gt;0,3,IF(K30="","",VLOOKUP(K30,'#状态名词'!$J$1:$K$15,2,FALSE)))</f>
        <v>3</v>
      </c>
      <c r="AA30" s="20">
        <v>1</v>
      </c>
      <c r="AB30" s="20">
        <v>3</v>
      </c>
      <c r="AC30" s="20" t="s">
        <v>3866</v>
      </c>
      <c r="AD30" s="20">
        <v>0</v>
      </c>
    </row>
    <row r="31" spans="1:31" ht="27">
      <c r="A31" s="20">
        <v>504</v>
      </c>
      <c r="B31" s="20" t="s">
        <v>7062</v>
      </c>
      <c r="C31" s="21" t="s">
        <v>9022</v>
      </c>
      <c r="E31" s="20" t="s">
        <v>1658</v>
      </c>
      <c r="F31" s="20" t="s">
        <v>9024</v>
      </c>
      <c r="H31" s="20">
        <v>10</v>
      </c>
      <c r="J31" s="19" t="s">
        <v>1467</v>
      </c>
      <c r="K31" s="20">
        <v>2</v>
      </c>
      <c r="L31" s="20">
        <v>100</v>
      </c>
      <c r="N31" s="20">
        <v>4</v>
      </c>
      <c r="O31" s="20">
        <v>0</v>
      </c>
      <c r="V31" s="20">
        <v>10</v>
      </c>
      <c r="W31" s="20">
        <f>IF(Q31&lt;&gt;0,3,IF(K31="","",VLOOKUP(K31,'#状态名词'!$J$1:$K$15,2,FALSE)))</f>
        <v>3</v>
      </c>
      <c r="AA31" s="20">
        <v>1</v>
      </c>
      <c r="AB31" s="20">
        <v>4</v>
      </c>
      <c r="AC31" s="20">
        <v>100</v>
      </c>
      <c r="AD31" s="20">
        <v>0</v>
      </c>
    </row>
    <row r="32" spans="1:31" ht="27">
      <c r="A32" s="20">
        <v>505</v>
      </c>
      <c r="B32" s="20" t="s">
        <v>7060</v>
      </c>
      <c r="C32" s="21" t="s">
        <v>9023</v>
      </c>
      <c r="E32" s="20" t="s">
        <v>1659</v>
      </c>
      <c r="F32" s="20" t="s">
        <v>9025</v>
      </c>
      <c r="H32" s="20">
        <v>15</v>
      </c>
      <c r="J32" s="19" t="s">
        <v>1468</v>
      </c>
      <c r="K32" s="20">
        <v>3</v>
      </c>
      <c r="L32" s="20">
        <v>100</v>
      </c>
      <c r="N32" s="20">
        <v>4</v>
      </c>
      <c r="O32" s="20">
        <v>0</v>
      </c>
      <c r="W32" s="20">
        <f>IF(Q32&lt;&gt;0,3,IF(K32="","",VLOOKUP(K32,'#状态名词'!$J$1:$K$15,2,FALSE)))</f>
        <v>3</v>
      </c>
      <c r="AA32" s="20">
        <v>1</v>
      </c>
      <c r="AB32" s="20">
        <v>2</v>
      </c>
      <c r="AC32" s="20">
        <v>100</v>
      </c>
      <c r="AD32" s="20">
        <v>0</v>
      </c>
    </row>
    <row r="33" spans="1:30">
      <c r="A33" s="20">
        <v>601</v>
      </c>
      <c r="B33" s="20" t="s">
        <v>3867</v>
      </c>
      <c r="C33" s="73" t="s">
        <v>9026</v>
      </c>
      <c r="E33" s="20" t="s">
        <v>1660</v>
      </c>
      <c r="W33" s="20" t="str">
        <f>IF(Q33&lt;&gt;0,3,IF(K33="","",VLOOKUP(K33,'#状态名词'!$J$1:$K$15,2,FALSE)))</f>
        <v/>
      </c>
      <c r="AA33" s="20">
        <v>1</v>
      </c>
      <c r="AB33" s="20">
        <v>601</v>
      </c>
      <c r="AC33" s="20">
        <v>100</v>
      </c>
      <c r="AD33" s="20">
        <v>1</v>
      </c>
    </row>
    <row r="34" spans="1:30">
      <c r="A34" s="20">
        <v>602</v>
      </c>
      <c r="B34" s="20" t="s">
        <v>3868</v>
      </c>
      <c r="C34" s="21" t="s">
        <v>3869</v>
      </c>
      <c r="E34" s="20" t="s">
        <v>1661</v>
      </c>
      <c r="G34" s="20">
        <v>1</v>
      </c>
      <c r="W34" s="20" t="str">
        <f>IF(Q34&lt;&gt;0,3,IF(K34="","",VLOOKUP(K34,'#状态名词'!$J$1:$K$15,2,FALSE)))</f>
        <v/>
      </c>
      <c r="AA34" s="20">
        <v>1</v>
      </c>
      <c r="AB34" s="20">
        <v>44</v>
      </c>
      <c r="AC34" s="20" t="s">
        <v>3870</v>
      </c>
      <c r="AD34" s="20">
        <v>1</v>
      </c>
    </row>
    <row r="35" spans="1:30">
      <c r="W35" s="20" t="str">
        <f>IF(Q35&lt;&gt;0,3,IF(K35="","",VLOOKUP(K35,'#状态名词'!$J$1:$K$15,2,FALSE)))</f>
        <v/>
      </c>
      <c r="AA35" s="20">
        <v>1</v>
      </c>
      <c r="AB35" s="20">
        <v>12</v>
      </c>
      <c r="AC35" s="20" t="s">
        <v>3871</v>
      </c>
      <c r="AD35" s="20">
        <v>0</v>
      </c>
    </row>
    <row r="36" spans="1:30" ht="27">
      <c r="A36" s="20">
        <v>603</v>
      </c>
      <c r="B36" s="20" t="s">
        <v>3872</v>
      </c>
      <c r="C36" s="73" t="s">
        <v>9028</v>
      </c>
      <c r="E36" s="20" t="s">
        <v>1662</v>
      </c>
      <c r="F36" s="20" t="s">
        <v>9029</v>
      </c>
      <c r="H36" s="20">
        <v>5</v>
      </c>
      <c r="J36" s="19" t="s">
        <v>1469</v>
      </c>
      <c r="K36" s="20">
        <v>1</v>
      </c>
      <c r="L36" s="20">
        <v>12</v>
      </c>
      <c r="O36" s="20">
        <v>0</v>
      </c>
      <c r="W36" s="20">
        <f>IF(Q36&lt;&gt;0,3,IF(K36="","",VLOOKUP(K36,'#状态名词'!$J$1:$K$15,2,FALSE)))</f>
        <v>1</v>
      </c>
    </row>
    <row r="37" spans="1:30">
      <c r="A37" s="20">
        <v>604</v>
      </c>
      <c r="B37" s="20" t="s">
        <v>3873</v>
      </c>
      <c r="C37" s="21" t="s">
        <v>6602</v>
      </c>
      <c r="E37" s="20" t="s">
        <v>1663</v>
      </c>
      <c r="H37" s="20">
        <v>25</v>
      </c>
      <c r="J37" s="19" t="s">
        <v>1470</v>
      </c>
      <c r="K37" s="20">
        <v>3</v>
      </c>
      <c r="L37" s="20">
        <v>100</v>
      </c>
      <c r="W37" s="20">
        <f>IF(Q37&lt;&gt;0,3,IF(K37="","",VLOOKUP(K37,'#状态名词'!$J$1:$K$15,2,FALSE)))</f>
        <v>3</v>
      </c>
      <c r="AA37" s="20">
        <v>1</v>
      </c>
      <c r="AB37" s="20">
        <v>604</v>
      </c>
      <c r="AC37" s="20">
        <v>100</v>
      </c>
      <c r="AD37" s="20">
        <v>1</v>
      </c>
    </row>
    <row r="38" spans="1:30">
      <c r="A38" s="20">
        <v>605</v>
      </c>
      <c r="B38" s="20" t="s">
        <v>3874</v>
      </c>
      <c r="C38" s="21" t="s">
        <v>6603</v>
      </c>
      <c r="E38" s="20" t="s">
        <v>1664</v>
      </c>
      <c r="W38" s="20" t="str">
        <f>IF(Q38&lt;&gt;0,3,IF(K38="","",VLOOKUP(K38,'#状态名词'!$J$1:$K$15,2,FALSE)))</f>
        <v/>
      </c>
      <c r="AA38" s="20">
        <v>1</v>
      </c>
      <c r="AB38" s="20">
        <v>605</v>
      </c>
      <c r="AC38" s="20">
        <v>100</v>
      </c>
      <c r="AD38" s="20">
        <v>1</v>
      </c>
    </row>
    <row r="39" spans="1:30">
      <c r="A39" s="20">
        <v>701</v>
      </c>
      <c r="B39" s="20" t="s">
        <v>3875</v>
      </c>
      <c r="C39" s="21" t="s">
        <v>6604</v>
      </c>
      <c r="E39" s="20" t="s">
        <v>1665</v>
      </c>
      <c r="W39" s="20" t="str">
        <f>IF(Q39&lt;&gt;0,3,IF(K39="","",VLOOKUP(K39,'#状态名词'!$J$1:$K$15,2,FALSE)))</f>
        <v/>
      </c>
      <c r="AA39" s="20">
        <v>1</v>
      </c>
      <c r="AB39" s="20">
        <v>701</v>
      </c>
      <c r="AC39" s="20">
        <v>100</v>
      </c>
      <c r="AD39" s="20">
        <v>1</v>
      </c>
    </row>
    <row r="40" spans="1:30">
      <c r="A40" s="20">
        <v>702</v>
      </c>
      <c r="B40" s="20" t="s">
        <v>3876</v>
      </c>
      <c r="C40" s="21" t="s">
        <v>3877</v>
      </c>
      <c r="E40" s="20" t="s">
        <v>1666</v>
      </c>
      <c r="K40" s="20">
        <v>9</v>
      </c>
      <c r="L40" s="20">
        <v>100</v>
      </c>
      <c r="W40" s="20">
        <f>IF(Q40&lt;&gt;0,3,IF(K40="","",VLOOKUP(K40,'#状态名词'!$J$1:$K$15,2,FALSE)))</f>
        <v>3</v>
      </c>
      <c r="AA40" s="20">
        <v>1</v>
      </c>
      <c r="AB40" s="20">
        <v>44</v>
      </c>
      <c r="AC40" s="20" t="s">
        <v>3878</v>
      </c>
      <c r="AD40" s="20">
        <v>1</v>
      </c>
    </row>
    <row r="41" spans="1:30" ht="27">
      <c r="A41" s="20">
        <v>703</v>
      </c>
      <c r="B41" s="20" t="s">
        <v>3879</v>
      </c>
      <c r="C41" s="21" t="s">
        <v>3880</v>
      </c>
      <c r="E41" s="20" t="s">
        <v>1642</v>
      </c>
      <c r="F41" s="20" t="s">
        <v>3881</v>
      </c>
      <c r="H41" s="20">
        <v>18</v>
      </c>
      <c r="J41" s="19" t="s">
        <v>1471</v>
      </c>
      <c r="K41" s="20">
        <v>1</v>
      </c>
      <c r="L41" s="20">
        <v>7</v>
      </c>
      <c r="N41" s="20">
        <v>2</v>
      </c>
      <c r="O41" s="20">
        <v>1</v>
      </c>
      <c r="V41" s="20">
        <v>20</v>
      </c>
      <c r="W41" s="20">
        <f>IF(Q41&lt;&gt;0,3,IF(K41="","",VLOOKUP(K41,'#状态名词'!$J$1:$K$15,2,FALSE)))</f>
        <v>1</v>
      </c>
    </row>
    <row r="42" spans="1:30">
      <c r="A42" s="20">
        <v>704</v>
      </c>
      <c r="B42" s="20" t="s">
        <v>468</v>
      </c>
      <c r="C42" s="21" t="s">
        <v>3882</v>
      </c>
      <c r="E42" s="20" t="s">
        <v>1667</v>
      </c>
      <c r="G42" s="31">
        <v>703</v>
      </c>
      <c r="W42" s="20" t="str">
        <f>IF(Q42&lt;&gt;0,3,IF(K42="","",VLOOKUP(K42,'#状态名词'!$J$1:$K$15,2,FALSE)))</f>
        <v/>
      </c>
      <c r="AA42" s="20">
        <v>1</v>
      </c>
      <c r="AB42" s="20">
        <v>704</v>
      </c>
      <c r="AC42" s="20">
        <v>100</v>
      </c>
      <c r="AD42" s="20">
        <v>2</v>
      </c>
    </row>
    <row r="43" spans="1:30">
      <c r="A43" s="20">
        <v>705</v>
      </c>
      <c r="B43" s="20" t="s">
        <v>3883</v>
      </c>
      <c r="C43" s="21" t="s">
        <v>8051</v>
      </c>
      <c r="E43" s="20" t="s">
        <v>1668</v>
      </c>
      <c r="Q43" s="20">
        <v>1</v>
      </c>
      <c r="R43" s="20">
        <v>2</v>
      </c>
      <c r="S43" s="20">
        <v>1</v>
      </c>
      <c r="W43" s="20">
        <f>IF(Q43&lt;&gt;0,3,IF(K43="","",VLOOKUP(K43,'#状态名词'!$J$1:$K$15,2,FALSE)))</f>
        <v>3</v>
      </c>
      <c r="AA43" s="20">
        <v>1</v>
      </c>
      <c r="AB43" s="20">
        <v>705</v>
      </c>
      <c r="AC43" s="20">
        <v>100</v>
      </c>
      <c r="AD43" s="20">
        <v>1</v>
      </c>
    </row>
    <row r="44" spans="1:30" ht="27">
      <c r="A44" s="20">
        <v>801</v>
      </c>
      <c r="B44" s="20" t="s">
        <v>3884</v>
      </c>
      <c r="C44" s="21" t="s">
        <v>3885</v>
      </c>
      <c r="E44" s="20" t="s">
        <v>1669</v>
      </c>
      <c r="F44" s="20" t="s">
        <v>3886</v>
      </c>
      <c r="H44" s="20">
        <v>25</v>
      </c>
      <c r="J44" s="19" t="s">
        <v>1472</v>
      </c>
      <c r="K44" s="20">
        <v>5</v>
      </c>
      <c r="L44" s="20">
        <v>17</v>
      </c>
      <c r="O44" s="20">
        <v>1</v>
      </c>
      <c r="W44" s="20">
        <f>IF(Q44&lt;&gt;0,3,IF(K44="","",VLOOKUP(K44,'#状态名词'!$J$1:$K$15,2,FALSE)))</f>
        <v>1</v>
      </c>
      <c r="AA44" s="20">
        <v>1</v>
      </c>
      <c r="AB44" s="20">
        <v>13</v>
      </c>
      <c r="AC44" s="20">
        <v>100</v>
      </c>
      <c r="AD44" s="20">
        <v>0</v>
      </c>
    </row>
    <row r="45" spans="1:30">
      <c r="A45" s="20">
        <v>802</v>
      </c>
      <c r="B45" s="20" t="s">
        <v>3887</v>
      </c>
      <c r="C45" s="21" t="s">
        <v>8066</v>
      </c>
      <c r="E45" s="20" t="s">
        <v>1670</v>
      </c>
      <c r="W45" s="20" t="str">
        <f>IF(Q45&lt;&gt;0,3,IF(K45="","",VLOOKUP(K45,'#状态名词'!$J$1:$K$15,2,FALSE)))</f>
        <v/>
      </c>
      <c r="AA45" s="20">
        <v>1</v>
      </c>
      <c r="AB45" s="20">
        <v>802</v>
      </c>
      <c r="AC45" s="20">
        <v>100</v>
      </c>
      <c r="AD45" s="20">
        <v>1</v>
      </c>
    </row>
    <row r="46" spans="1:30" ht="27">
      <c r="A46" s="20">
        <v>803</v>
      </c>
      <c r="B46" s="20" t="s">
        <v>3888</v>
      </c>
      <c r="C46" s="21" t="s">
        <v>3889</v>
      </c>
      <c r="E46" s="20" t="s">
        <v>1671</v>
      </c>
      <c r="F46" s="20" t="s">
        <v>3890</v>
      </c>
      <c r="H46" s="20">
        <v>25</v>
      </c>
      <c r="J46" s="19" t="s">
        <v>1473</v>
      </c>
      <c r="K46" s="20">
        <v>8</v>
      </c>
      <c r="L46" s="20">
        <v>12</v>
      </c>
      <c r="O46" s="20">
        <v>1</v>
      </c>
      <c r="W46" s="20">
        <f>IF(Q46&lt;&gt;0,3,IF(K46="","",VLOOKUP(K46,'#状态名词'!$J$1:$K$15,2,FALSE)))</f>
        <v>2</v>
      </c>
      <c r="AA46" s="20">
        <v>1</v>
      </c>
      <c r="AB46" s="20">
        <v>22</v>
      </c>
      <c r="AC46" s="20">
        <v>100</v>
      </c>
      <c r="AD46" s="20">
        <v>0</v>
      </c>
    </row>
    <row r="47" spans="1:30">
      <c r="A47" s="20">
        <v>804</v>
      </c>
      <c r="B47" s="20" t="s">
        <v>3891</v>
      </c>
      <c r="C47" s="21" t="s">
        <v>6605</v>
      </c>
      <c r="E47" s="20" t="s">
        <v>1672</v>
      </c>
      <c r="W47" s="20" t="str">
        <f>IF(Q47&lt;&gt;0,3,IF(K47="","",VLOOKUP(K47,'#状态名词'!$J$1:$K$15,2,FALSE)))</f>
        <v/>
      </c>
      <c r="AA47" s="20">
        <v>1</v>
      </c>
      <c r="AB47" s="20">
        <v>804</v>
      </c>
      <c r="AC47" s="20">
        <v>100</v>
      </c>
      <c r="AD47" s="20">
        <v>1</v>
      </c>
    </row>
    <row r="48" spans="1:30">
      <c r="A48" s="20">
        <v>805</v>
      </c>
      <c r="B48" s="20" t="s">
        <v>3892</v>
      </c>
      <c r="C48" s="21" t="s">
        <v>3893</v>
      </c>
      <c r="E48" s="20" t="s">
        <v>1673</v>
      </c>
      <c r="W48" s="20" t="str">
        <f>IF(Q48&lt;&gt;0,3,IF(K48="","",VLOOKUP(K48,'#状态名词'!$J$1:$K$15,2,FALSE)))</f>
        <v/>
      </c>
      <c r="AA48" s="20">
        <v>1</v>
      </c>
      <c r="AB48" s="20">
        <v>805</v>
      </c>
      <c r="AC48" s="20">
        <v>100</v>
      </c>
      <c r="AD48" s="20">
        <v>1</v>
      </c>
    </row>
    <row r="49" spans="1:30" ht="27">
      <c r="A49" s="20">
        <v>901</v>
      </c>
      <c r="B49" s="20" t="s">
        <v>3894</v>
      </c>
      <c r="C49" s="21" t="s">
        <v>3895</v>
      </c>
      <c r="E49" s="20" t="s">
        <v>1674</v>
      </c>
      <c r="F49" s="20" t="s">
        <v>3896</v>
      </c>
      <c r="H49" s="20">
        <v>15</v>
      </c>
      <c r="J49" s="19" t="s">
        <v>1474</v>
      </c>
      <c r="K49" s="20">
        <v>1</v>
      </c>
      <c r="L49" s="20">
        <v>12</v>
      </c>
      <c r="O49" s="20">
        <v>0</v>
      </c>
      <c r="W49" s="20">
        <f>IF(Q49&lt;&gt;0,3,IF(K49="","",VLOOKUP(K49,'#状态名词'!$J$1:$K$15,2,FALSE)))</f>
        <v>1</v>
      </c>
    </row>
    <row r="50" spans="1:30">
      <c r="A50" s="20">
        <v>902</v>
      </c>
      <c r="B50" s="20" t="s">
        <v>3897</v>
      </c>
      <c r="C50" s="21" t="s">
        <v>6606</v>
      </c>
      <c r="E50" s="20" t="s">
        <v>1675</v>
      </c>
      <c r="W50" s="20" t="str">
        <f>IF(Q50&lt;&gt;0,3,IF(K50="","",VLOOKUP(K50,'#状态名词'!$J$1:$K$15,2,FALSE)))</f>
        <v/>
      </c>
      <c r="AA50" s="20">
        <v>1</v>
      </c>
      <c r="AB50" s="20">
        <v>902</v>
      </c>
      <c r="AC50" s="20">
        <v>100</v>
      </c>
      <c r="AD50" s="20">
        <v>1</v>
      </c>
    </row>
    <row r="51" spans="1:30">
      <c r="A51" s="20">
        <v>903</v>
      </c>
      <c r="B51" s="20" t="s">
        <v>3898</v>
      </c>
      <c r="C51" s="21" t="s">
        <v>8067</v>
      </c>
      <c r="E51" s="20" t="s">
        <v>1676</v>
      </c>
      <c r="G51" s="31">
        <v>901</v>
      </c>
      <c r="W51" s="20" t="str">
        <f>IF(Q51&lt;&gt;0,3,IF(K51="","",VLOOKUP(K51,'#状态名词'!$J$1:$K$15,2,FALSE)))</f>
        <v/>
      </c>
      <c r="AA51" s="20">
        <v>1</v>
      </c>
      <c r="AB51" s="20">
        <v>903</v>
      </c>
      <c r="AC51" s="20">
        <v>100</v>
      </c>
      <c r="AD51" s="20">
        <v>2</v>
      </c>
    </row>
    <row r="52" spans="1:30">
      <c r="A52" s="20">
        <v>904</v>
      </c>
      <c r="B52" s="20" t="s">
        <v>3899</v>
      </c>
      <c r="C52" s="21" t="s">
        <v>6607</v>
      </c>
      <c r="E52" s="20" t="s">
        <v>1677</v>
      </c>
      <c r="W52" s="20" t="str">
        <f>IF(Q52&lt;&gt;0,3,IF(K52="","",VLOOKUP(K52,'#状态名词'!$J$1:$K$15,2,FALSE)))</f>
        <v/>
      </c>
      <c r="AA52" s="20">
        <v>1</v>
      </c>
      <c r="AB52" s="20">
        <v>904</v>
      </c>
      <c r="AC52" s="20">
        <v>100</v>
      </c>
      <c r="AD52" s="20">
        <v>1</v>
      </c>
    </row>
    <row r="53" spans="1:30">
      <c r="A53" s="20">
        <v>905</v>
      </c>
      <c r="B53" s="20" t="s">
        <v>3900</v>
      </c>
      <c r="C53" s="21" t="s">
        <v>6608</v>
      </c>
      <c r="E53" s="20" t="s">
        <v>1678</v>
      </c>
      <c r="W53" s="20" t="str">
        <f>IF(Q53&lt;&gt;0,3,IF(K53="","",VLOOKUP(K53,'#状态名词'!$J$1:$K$15,2,FALSE)))</f>
        <v/>
      </c>
      <c r="AA53" s="20">
        <v>1</v>
      </c>
      <c r="AB53" s="20">
        <v>905</v>
      </c>
      <c r="AC53" s="20">
        <v>100</v>
      </c>
      <c r="AD53" s="20">
        <v>1</v>
      </c>
    </row>
    <row r="54" spans="1:30">
      <c r="A54" s="20">
        <v>1001</v>
      </c>
      <c r="B54" s="20" t="s">
        <v>3901</v>
      </c>
      <c r="C54" s="21" t="s">
        <v>6609</v>
      </c>
      <c r="E54" s="20" t="s">
        <v>1679</v>
      </c>
      <c r="W54" s="20" t="str">
        <f>IF(Q54&lt;&gt;0,3,IF(K54="","",VLOOKUP(K54,'#状态名词'!$J$1:$K$15,2,FALSE)))</f>
        <v/>
      </c>
      <c r="AA54" s="20">
        <v>1</v>
      </c>
      <c r="AB54" s="20">
        <v>1001</v>
      </c>
      <c r="AC54" s="20">
        <v>100</v>
      </c>
      <c r="AD54" s="20">
        <v>1</v>
      </c>
    </row>
    <row r="55" spans="1:30">
      <c r="A55" s="20">
        <v>1002</v>
      </c>
      <c r="B55" s="20" t="s">
        <v>3902</v>
      </c>
      <c r="C55" s="21" t="s">
        <v>3903</v>
      </c>
      <c r="E55" s="20" t="s">
        <v>1680</v>
      </c>
      <c r="F55" s="20" t="s">
        <v>3904</v>
      </c>
      <c r="H55" s="20">
        <v>30</v>
      </c>
      <c r="J55" s="19" t="s">
        <v>1475</v>
      </c>
      <c r="K55" s="20">
        <v>5</v>
      </c>
      <c r="L55" s="20">
        <v>12</v>
      </c>
      <c r="O55" s="20">
        <v>0</v>
      </c>
      <c r="T55" s="20">
        <v>30</v>
      </c>
      <c r="W55" s="20">
        <f>IF(Q55&lt;&gt;0,3,IF(K55="","",VLOOKUP(K55,'#状态名词'!$J$1:$K$15,2,FALSE)))</f>
        <v>1</v>
      </c>
    </row>
    <row r="56" spans="1:30">
      <c r="A56" s="20">
        <v>1003</v>
      </c>
      <c r="B56" s="20" t="s">
        <v>3905</v>
      </c>
      <c r="C56" s="21" t="s">
        <v>6610</v>
      </c>
      <c r="E56" s="20" t="s">
        <v>1681</v>
      </c>
      <c r="K56" s="20">
        <v>6</v>
      </c>
      <c r="L56" s="20">
        <v>100</v>
      </c>
      <c r="W56" s="20">
        <f>IF(Q56&lt;&gt;0,3,IF(K56="","",VLOOKUP(K56,'#状态名词'!$J$1:$K$15,2,FALSE)))</f>
        <v>3</v>
      </c>
      <c r="AA56" s="20">
        <v>1</v>
      </c>
      <c r="AB56" s="20">
        <v>1003</v>
      </c>
      <c r="AC56" s="20">
        <v>100</v>
      </c>
      <c r="AD56" s="20">
        <v>1</v>
      </c>
    </row>
    <row r="57" spans="1:30">
      <c r="A57" s="20">
        <v>1004</v>
      </c>
      <c r="B57" s="20" t="s">
        <v>3906</v>
      </c>
      <c r="C57" s="21" t="s">
        <v>6611</v>
      </c>
      <c r="E57" s="20" t="s">
        <v>1682</v>
      </c>
      <c r="W57" s="20" t="str">
        <f>IF(Q57&lt;&gt;0,3,IF(K57="","",VLOOKUP(K57,'#状态名词'!$J$1:$K$15,2,FALSE)))</f>
        <v/>
      </c>
      <c r="AA57" s="20">
        <v>1</v>
      </c>
      <c r="AB57" s="20">
        <v>1004</v>
      </c>
      <c r="AC57" s="20">
        <v>100</v>
      </c>
      <c r="AD57" s="20">
        <v>1</v>
      </c>
    </row>
    <row r="58" spans="1:30" ht="27">
      <c r="A58" s="20">
        <v>1005</v>
      </c>
      <c r="B58" s="20" t="s">
        <v>3907</v>
      </c>
      <c r="C58" s="21" t="s">
        <v>8068</v>
      </c>
      <c r="E58" s="20" t="s">
        <v>1683</v>
      </c>
      <c r="W58" s="20" t="str">
        <f>IF(Q58&lt;&gt;0,3,IF(K58="","",VLOOKUP(K58,'#状态名词'!$J$1:$K$15,2,FALSE)))</f>
        <v/>
      </c>
      <c r="Y58" s="20">
        <v>3</v>
      </c>
      <c r="Z58" s="20">
        <v>1006</v>
      </c>
      <c r="AA58" s="20">
        <v>1</v>
      </c>
      <c r="AB58" s="20">
        <v>1005</v>
      </c>
      <c r="AC58" s="20">
        <v>100</v>
      </c>
      <c r="AD58" s="20">
        <v>2</v>
      </c>
    </row>
    <row r="59" spans="1:30">
      <c r="W59" s="20" t="str">
        <f>IF(Q59&lt;&gt;0,3,IF(K59="","",VLOOKUP(K59,'#状态名词'!$J$1:$K$15,2,FALSE)))</f>
        <v/>
      </c>
      <c r="Y59" s="20">
        <v>6</v>
      </c>
      <c r="Z59" s="20">
        <v>1007</v>
      </c>
    </row>
    <row r="60" spans="1:30">
      <c r="A60" s="20">
        <v>1006</v>
      </c>
      <c r="B60" s="20" t="s">
        <v>3908</v>
      </c>
      <c r="C60" s="21" t="s">
        <v>6459</v>
      </c>
      <c r="G60" s="20">
        <v>1002</v>
      </c>
      <c r="W60" s="20" t="str">
        <f>IF(Q60&lt;&gt;0,3,IF(K60="","",VLOOKUP(K60,'#状态名词'!$J$1:$K$15,2,FALSE)))</f>
        <v/>
      </c>
      <c r="AA60" s="20">
        <v>1</v>
      </c>
      <c r="AB60" s="20">
        <v>2</v>
      </c>
      <c r="AC60" s="20">
        <v>100</v>
      </c>
      <c r="AD60" s="20">
        <v>0</v>
      </c>
    </row>
    <row r="61" spans="1:30">
      <c r="A61" s="20">
        <v>1007</v>
      </c>
      <c r="B61" s="20" t="s">
        <v>3909</v>
      </c>
      <c r="C61" s="21" t="s">
        <v>3910</v>
      </c>
      <c r="G61" s="20">
        <v>1002</v>
      </c>
      <c r="W61" s="20" t="str">
        <f>IF(Q61&lt;&gt;0,3,IF(K61="","",VLOOKUP(K61,'#状态名词'!$J$1:$K$15,2,FALSE)))</f>
        <v/>
      </c>
      <c r="AA61" s="20">
        <v>1</v>
      </c>
      <c r="AB61" s="20">
        <v>1007</v>
      </c>
      <c r="AC61" s="20">
        <v>100</v>
      </c>
      <c r="AD61" s="20">
        <v>2</v>
      </c>
    </row>
    <row r="62" spans="1:30">
      <c r="A62" s="20">
        <v>1101</v>
      </c>
      <c r="B62" s="20" t="s">
        <v>3911</v>
      </c>
      <c r="C62" s="21" t="s">
        <v>6660</v>
      </c>
      <c r="E62" s="20" t="s">
        <v>1684</v>
      </c>
      <c r="K62" s="20">
        <v>9</v>
      </c>
      <c r="W62" s="20">
        <f>IF(Q62&lt;&gt;0,3,IF(K62="","",VLOOKUP(K62,'#状态名词'!$J$1:$K$15,2,FALSE)))</f>
        <v>3</v>
      </c>
      <c r="AA62" s="20">
        <v>1</v>
      </c>
      <c r="AB62" s="20">
        <v>1101</v>
      </c>
      <c r="AC62" s="20" t="s">
        <v>3912</v>
      </c>
      <c r="AD62" s="20">
        <v>0</v>
      </c>
    </row>
    <row r="63" spans="1:30">
      <c r="A63" s="20">
        <v>1102</v>
      </c>
      <c r="B63" s="20" t="s">
        <v>3913</v>
      </c>
      <c r="C63" s="21" t="s">
        <v>6661</v>
      </c>
      <c r="E63" s="20" t="s">
        <v>1685</v>
      </c>
      <c r="K63" s="20">
        <v>9</v>
      </c>
      <c r="W63" s="20">
        <f>IF(Q63&lt;&gt;0,3,IF(K63="","",VLOOKUP(K63,'#状态名词'!$J$1:$K$15,2,FALSE)))</f>
        <v>3</v>
      </c>
      <c r="AA63" s="20">
        <v>1</v>
      </c>
      <c r="AB63" s="20">
        <v>1102</v>
      </c>
      <c r="AC63" s="20" t="s">
        <v>3912</v>
      </c>
      <c r="AD63" s="20">
        <v>1</v>
      </c>
    </row>
    <row r="64" spans="1:30" ht="27">
      <c r="A64" s="20">
        <v>1103</v>
      </c>
      <c r="B64" s="20" t="s">
        <v>3914</v>
      </c>
      <c r="C64" s="21" t="s">
        <v>9043</v>
      </c>
      <c r="E64" s="20" t="s">
        <v>1678</v>
      </c>
      <c r="P64" s="20">
        <v>1103</v>
      </c>
      <c r="Q64" s="20">
        <v>3</v>
      </c>
      <c r="R64" s="20">
        <v>1</v>
      </c>
      <c r="S64" s="20">
        <v>30</v>
      </c>
      <c r="W64" s="20">
        <f>IF(Q64&lt;&gt;0,3,IF(K64="","",VLOOKUP(K64,'#状态名词'!$J$1:$K$15,2,FALSE)))</f>
        <v>3</v>
      </c>
      <c r="AA64" s="20">
        <v>1</v>
      </c>
      <c r="AB64" s="20">
        <v>1106</v>
      </c>
      <c r="AC64" s="20">
        <v>100</v>
      </c>
      <c r="AD64" s="20">
        <v>1</v>
      </c>
    </row>
    <row r="65" spans="1:30">
      <c r="W65" s="20" t="str">
        <f>IF(Q65&lt;&gt;0,3,IF(K65="","",VLOOKUP(K65,'#状态名词'!$J$1:$K$15,2,FALSE)))</f>
        <v/>
      </c>
      <c r="AA65" s="20">
        <v>1</v>
      </c>
      <c r="AB65" s="20">
        <v>1107</v>
      </c>
      <c r="AC65" s="20">
        <v>100</v>
      </c>
      <c r="AD65" s="20">
        <v>1</v>
      </c>
    </row>
    <row r="66" spans="1:30" ht="27">
      <c r="A66" s="20">
        <v>1104</v>
      </c>
      <c r="B66" s="20" t="s">
        <v>3915</v>
      </c>
      <c r="C66" s="21" t="s">
        <v>9031</v>
      </c>
      <c r="E66" s="20" t="s">
        <v>1686</v>
      </c>
      <c r="F66" s="20" t="s">
        <v>3916</v>
      </c>
      <c r="H66" s="20">
        <v>35</v>
      </c>
      <c r="J66" s="19" t="s">
        <v>1476</v>
      </c>
      <c r="K66" s="20">
        <v>5</v>
      </c>
      <c r="L66" s="20">
        <v>8</v>
      </c>
      <c r="N66" s="20">
        <v>4</v>
      </c>
      <c r="O66" s="20">
        <v>1</v>
      </c>
      <c r="U66" s="20">
        <v>30</v>
      </c>
      <c r="W66" s="20">
        <f>IF(Q66&lt;&gt;0,3,IF(K66="","",VLOOKUP(K66,'#状态名词'!$J$1:$K$15,2,FALSE)))</f>
        <v>1</v>
      </c>
      <c r="AA66" s="20">
        <v>1</v>
      </c>
      <c r="AB66" s="20">
        <v>1104</v>
      </c>
      <c r="AC66" s="20">
        <v>100</v>
      </c>
      <c r="AD66" s="20">
        <v>2</v>
      </c>
    </row>
    <row r="67" spans="1:30">
      <c r="A67" s="20">
        <v>1105</v>
      </c>
      <c r="B67" s="20" t="s">
        <v>3917</v>
      </c>
      <c r="C67" s="21" t="s">
        <v>6615</v>
      </c>
      <c r="E67" s="20" t="s">
        <v>1687</v>
      </c>
      <c r="W67" s="20" t="str">
        <f>IF(Q67&lt;&gt;0,3,IF(K67="","",VLOOKUP(K67,'#状态名词'!$J$1:$K$15,2,FALSE)))</f>
        <v/>
      </c>
      <c r="AA67" s="20">
        <v>1</v>
      </c>
      <c r="AB67" s="20">
        <v>1105</v>
      </c>
      <c r="AC67" s="20">
        <v>100</v>
      </c>
      <c r="AD67" s="20">
        <v>2</v>
      </c>
    </row>
    <row r="68" spans="1:30">
      <c r="A68" s="20">
        <v>1201</v>
      </c>
      <c r="B68" s="20" t="s">
        <v>3918</v>
      </c>
      <c r="C68" s="21" t="s">
        <v>6612</v>
      </c>
      <c r="E68" s="20" t="s">
        <v>1688</v>
      </c>
      <c r="W68" s="20" t="str">
        <f>IF(Q68&lt;&gt;0,3,IF(K68="","",VLOOKUP(K68,'#状态名词'!$J$1:$K$15,2,FALSE)))</f>
        <v/>
      </c>
      <c r="AA68" s="20">
        <v>1</v>
      </c>
      <c r="AB68" s="20">
        <v>1201</v>
      </c>
      <c r="AC68" s="20">
        <v>100</v>
      </c>
      <c r="AD68" s="20">
        <v>1</v>
      </c>
    </row>
    <row r="69" spans="1:30">
      <c r="A69" s="20">
        <v>1202</v>
      </c>
      <c r="B69" s="20" t="s">
        <v>3919</v>
      </c>
      <c r="C69" s="21" t="s">
        <v>7138</v>
      </c>
      <c r="E69" s="20" t="s">
        <v>1689</v>
      </c>
      <c r="W69" s="20" t="str">
        <f>IF(Q69&lt;&gt;0,3,IF(K69="","",VLOOKUP(K69,'#状态名词'!$J$1:$K$15,2,FALSE)))</f>
        <v/>
      </c>
      <c r="AA69" s="20">
        <v>1</v>
      </c>
      <c r="AB69" s="20">
        <v>1202</v>
      </c>
      <c r="AC69" s="20">
        <v>100</v>
      </c>
      <c r="AD69" s="20">
        <v>1</v>
      </c>
    </row>
    <row r="70" spans="1:30">
      <c r="A70" s="20">
        <v>1203</v>
      </c>
      <c r="B70" s="20" t="s">
        <v>3920</v>
      </c>
      <c r="C70" s="21" t="s">
        <v>6613</v>
      </c>
      <c r="E70" s="20" t="s">
        <v>1690</v>
      </c>
      <c r="W70" s="20" t="str">
        <f>IF(Q70&lt;&gt;0,3,IF(K70="","",VLOOKUP(K70,'#状态名词'!$J$1:$K$15,2,FALSE)))</f>
        <v/>
      </c>
      <c r="AA70" s="20">
        <v>1</v>
      </c>
      <c r="AB70" s="20">
        <v>1203</v>
      </c>
      <c r="AC70" s="20">
        <v>100</v>
      </c>
      <c r="AD70" s="20">
        <v>1</v>
      </c>
    </row>
    <row r="71" spans="1:30" ht="27">
      <c r="A71" s="20">
        <v>1204</v>
      </c>
      <c r="B71" s="20" t="s">
        <v>3921</v>
      </c>
      <c r="C71" s="21" t="s">
        <v>3922</v>
      </c>
      <c r="E71" s="20" t="s">
        <v>1691</v>
      </c>
      <c r="H71" s="20">
        <v>50</v>
      </c>
      <c r="J71" s="19" t="s">
        <v>1525</v>
      </c>
      <c r="K71" s="20">
        <v>5</v>
      </c>
      <c r="L71" s="20">
        <v>8</v>
      </c>
      <c r="N71" s="20">
        <v>2</v>
      </c>
      <c r="O71" s="20">
        <v>1</v>
      </c>
      <c r="P71" s="20">
        <v>1204</v>
      </c>
      <c r="V71" s="20">
        <v>60</v>
      </c>
      <c r="W71" s="20">
        <f>IF(Q71&lt;&gt;0,3,IF(K71="","",VLOOKUP(K71,'#状态名词'!$J$1:$K$15,2,FALSE)))</f>
        <v>1</v>
      </c>
    </row>
    <row r="72" spans="1:30">
      <c r="A72" s="20">
        <v>1205</v>
      </c>
      <c r="B72" s="20" t="s">
        <v>3923</v>
      </c>
      <c r="C72" s="21" t="s">
        <v>8069</v>
      </c>
      <c r="E72" s="20" t="s">
        <v>1692</v>
      </c>
      <c r="W72" s="20" t="str">
        <f>IF(Q72&lt;&gt;0,3,IF(K72="","",VLOOKUP(K72,'#状态名词'!$J$1:$K$15,2,FALSE)))</f>
        <v/>
      </c>
      <c r="AA72" s="20">
        <v>1</v>
      </c>
      <c r="AB72" s="20">
        <v>1205</v>
      </c>
      <c r="AC72" s="20">
        <v>100</v>
      </c>
      <c r="AD72" s="20">
        <v>2</v>
      </c>
    </row>
    <row r="73" spans="1:30" ht="27">
      <c r="A73" s="20">
        <v>1301</v>
      </c>
      <c r="B73" s="20" t="s">
        <v>3924</v>
      </c>
      <c r="C73" s="21" t="s">
        <v>3925</v>
      </c>
      <c r="E73" s="20" t="s">
        <v>1693</v>
      </c>
      <c r="F73" s="20" t="s">
        <v>3926</v>
      </c>
      <c r="H73" s="20">
        <v>30</v>
      </c>
      <c r="J73" s="19" t="s">
        <v>112</v>
      </c>
      <c r="K73" s="20">
        <v>5</v>
      </c>
      <c r="L73" s="20">
        <v>17</v>
      </c>
      <c r="N73" s="20">
        <v>1</v>
      </c>
      <c r="O73" s="20">
        <v>1</v>
      </c>
      <c r="W73" s="20">
        <f>IF(Q73&lt;&gt;0,3,IF(K73="","",VLOOKUP(K73,'#状态名词'!$J$1:$K$15,2,FALSE)))</f>
        <v>1</v>
      </c>
      <c r="AA73" s="20">
        <v>1</v>
      </c>
      <c r="AB73" s="20">
        <v>3</v>
      </c>
      <c r="AC73" s="20">
        <v>100</v>
      </c>
      <c r="AD73" s="20">
        <v>0</v>
      </c>
    </row>
    <row r="74" spans="1:30">
      <c r="A74" s="20">
        <v>1302</v>
      </c>
      <c r="B74" s="20" t="s">
        <v>3927</v>
      </c>
      <c r="C74" s="21" t="s">
        <v>6642</v>
      </c>
      <c r="E74" s="20" t="s">
        <v>1694</v>
      </c>
      <c r="Q74" s="20">
        <v>1</v>
      </c>
      <c r="R74" s="20">
        <v>2</v>
      </c>
      <c r="S74" s="20">
        <v>1</v>
      </c>
      <c r="W74" s="20">
        <f>IF(Q74&lt;&gt;0,3,IF(K74="","",VLOOKUP(K74,'#状态名词'!$J$1:$K$15,2,FALSE)))</f>
        <v>3</v>
      </c>
      <c r="AA74" s="20">
        <v>1</v>
      </c>
      <c r="AB74" s="20">
        <v>1302</v>
      </c>
      <c r="AC74" s="20">
        <v>100</v>
      </c>
      <c r="AD74" s="20">
        <v>1</v>
      </c>
    </row>
    <row r="75" spans="1:30" ht="27">
      <c r="A75" s="20">
        <v>1303</v>
      </c>
      <c r="B75" s="20" t="s">
        <v>3928</v>
      </c>
      <c r="C75" s="21" t="s">
        <v>3929</v>
      </c>
      <c r="E75" s="20" t="s">
        <v>1695</v>
      </c>
      <c r="F75" s="20" t="s">
        <v>3930</v>
      </c>
      <c r="H75" s="20">
        <v>30</v>
      </c>
      <c r="J75" s="19" t="s">
        <v>109</v>
      </c>
      <c r="K75" s="20">
        <v>2</v>
      </c>
      <c r="L75" s="20">
        <v>30</v>
      </c>
      <c r="N75" s="20">
        <v>1</v>
      </c>
      <c r="O75" s="20">
        <v>1</v>
      </c>
      <c r="W75" s="20">
        <f>IF(Q75&lt;&gt;0,3,IF(K75="","",VLOOKUP(K75,'#状态名词'!$J$1:$K$15,2,FALSE)))</f>
        <v>3</v>
      </c>
    </row>
    <row r="76" spans="1:30" ht="27">
      <c r="A76" s="20">
        <v>1304</v>
      </c>
      <c r="B76" s="20" t="s">
        <v>3931</v>
      </c>
      <c r="C76" s="21" t="s">
        <v>6460</v>
      </c>
      <c r="E76" s="20" t="s">
        <v>1696</v>
      </c>
      <c r="W76" s="20" t="str">
        <f>IF(Q76&lt;&gt;0,3,IF(K76="","",VLOOKUP(K76,'#状态名词'!$J$1:$K$15,2,FALSE)))</f>
        <v/>
      </c>
      <c r="AA76" s="20">
        <v>1</v>
      </c>
      <c r="AB76" s="20">
        <v>1304</v>
      </c>
      <c r="AC76" s="20">
        <v>100</v>
      </c>
      <c r="AD76" s="20">
        <v>2</v>
      </c>
    </row>
    <row r="77" spans="1:30">
      <c r="W77" s="20" t="str">
        <f>IF(Q77&lt;&gt;0,3,IF(K77="","",VLOOKUP(K77,'#状态名词'!$J$1:$K$15,2,FALSE)))</f>
        <v/>
      </c>
      <c r="AA77" s="20">
        <v>1</v>
      </c>
      <c r="AB77" s="20">
        <v>1305</v>
      </c>
      <c r="AC77" s="20">
        <v>100</v>
      </c>
      <c r="AD77" s="20">
        <v>1</v>
      </c>
    </row>
    <row r="78" spans="1:30">
      <c r="A78" s="20">
        <v>1305</v>
      </c>
      <c r="B78" s="20" t="s">
        <v>3932</v>
      </c>
      <c r="C78" s="21" t="s">
        <v>8070</v>
      </c>
      <c r="E78" s="20" t="s">
        <v>1697</v>
      </c>
      <c r="W78" s="20" t="str">
        <f>IF(Q78&lt;&gt;0,3,IF(K78="","",VLOOKUP(K78,'#状态名词'!$J$1:$K$15,2,FALSE)))</f>
        <v/>
      </c>
      <c r="AA78" s="20">
        <v>1</v>
      </c>
      <c r="AB78" s="20">
        <v>1306</v>
      </c>
      <c r="AC78" s="20">
        <v>100</v>
      </c>
      <c r="AD78" s="20">
        <v>2</v>
      </c>
    </row>
    <row r="79" spans="1:30" ht="27">
      <c r="A79" s="20">
        <v>1401</v>
      </c>
      <c r="B79" s="20" t="s">
        <v>3933</v>
      </c>
      <c r="C79" s="21" t="s">
        <v>3934</v>
      </c>
      <c r="E79" s="20" t="s">
        <v>1660</v>
      </c>
      <c r="F79" s="20" t="s">
        <v>3935</v>
      </c>
      <c r="H79" s="20">
        <v>20</v>
      </c>
      <c r="J79" s="19" t="s">
        <v>1477</v>
      </c>
      <c r="K79" s="20">
        <v>5</v>
      </c>
      <c r="L79" s="20">
        <v>17</v>
      </c>
      <c r="O79" s="20">
        <v>3</v>
      </c>
      <c r="V79" s="20">
        <v>20</v>
      </c>
      <c r="W79" s="20">
        <f>IF(Q79&lt;&gt;0,3,IF(K79="","",VLOOKUP(K79,'#状态名词'!$J$1:$K$15,2,FALSE)))</f>
        <v>1</v>
      </c>
    </row>
    <row r="80" spans="1:30">
      <c r="A80" s="20">
        <v>1402</v>
      </c>
      <c r="B80" s="20" t="s">
        <v>3936</v>
      </c>
      <c r="C80" s="21" t="s">
        <v>6614</v>
      </c>
      <c r="E80" s="20" t="s">
        <v>1698</v>
      </c>
      <c r="W80" s="20" t="str">
        <f>IF(Q80&lt;&gt;0,3,IF(K80="","",VLOOKUP(K80,'#状态名词'!$J$1:$K$15,2,FALSE)))</f>
        <v/>
      </c>
      <c r="AA80" s="20">
        <v>1</v>
      </c>
      <c r="AB80" s="20">
        <v>1402</v>
      </c>
      <c r="AC80" s="20">
        <v>100</v>
      </c>
      <c r="AD80" s="20">
        <v>1</v>
      </c>
    </row>
    <row r="81" spans="1:30" ht="27">
      <c r="A81" s="20">
        <v>1403</v>
      </c>
      <c r="B81" s="20" t="s">
        <v>3937</v>
      </c>
      <c r="C81" s="21" t="s">
        <v>9074</v>
      </c>
      <c r="E81" s="20" t="s">
        <v>1699</v>
      </c>
      <c r="F81" s="20" t="s">
        <v>3938</v>
      </c>
      <c r="H81" s="20">
        <v>28</v>
      </c>
      <c r="J81" s="19" t="s">
        <v>1478</v>
      </c>
      <c r="K81" s="20">
        <v>8</v>
      </c>
      <c r="L81" s="20">
        <v>12</v>
      </c>
      <c r="O81" s="20">
        <v>1</v>
      </c>
      <c r="W81" s="20">
        <f>IF(Q81&lt;&gt;0,3,IF(K81="","",VLOOKUP(K81,'#状态名词'!$J$1:$K$15,2,FALSE)))</f>
        <v>2</v>
      </c>
      <c r="AA81" s="20">
        <v>1</v>
      </c>
      <c r="AB81" s="20">
        <v>1403</v>
      </c>
      <c r="AC81" s="20">
        <v>100</v>
      </c>
      <c r="AD81" s="20">
        <v>2</v>
      </c>
    </row>
    <row r="82" spans="1:30">
      <c r="A82" s="20">
        <v>1404</v>
      </c>
      <c r="B82" s="20" t="s">
        <v>3939</v>
      </c>
      <c r="C82" s="21" t="s">
        <v>6662</v>
      </c>
      <c r="E82" s="20" t="s">
        <v>1700</v>
      </c>
      <c r="W82" s="20" t="str">
        <f>IF(Q82&lt;&gt;0,3,IF(K82="","",VLOOKUP(K82,'#状态名词'!$J$1:$K$15,2,FALSE)))</f>
        <v/>
      </c>
      <c r="AA82" s="20">
        <v>1</v>
      </c>
      <c r="AB82" s="20">
        <v>1404</v>
      </c>
      <c r="AC82" s="20">
        <v>100</v>
      </c>
      <c r="AD82" s="20">
        <v>1</v>
      </c>
    </row>
    <row r="83" spans="1:30">
      <c r="A83" s="20">
        <v>1405</v>
      </c>
      <c r="B83" s="20" t="s">
        <v>3940</v>
      </c>
      <c r="C83" s="21" t="s">
        <v>6663</v>
      </c>
      <c r="E83" s="20" t="s">
        <v>1701</v>
      </c>
      <c r="W83" s="20" t="str">
        <f>IF(Q83&lt;&gt;0,3,IF(K83="","",VLOOKUP(K83,'#状态名词'!$J$1:$K$15,2,FALSE)))</f>
        <v/>
      </c>
      <c r="AA83" s="20">
        <v>1</v>
      </c>
      <c r="AB83" s="20">
        <v>1405</v>
      </c>
      <c r="AC83" s="20">
        <v>100</v>
      </c>
      <c r="AD83" s="20">
        <v>1</v>
      </c>
    </row>
    <row r="84" spans="1:30">
      <c r="A84" s="20">
        <v>1501</v>
      </c>
      <c r="B84" s="20" t="s">
        <v>3941</v>
      </c>
      <c r="C84" s="21" t="s">
        <v>6664</v>
      </c>
      <c r="E84" s="20" t="s">
        <v>1657</v>
      </c>
      <c r="W84" s="20" t="str">
        <f>IF(Q84&lt;&gt;0,3,IF(K84="","",VLOOKUP(K84,'#状态名词'!$J$1:$K$15,2,FALSE)))</f>
        <v/>
      </c>
      <c r="AA84" s="20">
        <v>1</v>
      </c>
      <c r="AB84" s="20">
        <v>1501</v>
      </c>
      <c r="AC84" s="20">
        <v>100</v>
      </c>
      <c r="AD84" s="20">
        <v>1</v>
      </c>
    </row>
    <row r="85" spans="1:30" ht="27">
      <c r="A85" s="20">
        <v>1502</v>
      </c>
      <c r="B85" s="20" t="s">
        <v>3942</v>
      </c>
      <c r="C85" s="21" t="s">
        <v>3943</v>
      </c>
      <c r="E85" s="20" t="s">
        <v>1702</v>
      </c>
      <c r="F85" s="20" t="s">
        <v>3944</v>
      </c>
      <c r="H85" s="20">
        <v>34</v>
      </c>
      <c r="J85" s="19" t="s">
        <v>1479</v>
      </c>
      <c r="K85" s="20">
        <v>1</v>
      </c>
      <c r="L85" s="20">
        <v>17</v>
      </c>
      <c r="N85" s="20">
        <v>1</v>
      </c>
      <c r="O85" s="20">
        <v>0</v>
      </c>
      <c r="W85" s="20">
        <f>IF(Q85&lt;&gt;0,3,IF(K85="","",VLOOKUP(K85,'#状态名词'!$J$1:$K$15,2,FALSE)))</f>
        <v>1</v>
      </c>
    </row>
    <row r="86" spans="1:30">
      <c r="A86" s="20">
        <v>1503</v>
      </c>
      <c r="B86" s="20" t="s">
        <v>3945</v>
      </c>
      <c r="C86" s="21" t="s">
        <v>3946</v>
      </c>
      <c r="E86" s="20" t="s">
        <v>1703</v>
      </c>
      <c r="W86" s="20" t="str">
        <f>IF(Q86&lt;&gt;0,3,IF(K86="","",VLOOKUP(K86,'#状态名词'!$J$1:$K$15,2,FALSE)))</f>
        <v/>
      </c>
      <c r="AA86" s="20">
        <v>1</v>
      </c>
      <c r="AB86" s="20">
        <v>1503</v>
      </c>
      <c r="AC86" s="20">
        <v>100</v>
      </c>
      <c r="AD86" s="20">
        <v>2</v>
      </c>
    </row>
    <row r="87" spans="1:30" ht="27">
      <c r="A87" s="20">
        <v>1504</v>
      </c>
      <c r="B87" s="20" t="s">
        <v>3947</v>
      </c>
      <c r="C87" s="21" t="s">
        <v>7495</v>
      </c>
      <c r="E87" s="20" t="s">
        <v>1704</v>
      </c>
      <c r="H87" s="20">
        <v>0</v>
      </c>
      <c r="J87" s="19" t="s">
        <v>1480</v>
      </c>
      <c r="K87" s="20">
        <v>11</v>
      </c>
      <c r="L87" s="20">
        <v>100</v>
      </c>
      <c r="V87" s="20">
        <v>50</v>
      </c>
      <c r="W87" s="20">
        <f>IF(Q87&lt;&gt;0,3,IF(K87="","",VLOOKUP(K87,'#状态名词'!$J$1:$K$15,2,FALSE)))</f>
        <v>4</v>
      </c>
      <c r="AA87" s="20">
        <v>1</v>
      </c>
      <c r="AB87" s="20">
        <v>93</v>
      </c>
      <c r="AC87" s="20">
        <v>100</v>
      </c>
      <c r="AD87" s="20">
        <v>1</v>
      </c>
    </row>
    <row r="88" spans="1:30">
      <c r="W88" s="20" t="str">
        <f>IF(Q88&lt;&gt;0,3,IF(K88="","",VLOOKUP(K88,'#状态名词'!$J$1:$K$15,2,FALSE)))</f>
        <v/>
      </c>
      <c r="AA88" s="20">
        <v>1</v>
      </c>
      <c r="AB88" s="20">
        <v>93</v>
      </c>
      <c r="AC88" s="20">
        <v>100</v>
      </c>
      <c r="AD88" s="20">
        <v>0</v>
      </c>
    </row>
    <row r="89" spans="1:30">
      <c r="W89" s="20" t="str">
        <f>IF(Q89&lt;&gt;0,3,IF(K89="","",VLOOKUP(K89,'#状态名词'!$J$1:$K$15,2,FALSE)))</f>
        <v/>
      </c>
      <c r="AA89" s="20">
        <v>1</v>
      </c>
      <c r="AB89" s="20">
        <v>1505</v>
      </c>
      <c r="AC89" s="20">
        <v>100</v>
      </c>
      <c r="AD89" s="20">
        <v>1</v>
      </c>
    </row>
    <row r="90" spans="1:30">
      <c r="A90" s="20">
        <v>1505</v>
      </c>
      <c r="B90" s="20" t="s">
        <v>3948</v>
      </c>
      <c r="C90" s="21" t="s">
        <v>3949</v>
      </c>
      <c r="E90" s="20" t="s">
        <v>1705</v>
      </c>
      <c r="K90" s="20">
        <v>9</v>
      </c>
      <c r="L90" s="20">
        <v>100</v>
      </c>
      <c r="W90" s="20">
        <f>IF(Q90&lt;&gt;0,3,IF(K90="","",VLOOKUP(K90,'#状态名词'!$J$1:$K$15,2,FALSE)))</f>
        <v>3</v>
      </c>
      <c r="AA90" s="20">
        <v>1</v>
      </c>
      <c r="AB90" s="20">
        <v>35</v>
      </c>
      <c r="AC90" s="20" t="s">
        <v>3950</v>
      </c>
      <c r="AD90" s="20">
        <v>1</v>
      </c>
    </row>
    <row r="91" spans="1:30">
      <c r="W91" s="20" t="str">
        <f>IF(Q91&lt;&gt;0,3,IF(K91="","",VLOOKUP(K91,'#状态名词'!$J$1:$K$15,2,FALSE)))</f>
        <v/>
      </c>
      <c r="AA91" s="20">
        <v>1</v>
      </c>
      <c r="AB91" s="20">
        <v>3</v>
      </c>
      <c r="AC91" s="20" t="s">
        <v>3950</v>
      </c>
      <c r="AD91" s="20">
        <v>0</v>
      </c>
    </row>
    <row r="92" spans="1:30">
      <c r="A92" s="20">
        <v>1601</v>
      </c>
      <c r="B92" s="20" t="s">
        <v>3951</v>
      </c>
      <c r="C92" s="21" t="s">
        <v>6665</v>
      </c>
      <c r="E92" s="20" t="s">
        <v>1706</v>
      </c>
      <c r="W92" s="20" t="str">
        <f>IF(Q92&lt;&gt;0,3,IF(K92="","",VLOOKUP(K92,'#状态名词'!$J$1:$K$15,2,FALSE)))</f>
        <v/>
      </c>
      <c r="AA92" s="20">
        <v>1</v>
      </c>
      <c r="AB92" s="20">
        <v>1601</v>
      </c>
      <c r="AC92" s="20">
        <v>100</v>
      </c>
      <c r="AD92" s="20">
        <v>1</v>
      </c>
    </row>
    <row r="93" spans="1:30" ht="27">
      <c r="A93" s="20">
        <v>1602</v>
      </c>
      <c r="B93" s="20" t="s">
        <v>3952</v>
      </c>
      <c r="C93" s="21" t="s">
        <v>6461</v>
      </c>
      <c r="E93" s="20" t="s">
        <v>1707</v>
      </c>
      <c r="F93" s="20" t="s">
        <v>3953</v>
      </c>
      <c r="H93" s="20">
        <v>30</v>
      </c>
      <c r="J93" s="19" t="s">
        <v>1481</v>
      </c>
      <c r="K93" s="20">
        <v>8</v>
      </c>
      <c r="L93" s="20">
        <v>12</v>
      </c>
      <c r="O93" s="20">
        <v>1</v>
      </c>
      <c r="W93" s="20">
        <f>IF(Q93&lt;&gt;0,3,IF(K93="","",VLOOKUP(K93,'#状态名词'!$J$1:$K$15,2,FALSE)))</f>
        <v>2</v>
      </c>
      <c r="AA93" s="20">
        <v>1</v>
      </c>
      <c r="AB93" s="20">
        <v>22</v>
      </c>
      <c r="AC93" s="20">
        <v>100</v>
      </c>
      <c r="AD93" s="20">
        <v>0</v>
      </c>
    </row>
    <row r="94" spans="1:30" ht="27">
      <c r="A94" s="20">
        <v>1603</v>
      </c>
      <c r="B94" s="20" t="s">
        <v>3954</v>
      </c>
      <c r="C94" s="21" t="s">
        <v>3955</v>
      </c>
      <c r="E94" s="20" t="s">
        <v>1708</v>
      </c>
      <c r="F94" s="20" t="s">
        <v>3956</v>
      </c>
      <c r="H94" s="20">
        <v>20</v>
      </c>
      <c r="J94" s="19" t="s">
        <v>107</v>
      </c>
      <c r="K94" s="20">
        <v>5</v>
      </c>
      <c r="L94" s="20">
        <v>25</v>
      </c>
      <c r="O94" s="20">
        <v>1</v>
      </c>
      <c r="W94" s="20">
        <f>IF(Q94&lt;&gt;0,3,IF(K94="","",VLOOKUP(K94,'#状态名词'!$J$1:$K$15,2,FALSE)))</f>
        <v>1</v>
      </c>
    </row>
    <row r="95" spans="1:30">
      <c r="A95" s="20">
        <v>1604</v>
      </c>
      <c r="B95" s="20" t="s">
        <v>3957</v>
      </c>
      <c r="C95" s="73" t="s">
        <v>9000</v>
      </c>
      <c r="E95" s="20" t="s">
        <v>1709</v>
      </c>
      <c r="G95" s="20">
        <v>1603</v>
      </c>
      <c r="W95" s="20" t="str">
        <f>IF(Q95&lt;&gt;0,3,IF(K95="","",VLOOKUP(K95,'#状态名词'!$J$1:$K$15,2,FALSE)))</f>
        <v/>
      </c>
      <c r="AA95" s="20">
        <v>1</v>
      </c>
      <c r="AB95" s="20">
        <v>1604</v>
      </c>
      <c r="AC95" s="20">
        <v>100</v>
      </c>
      <c r="AD95" s="20">
        <v>2</v>
      </c>
    </row>
    <row r="96" spans="1:30">
      <c r="W96" s="20" t="str">
        <f>IF(Q96&lt;&gt;0,3,IF(K96="","",VLOOKUP(K96,'#状态名词'!$J$1:$K$15,2,FALSE)))</f>
        <v/>
      </c>
      <c r="AA96" s="20">
        <v>1</v>
      </c>
      <c r="AB96" s="20">
        <v>22</v>
      </c>
      <c r="AC96" s="20">
        <v>100</v>
      </c>
      <c r="AD96" s="20">
        <v>0</v>
      </c>
    </row>
    <row r="97" spans="1:39">
      <c r="A97" s="20">
        <v>1605</v>
      </c>
      <c r="B97" s="20" t="s">
        <v>3958</v>
      </c>
      <c r="C97" s="21" t="s">
        <v>6666</v>
      </c>
      <c r="E97" s="20" t="s">
        <v>1710</v>
      </c>
      <c r="W97" s="20" t="str">
        <f>IF(Q97&lt;&gt;0,3,IF(K97="","",VLOOKUP(K97,'#状态名词'!$J$1:$K$15,2,FALSE)))</f>
        <v/>
      </c>
      <c r="AA97" s="20">
        <v>1</v>
      </c>
      <c r="AB97" s="20">
        <v>1605</v>
      </c>
      <c r="AC97" s="20">
        <v>100</v>
      </c>
      <c r="AD97" s="20">
        <v>1</v>
      </c>
    </row>
    <row r="98" spans="1:39">
      <c r="A98" s="20">
        <v>1701</v>
      </c>
      <c r="B98" s="20" t="s">
        <v>3959</v>
      </c>
      <c r="C98" s="21" t="s">
        <v>3960</v>
      </c>
      <c r="E98" s="20" t="s">
        <v>1711</v>
      </c>
      <c r="F98" s="20" t="s">
        <v>3961</v>
      </c>
      <c r="H98" s="20">
        <v>35</v>
      </c>
      <c r="J98" s="19" t="s">
        <v>1482</v>
      </c>
      <c r="K98" s="20">
        <v>5</v>
      </c>
      <c r="L98" s="20">
        <v>12</v>
      </c>
      <c r="O98" s="20">
        <v>0</v>
      </c>
      <c r="W98" s="20">
        <f>IF(Q98&lt;&gt;0,3,IF(K98="","",VLOOKUP(K98,'#状态名词'!$J$1:$K$15,2,FALSE)))</f>
        <v>1</v>
      </c>
    </row>
    <row r="99" spans="1:39">
      <c r="A99" s="20">
        <v>1702</v>
      </c>
      <c r="B99" s="20" t="s">
        <v>3962</v>
      </c>
      <c r="C99" s="21" t="s">
        <v>6667</v>
      </c>
      <c r="E99" s="20" t="s">
        <v>1692</v>
      </c>
      <c r="Q99" s="20">
        <v>2</v>
      </c>
      <c r="R99" s="20">
        <v>1</v>
      </c>
      <c r="S99" s="20">
        <v>40</v>
      </c>
      <c r="W99" s="20">
        <f>IF(Q99&lt;&gt;0,3,IF(K99="","",VLOOKUP(K99,'#状态名词'!$J$1:$K$15,2,FALSE)))</f>
        <v>3</v>
      </c>
      <c r="AA99" s="20">
        <v>1</v>
      </c>
      <c r="AB99" s="20">
        <v>1702</v>
      </c>
      <c r="AC99" s="20">
        <v>100</v>
      </c>
      <c r="AD99" s="20">
        <v>1</v>
      </c>
    </row>
    <row r="100" spans="1:39">
      <c r="A100" s="20">
        <v>1703</v>
      </c>
      <c r="B100" s="20" t="s">
        <v>3963</v>
      </c>
      <c r="C100" s="21" t="s">
        <v>6668</v>
      </c>
      <c r="E100" s="20" t="s">
        <v>1712</v>
      </c>
      <c r="Q100" s="20">
        <v>2</v>
      </c>
      <c r="R100" s="20">
        <v>1</v>
      </c>
      <c r="S100" s="20">
        <v>35</v>
      </c>
      <c r="W100" s="20">
        <f>IF(Q100&lt;&gt;0,3,IF(K100="","",VLOOKUP(K100,'#状态名词'!$J$1:$K$15,2,FALSE)))</f>
        <v>3</v>
      </c>
      <c r="AA100" s="20">
        <v>1</v>
      </c>
      <c r="AB100" s="20">
        <v>1703</v>
      </c>
      <c r="AC100" s="20">
        <v>100</v>
      </c>
      <c r="AD100" s="20">
        <v>1</v>
      </c>
    </row>
    <row r="101" spans="1:39">
      <c r="A101" s="20">
        <v>1704</v>
      </c>
      <c r="B101" s="20" t="s">
        <v>3964</v>
      </c>
      <c r="C101" s="21" t="s">
        <v>3965</v>
      </c>
      <c r="E101" s="20" t="s">
        <v>1713</v>
      </c>
      <c r="W101" s="20" t="str">
        <f>IF(Q101&lt;&gt;0,3,IF(K101="","",VLOOKUP(K101,'#状态名词'!$J$1:$K$15,2,FALSE)))</f>
        <v/>
      </c>
      <c r="AA101" s="20">
        <v>1</v>
      </c>
      <c r="AB101" s="20">
        <v>1704</v>
      </c>
      <c r="AC101" s="20">
        <v>100</v>
      </c>
      <c r="AD101" s="20">
        <v>2</v>
      </c>
    </row>
    <row r="102" spans="1:39">
      <c r="A102" s="20">
        <v>1705</v>
      </c>
      <c r="B102" s="20" t="s">
        <v>3966</v>
      </c>
      <c r="C102" s="21" t="s">
        <v>6669</v>
      </c>
      <c r="E102" s="20" t="s">
        <v>1714</v>
      </c>
      <c r="Q102" s="20">
        <v>2</v>
      </c>
      <c r="R102" s="20">
        <v>0</v>
      </c>
      <c r="S102" s="20">
        <v>75</v>
      </c>
      <c r="W102" s="20">
        <f>IF(Q102&lt;&gt;0,3,IF(K102="","",VLOOKUP(K102,'#状态名词'!$J$1:$K$15,2,FALSE)))</f>
        <v>3</v>
      </c>
      <c r="AA102" s="20">
        <v>1</v>
      </c>
      <c r="AB102" s="20">
        <v>1705</v>
      </c>
      <c r="AC102" s="20">
        <v>100</v>
      </c>
      <c r="AD102" s="20">
        <v>1</v>
      </c>
    </row>
    <row r="103" spans="1:39" ht="27">
      <c r="A103" s="20">
        <v>1801</v>
      </c>
      <c r="B103" s="20" t="s">
        <v>3967</v>
      </c>
      <c r="C103" s="21" t="s">
        <v>3968</v>
      </c>
      <c r="E103" s="20" t="s">
        <v>1697</v>
      </c>
      <c r="F103" s="20" t="s">
        <v>3969</v>
      </c>
      <c r="H103" s="20">
        <v>20</v>
      </c>
      <c r="J103" s="19" t="s">
        <v>1483</v>
      </c>
      <c r="K103" s="20">
        <v>5</v>
      </c>
      <c r="L103" s="20">
        <v>17</v>
      </c>
      <c r="O103" s="20">
        <v>0</v>
      </c>
      <c r="W103" s="20">
        <f>IF(Q103&lt;&gt;0,3,IF(K103="","",VLOOKUP(K103,'#状态名词'!$J$1:$K$15,2,FALSE)))</f>
        <v>1</v>
      </c>
    </row>
    <row r="104" spans="1:39">
      <c r="A104" s="20">
        <v>1802</v>
      </c>
      <c r="B104" s="20" t="s">
        <v>3970</v>
      </c>
      <c r="C104" s="21" t="s">
        <v>6670</v>
      </c>
      <c r="E104" s="20" t="s">
        <v>1715</v>
      </c>
      <c r="W104" s="20" t="str">
        <f>IF(Q104&lt;&gt;0,3,IF(K104="","",VLOOKUP(K104,'#状态名词'!$J$1:$K$15,2,FALSE)))</f>
        <v/>
      </c>
      <c r="AA104" s="20">
        <v>1</v>
      </c>
      <c r="AB104" s="20">
        <v>1802</v>
      </c>
      <c r="AC104" s="20">
        <v>100</v>
      </c>
      <c r="AD104" s="20">
        <v>1</v>
      </c>
    </row>
    <row r="105" spans="1:39" ht="27">
      <c r="A105" s="20">
        <v>1803</v>
      </c>
      <c r="B105" s="20" t="s">
        <v>3971</v>
      </c>
      <c r="C105" s="21" t="s">
        <v>6671</v>
      </c>
      <c r="E105" s="20" t="s">
        <v>1716</v>
      </c>
      <c r="W105" s="20" t="str">
        <f>IF(Q105&lt;&gt;0,3,IF(K105="","",VLOOKUP(K105,'#状态名词'!$J$1:$K$15,2,FALSE)))</f>
        <v/>
      </c>
      <c r="AA105" s="20">
        <v>1</v>
      </c>
      <c r="AB105" s="20">
        <v>1803</v>
      </c>
      <c r="AC105" s="20">
        <v>100</v>
      </c>
      <c r="AD105" s="20">
        <v>1</v>
      </c>
    </row>
    <row r="106" spans="1:39">
      <c r="W106" s="20" t="str">
        <f>IF(Q106&lt;&gt;0,3,IF(K106="","",VLOOKUP(K106,'#状态名词'!$J$1:$K$15,2,FALSE)))</f>
        <v/>
      </c>
      <c r="AA106" s="20">
        <v>1</v>
      </c>
      <c r="AB106" s="20">
        <v>1807</v>
      </c>
      <c r="AC106" s="20">
        <v>100</v>
      </c>
      <c r="AD106" s="20">
        <v>1</v>
      </c>
    </row>
    <row r="107" spans="1:39">
      <c r="A107" s="20">
        <v>1804</v>
      </c>
      <c r="B107" s="20" t="s">
        <v>3972</v>
      </c>
      <c r="C107" s="21" t="s">
        <v>6672</v>
      </c>
      <c r="E107" s="20" t="s">
        <v>1717</v>
      </c>
      <c r="W107" s="20" t="str">
        <f>IF(Q107&lt;&gt;0,3,IF(K107="","",VLOOKUP(K107,'#状态名词'!$J$1:$K$15,2,FALSE)))</f>
        <v/>
      </c>
      <c r="AA107" s="20">
        <v>1</v>
      </c>
      <c r="AB107" s="20">
        <v>1804</v>
      </c>
      <c r="AC107" s="20">
        <v>100</v>
      </c>
      <c r="AD107" s="20">
        <v>1</v>
      </c>
    </row>
    <row r="108" spans="1:39">
      <c r="A108" s="20">
        <v>1805</v>
      </c>
      <c r="B108" s="20" t="s">
        <v>3973</v>
      </c>
      <c r="C108" s="21" t="s">
        <v>6673</v>
      </c>
      <c r="E108" s="20" t="s">
        <v>1718</v>
      </c>
      <c r="H108" s="20">
        <v>0</v>
      </c>
      <c r="J108" s="19" t="s">
        <v>1484</v>
      </c>
      <c r="K108" s="20">
        <v>11</v>
      </c>
      <c r="L108" s="20">
        <v>100</v>
      </c>
      <c r="P108" s="20">
        <v>1805</v>
      </c>
      <c r="W108" s="20">
        <f>IF(Q108&lt;&gt;0,3,IF(K108="","",VLOOKUP(K108,'#状态名词'!$J$1:$K$15,2,FALSE)))</f>
        <v>4</v>
      </c>
    </row>
    <row r="109" spans="1:39">
      <c r="A109" s="20">
        <v>1901</v>
      </c>
      <c r="B109" s="20" t="s">
        <v>3974</v>
      </c>
      <c r="C109" s="73" t="s">
        <v>8994</v>
      </c>
      <c r="E109" s="20" t="s">
        <v>1719</v>
      </c>
      <c r="F109" s="20" t="s">
        <v>8997</v>
      </c>
      <c r="H109" s="20">
        <v>38</v>
      </c>
      <c r="J109" s="20" t="s">
        <v>110</v>
      </c>
      <c r="K109" s="20">
        <v>5</v>
      </c>
      <c r="L109" s="20">
        <v>17</v>
      </c>
      <c r="O109" s="20">
        <v>1</v>
      </c>
      <c r="W109" s="20">
        <f>IF(Q109&lt;&gt;0,3,IF(K109="","",VLOOKUP(K109,'#状态名词'!$J$1:$K$15,2,FALSE)))</f>
        <v>1</v>
      </c>
      <c r="AM109" s="20">
        <v>7501</v>
      </c>
    </row>
    <row r="110" spans="1:39" ht="27">
      <c r="A110" s="20">
        <v>1902</v>
      </c>
      <c r="B110" s="20" t="s">
        <v>3975</v>
      </c>
      <c r="C110" s="21" t="s">
        <v>6674</v>
      </c>
      <c r="E110" s="20" t="s">
        <v>1720</v>
      </c>
      <c r="F110" s="20" t="s">
        <v>3976</v>
      </c>
      <c r="H110" s="20">
        <v>10</v>
      </c>
      <c r="J110" s="20" t="s">
        <v>115</v>
      </c>
      <c r="K110" s="20">
        <v>5</v>
      </c>
      <c r="L110" s="20">
        <v>12</v>
      </c>
      <c r="O110" s="20">
        <v>1</v>
      </c>
      <c r="W110" s="20">
        <f>IF(Q110&lt;&gt;0,3,IF(K110="","",VLOOKUP(K110,'#状态名词'!$J$1:$K$15,2,FALSE)))</f>
        <v>1</v>
      </c>
      <c r="AA110" s="20">
        <v>1</v>
      </c>
      <c r="AB110" s="20">
        <v>1902</v>
      </c>
      <c r="AC110" s="20">
        <v>100</v>
      </c>
      <c r="AD110" s="20">
        <v>1</v>
      </c>
      <c r="AM110" s="20">
        <v>7502</v>
      </c>
    </row>
    <row r="111" spans="1:39">
      <c r="A111" s="20">
        <v>1903</v>
      </c>
      <c r="B111" s="20" t="s">
        <v>3977</v>
      </c>
      <c r="C111" s="21" t="s">
        <v>8071</v>
      </c>
      <c r="E111" s="20" t="s">
        <v>1721</v>
      </c>
      <c r="W111" s="20" t="str">
        <f>IF(Q111&lt;&gt;0,3,IF(K111="","",VLOOKUP(K111,'#状态名词'!$J$1:$K$15,2,FALSE)))</f>
        <v/>
      </c>
      <c r="Y111" s="20">
        <v>10</v>
      </c>
      <c r="Z111" s="20">
        <v>1906</v>
      </c>
      <c r="AA111" s="20">
        <v>1</v>
      </c>
      <c r="AB111" s="20">
        <v>1903</v>
      </c>
      <c r="AC111" s="20">
        <v>100</v>
      </c>
      <c r="AD111" s="20">
        <v>2</v>
      </c>
    </row>
    <row r="112" spans="1:39">
      <c r="A112" s="20">
        <v>1904</v>
      </c>
      <c r="B112" s="20" t="s">
        <v>3978</v>
      </c>
      <c r="C112" s="73" t="s">
        <v>8995</v>
      </c>
      <c r="E112" s="20" t="s">
        <v>1722</v>
      </c>
      <c r="K112" s="20">
        <v>0</v>
      </c>
      <c r="W112" s="20">
        <f>IF(Q112&lt;&gt;0,3,IF(K112="","",VLOOKUP(K112,'#状态名词'!$J$1:$K$15,2,FALSE)))</f>
        <v>0</v>
      </c>
      <c r="AA112" s="20">
        <v>1</v>
      </c>
      <c r="AB112" s="20">
        <v>1904</v>
      </c>
      <c r="AC112" s="20">
        <v>100</v>
      </c>
      <c r="AD112" s="20">
        <v>2</v>
      </c>
      <c r="AM112" s="20">
        <v>7503</v>
      </c>
    </row>
    <row r="113" spans="1:39">
      <c r="A113" s="20">
        <v>1905</v>
      </c>
      <c r="B113" s="20" t="s">
        <v>3979</v>
      </c>
      <c r="C113" s="21" t="s">
        <v>3980</v>
      </c>
      <c r="E113" s="20" t="s">
        <v>1723</v>
      </c>
      <c r="K113" s="20">
        <v>0</v>
      </c>
      <c r="W113" s="20">
        <f>IF(Q113&lt;&gt;0,3,IF(K113="","",VLOOKUP(K113,'#状态名词'!$J$1:$K$15,2,FALSE)))</f>
        <v>0</v>
      </c>
      <c r="AA113" s="20">
        <v>1</v>
      </c>
      <c r="AB113" s="20">
        <v>1905</v>
      </c>
      <c r="AC113" s="20">
        <v>100</v>
      </c>
      <c r="AD113" s="20">
        <v>2</v>
      </c>
      <c r="AM113" s="20">
        <v>7504</v>
      </c>
    </row>
    <row r="114" spans="1:39">
      <c r="A114" s="20">
        <v>1906</v>
      </c>
      <c r="B114" s="20" t="s">
        <v>3981</v>
      </c>
      <c r="C114" s="21" t="s">
        <v>3982</v>
      </c>
      <c r="G114" s="20">
        <v>1902</v>
      </c>
      <c r="K114" s="20">
        <v>9</v>
      </c>
      <c r="W114" s="20">
        <f>IF(Q114&lt;&gt;0,3,IF(K114="","",VLOOKUP(K114,'#状态名词'!$J$1:$K$15,2,FALSE)))</f>
        <v>3</v>
      </c>
      <c r="AA114" s="20">
        <v>1</v>
      </c>
      <c r="AB114" s="20">
        <v>43</v>
      </c>
      <c r="AC114" s="20">
        <v>100</v>
      </c>
      <c r="AD114" s="20">
        <v>1</v>
      </c>
    </row>
    <row r="115" spans="1:39" ht="40.5">
      <c r="A115" s="20">
        <v>2001</v>
      </c>
      <c r="B115" s="20" t="s">
        <v>3983</v>
      </c>
      <c r="C115" s="21" t="s">
        <v>3984</v>
      </c>
      <c r="E115" s="20" t="s">
        <v>1641</v>
      </c>
      <c r="F115" s="20" t="s">
        <v>3985</v>
      </c>
      <c r="H115" s="20">
        <v>20</v>
      </c>
      <c r="I115" s="19" t="s">
        <v>126</v>
      </c>
      <c r="K115" s="20">
        <v>8</v>
      </c>
      <c r="L115" s="20">
        <v>3</v>
      </c>
      <c r="O115" s="20">
        <v>1</v>
      </c>
      <c r="W115" s="20">
        <f>IF(Q115&lt;&gt;0,3,IF(K115="","",VLOOKUP(K115,'#状态名词'!$J$1:$K$15,2,FALSE)))</f>
        <v>2</v>
      </c>
      <c r="AA115" s="20">
        <v>1</v>
      </c>
      <c r="AB115" s="20">
        <v>2001</v>
      </c>
      <c r="AC115" s="20">
        <v>100</v>
      </c>
      <c r="AD115" s="20">
        <v>1</v>
      </c>
    </row>
    <row r="116" spans="1:39">
      <c r="A116" s="20">
        <v>2002</v>
      </c>
      <c r="B116" s="20" t="s">
        <v>3986</v>
      </c>
      <c r="C116" s="21" t="s">
        <v>6675</v>
      </c>
      <c r="E116" s="20" t="s">
        <v>1724</v>
      </c>
      <c r="W116" s="20" t="str">
        <f>IF(Q116&lt;&gt;0,3,IF(K116="","",VLOOKUP(K116,'#状态名词'!$J$1:$K$15,2,FALSE)))</f>
        <v/>
      </c>
      <c r="AA116" s="20">
        <v>1</v>
      </c>
      <c r="AB116" s="20">
        <v>2002</v>
      </c>
      <c r="AC116" s="20">
        <v>100</v>
      </c>
      <c r="AD116" s="20">
        <v>1</v>
      </c>
    </row>
    <row r="117" spans="1:39">
      <c r="A117" s="20">
        <v>2003</v>
      </c>
      <c r="B117" s="20" t="s">
        <v>3987</v>
      </c>
      <c r="C117" s="21" t="s">
        <v>6677</v>
      </c>
      <c r="E117" s="20" t="s">
        <v>1725</v>
      </c>
      <c r="W117" s="20" t="str">
        <f>IF(Q117&lt;&gt;0,3,IF(K117="","",VLOOKUP(K117,'#状态名词'!$J$1:$K$15,2,FALSE)))</f>
        <v/>
      </c>
      <c r="AA117" s="20">
        <v>1</v>
      </c>
      <c r="AB117" s="20">
        <v>2003</v>
      </c>
      <c r="AC117" s="20">
        <v>100</v>
      </c>
      <c r="AD117" s="20">
        <v>1</v>
      </c>
    </row>
    <row r="118" spans="1:39">
      <c r="A118" s="20">
        <v>2004</v>
      </c>
      <c r="B118" s="20" t="s">
        <v>3988</v>
      </c>
      <c r="C118" s="21" t="s">
        <v>6676</v>
      </c>
      <c r="E118" s="20" t="s">
        <v>1726</v>
      </c>
      <c r="W118" s="20" t="str">
        <f>IF(Q118&lt;&gt;0,3,IF(K118="","",VLOOKUP(K118,'#状态名词'!$J$1:$K$15,2,FALSE)))</f>
        <v/>
      </c>
      <c r="AA118" s="20">
        <v>1</v>
      </c>
      <c r="AB118" s="20">
        <v>2004</v>
      </c>
      <c r="AC118" s="20">
        <v>100</v>
      </c>
      <c r="AD118" s="20">
        <v>1</v>
      </c>
    </row>
    <row r="119" spans="1:39">
      <c r="A119" s="20">
        <v>2005</v>
      </c>
      <c r="B119" s="20" t="s">
        <v>3989</v>
      </c>
      <c r="C119" s="21" t="s">
        <v>8072</v>
      </c>
      <c r="E119" s="20" t="s">
        <v>1727</v>
      </c>
      <c r="G119" s="31">
        <v>2001</v>
      </c>
      <c r="W119" s="20" t="str">
        <f>IF(Q119&lt;&gt;0,3,IF(K119="","",VLOOKUP(K119,'#状态名词'!$J$1:$K$15,2,FALSE)))</f>
        <v/>
      </c>
      <c r="AA119" s="20">
        <v>1</v>
      </c>
      <c r="AB119" s="20">
        <v>2005</v>
      </c>
      <c r="AC119" s="20">
        <v>100</v>
      </c>
      <c r="AD119" s="20">
        <v>2</v>
      </c>
    </row>
    <row r="120" spans="1:39">
      <c r="W120" s="20" t="str">
        <f>IF(Q120&lt;&gt;0,3,IF(K120="","",VLOOKUP(K120,'#状态名词'!$J$1:$K$15,2,FALSE)))</f>
        <v/>
      </c>
      <c r="AA120" s="20">
        <v>1</v>
      </c>
      <c r="AB120" s="20">
        <v>13</v>
      </c>
      <c r="AC120" s="20">
        <v>100</v>
      </c>
      <c r="AD120" s="20">
        <v>0</v>
      </c>
    </row>
    <row r="121" spans="1:39" ht="27">
      <c r="A121" s="20">
        <v>2101</v>
      </c>
      <c r="B121" s="20" t="s">
        <v>3990</v>
      </c>
      <c r="C121" s="21" t="s">
        <v>7131</v>
      </c>
      <c r="E121" s="20" t="s">
        <v>1640</v>
      </c>
      <c r="W121" s="20" t="str">
        <f>IF(Q121&lt;&gt;0,3,IF(K121="","",VLOOKUP(K121,'#状态名词'!$J$1:$K$15,2,FALSE)))</f>
        <v/>
      </c>
      <c r="AA121" s="20">
        <v>1</v>
      </c>
      <c r="AB121" s="20">
        <v>2101</v>
      </c>
      <c r="AC121" s="20">
        <v>100</v>
      </c>
      <c r="AD121" s="20">
        <v>1</v>
      </c>
    </row>
    <row r="122" spans="1:39">
      <c r="A122" s="20">
        <v>2102</v>
      </c>
      <c r="B122" s="20" t="s">
        <v>3991</v>
      </c>
      <c r="C122" s="21" t="s">
        <v>6678</v>
      </c>
      <c r="E122" s="20" t="s">
        <v>1728</v>
      </c>
      <c r="W122" s="20" t="str">
        <f>IF(Q122&lt;&gt;0,3,IF(K122="","",VLOOKUP(K122,'#状态名词'!$J$1:$K$15,2,FALSE)))</f>
        <v/>
      </c>
      <c r="AA122" s="20">
        <v>1</v>
      </c>
      <c r="AB122" s="20">
        <v>2102</v>
      </c>
      <c r="AC122" s="20">
        <v>100</v>
      </c>
      <c r="AD122" s="20">
        <v>1</v>
      </c>
    </row>
    <row r="123" spans="1:39">
      <c r="A123" s="20">
        <v>2103</v>
      </c>
      <c r="B123" s="20" t="s">
        <v>3992</v>
      </c>
      <c r="C123" s="21" t="s">
        <v>6679</v>
      </c>
      <c r="E123" s="20" t="s">
        <v>1729</v>
      </c>
      <c r="W123" s="20" t="str">
        <f>IF(Q123&lt;&gt;0,3,IF(K123="","",VLOOKUP(K123,'#状态名词'!$J$1:$K$15,2,FALSE)))</f>
        <v/>
      </c>
      <c r="AA123" s="20">
        <v>1</v>
      </c>
      <c r="AB123" s="20">
        <v>2103</v>
      </c>
      <c r="AC123" s="20">
        <v>100</v>
      </c>
      <c r="AD123" s="20">
        <v>1</v>
      </c>
    </row>
    <row r="124" spans="1:39">
      <c r="A124" s="20">
        <v>2104</v>
      </c>
      <c r="B124" s="20" t="s">
        <v>3993</v>
      </c>
      <c r="C124" s="21" t="s">
        <v>3994</v>
      </c>
      <c r="E124" s="20" t="s">
        <v>1648</v>
      </c>
      <c r="K124" s="20">
        <v>6</v>
      </c>
      <c r="W124" s="20">
        <f>IF(Q124&lt;&gt;0,3,IF(K124="","",VLOOKUP(K124,'#状态名词'!$J$1:$K$15,2,FALSE)))</f>
        <v>3</v>
      </c>
      <c r="AA124" s="20">
        <v>1</v>
      </c>
      <c r="AB124" s="20">
        <v>34</v>
      </c>
      <c r="AC124" s="20" t="s">
        <v>603</v>
      </c>
      <c r="AD124" s="20">
        <v>5</v>
      </c>
    </row>
    <row r="125" spans="1:39">
      <c r="A125" s="20">
        <v>2105</v>
      </c>
      <c r="B125" s="20" t="s">
        <v>3995</v>
      </c>
      <c r="C125" s="21" t="s">
        <v>6680</v>
      </c>
      <c r="E125" s="20" t="s">
        <v>1730</v>
      </c>
      <c r="W125" s="20" t="str">
        <f>IF(Q125&lt;&gt;0,3,IF(K125="","",VLOOKUP(K125,'#状态名词'!$J$1:$K$15,2,FALSE)))</f>
        <v/>
      </c>
      <c r="AA125" s="20">
        <v>1</v>
      </c>
      <c r="AB125" s="20">
        <v>2105</v>
      </c>
      <c r="AC125" s="20">
        <v>100</v>
      </c>
      <c r="AD125" s="20">
        <v>1</v>
      </c>
    </row>
    <row r="126" spans="1:39" ht="27">
      <c r="A126" s="20">
        <v>2201</v>
      </c>
      <c r="B126" s="20" t="s">
        <v>3996</v>
      </c>
      <c r="C126" s="21" t="s">
        <v>3997</v>
      </c>
      <c r="E126" s="20" t="s">
        <v>1731</v>
      </c>
      <c r="F126" s="20" t="s">
        <v>3998</v>
      </c>
      <c r="H126" s="20">
        <v>25</v>
      </c>
      <c r="J126" s="19" t="s">
        <v>1485</v>
      </c>
      <c r="K126" s="20">
        <v>1</v>
      </c>
      <c r="L126" s="20">
        <v>12</v>
      </c>
      <c r="N126" s="20">
        <v>3</v>
      </c>
      <c r="O126" s="20">
        <v>0</v>
      </c>
      <c r="W126" s="20">
        <f>IF(Q126&lt;&gt;0,3,IF(K126="","",VLOOKUP(K126,'#状态名词'!$J$1:$K$15,2,FALSE)))</f>
        <v>1</v>
      </c>
    </row>
    <row r="127" spans="1:39">
      <c r="A127" s="20">
        <v>2202</v>
      </c>
      <c r="B127" s="20" t="s">
        <v>128</v>
      </c>
      <c r="C127" s="73" t="s">
        <v>8988</v>
      </c>
      <c r="E127" s="20" t="s">
        <v>1732</v>
      </c>
      <c r="W127" s="20" t="str">
        <f>IF(Q127&lt;&gt;0,3,IF(K127="","",VLOOKUP(K127,'#状态名词'!$J$1:$K$15,2,FALSE)))</f>
        <v/>
      </c>
      <c r="AA127" s="20">
        <v>1</v>
      </c>
      <c r="AB127" s="20">
        <v>2202</v>
      </c>
      <c r="AC127" s="20">
        <v>100</v>
      </c>
      <c r="AD127" s="20">
        <v>2</v>
      </c>
    </row>
    <row r="128" spans="1:39" ht="27">
      <c r="A128" s="20">
        <v>2203</v>
      </c>
      <c r="B128" s="20" t="s">
        <v>3999</v>
      </c>
      <c r="C128" s="21" t="s">
        <v>4000</v>
      </c>
      <c r="E128" s="20" t="s">
        <v>1733</v>
      </c>
      <c r="F128" s="20" t="s">
        <v>4001</v>
      </c>
      <c r="H128" s="20">
        <v>30</v>
      </c>
      <c r="I128" s="19" t="s">
        <v>1486</v>
      </c>
      <c r="K128" s="20">
        <v>8</v>
      </c>
      <c r="L128" s="20">
        <v>5</v>
      </c>
      <c r="N128" s="20">
        <v>3</v>
      </c>
      <c r="O128" s="20">
        <v>1</v>
      </c>
      <c r="W128" s="20">
        <f>IF(Q128&lt;&gt;0,3,IF(K128="","",VLOOKUP(K128,'#状态名词'!$J$1:$K$15,2,FALSE)))</f>
        <v>2</v>
      </c>
    </row>
    <row r="129" spans="1:30">
      <c r="A129" s="20">
        <v>2204</v>
      </c>
      <c r="B129" s="20" t="s">
        <v>7174</v>
      </c>
      <c r="C129" s="21" t="s">
        <v>6617</v>
      </c>
      <c r="E129" s="20" t="s">
        <v>1734</v>
      </c>
      <c r="W129" s="20" t="str">
        <f>IF(Q129&lt;&gt;0,3,IF(K129="","",VLOOKUP(K129,'#状态名词'!$J$1:$K$15,2,FALSE)))</f>
        <v/>
      </c>
      <c r="AA129" s="20">
        <v>1</v>
      </c>
      <c r="AB129" s="20">
        <v>2204</v>
      </c>
      <c r="AC129" s="20">
        <v>100</v>
      </c>
      <c r="AD129" s="20">
        <v>2</v>
      </c>
    </row>
    <row r="130" spans="1:30">
      <c r="A130" s="20">
        <v>2205</v>
      </c>
      <c r="B130" s="20" t="s">
        <v>7175</v>
      </c>
      <c r="C130" s="73" t="s">
        <v>8990</v>
      </c>
      <c r="E130" s="20" t="s">
        <v>1735</v>
      </c>
      <c r="W130" s="20" t="str">
        <f>IF(Q130&lt;&gt;0,3,IF(K130="","",VLOOKUP(K130,'#状态名词'!$J$1:$K$15,2,FALSE)))</f>
        <v/>
      </c>
      <c r="AA130" s="20">
        <v>1</v>
      </c>
      <c r="AB130" s="20">
        <v>2205</v>
      </c>
      <c r="AC130" s="20">
        <v>100</v>
      </c>
      <c r="AD130" s="20">
        <v>2</v>
      </c>
    </row>
    <row r="131" spans="1:30" ht="27">
      <c r="A131" s="20">
        <v>2301</v>
      </c>
      <c r="B131" s="20" t="s">
        <v>4002</v>
      </c>
      <c r="C131" s="73" t="s">
        <v>9003</v>
      </c>
      <c r="E131" s="20" t="s">
        <v>1736</v>
      </c>
      <c r="K131" s="20">
        <v>9</v>
      </c>
      <c r="P131" s="20">
        <v>2301</v>
      </c>
      <c r="W131" s="20">
        <f>IF(Q131&lt;&gt;0,3,IF(K131="","",VLOOKUP(K131,'#状态名词'!$J$1:$K$15,2,FALSE)))</f>
        <v>3</v>
      </c>
      <c r="AA131" s="20">
        <v>1</v>
      </c>
      <c r="AB131" s="20">
        <v>2301</v>
      </c>
      <c r="AC131" s="20">
        <v>100</v>
      </c>
      <c r="AD131" s="20">
        <v>1</v>
      </c>
    </row>
    <row r="132" spans="1:30" ht="40.5">
      <c r="A132" s="20">
        <v>2302</v>
      </c>
      <c r="B132" s="20" t="s">
        <v>4003</v>
      </c>
      <c r="C132" s="21" t="s">
        <v>4004</v>
      </c>
      <c r="E132" s="20" t="s">
        <v>1737</v>
      </c>
      <c r="F132" s="20" t="s">
        <v>4005</v>
      </c>
      <c r="H132" s="20">
        <v>20</v>
      </c>
      <c r="I132" s="19" t="s">
        <v>1487</v>
      </c>
      <c r="K132" s="20">
        <v>5</v>
      </c>
      <c r="L132" s="20">
        <v>12</v>
      </c>
      <c r="O132" s="20">
        <v>1</v>
      </c>
      <c r="W132" s="20">
        <f>IF(Q132&lt;&gt;0,3,IF(K132="","",VLOOKUP(K132,'#状态名词'!$J$1:$K$15,2,FALSE)))</f>
        <v>1</v>
      </c>
      <c r="AA132" s="20">
        <v>1</v>
      </c>
      <c r="AB132" s="20">
        <v>2302</v>
      </c>
      <c r="AC132" s="20">
        <v>100</v>
      </c>
      <c r="AD132" s="20">
        <v>0</v>
      </c>
    </row>
    <row r="133" spans="1:30">
      <c r="A133" s="20">
        <v>2303</v>
      </c>
      <c r="B133" s="20" t="s">
        <v>7177</v>
      </c>
      <c r="C133" s="21" t="s">
        <v>6681</v>
      </c>
      <c r="E133" s="20" t="s">
        <v>1738</v>
      </c>
      <c r="W133" s="20" t="str">
        <f>IF(Q133&lt;&gt;0,3,IF(K133="","",VLOOKUP(K133,'#状态名词'!$J$1:$K$15,2,FALSE)))</f>
        <v/>
      </c>
      <c r="AA133" s="20">
        <v>1</v>
      </c>
      <c r="AB133" s="20">
        <v>2303</v>
      </c>
      <c r="AC133" s="20">
        <v>100</v>
      </c>
      <c r="AD133" s="20">
        <v>1</v>
      </c>
    </row>
    <row r="134" spans="1:30">
      <c r="A134" s="20">
        <v>2304</v>
      </c>
      <c r="B134" s="20" t="s">
        <v>7176</v>
      </c>
      <c r="C134" s="21" t="s">
        <v>6682</v>
      </c>
      <c r="E134" s="20" t="s">
        <v>1647</v>
      </c>
      <c r="K134" s="20">
        <v>10</v>
      </c>
      <c r="W134" s="20">
        <f>IF(Q134&lt;&gt;0,3,IF(K134="","",VLOOKUP(K134,'#状态名词'!$J$1:$K$15,2,FALSE)))</f>
        <v>3</v>
      </c>
      <c r="AA134" s="20">
        <v>1</v>
      </c>
      <c r="AB134" s="20">
        <v>2304</v>
      </c>
      <c r="AC134" s="20">
        <v>100</v>
      </c>
      <c r="AD134" s="20">
        <v>1</v>
      </c>
    </row>
    <row r="135" spans="1:30">
      <c r="A135" s="20">
        <v>2305</v>
      </c>
      <c r="B135" s="20" t="s">
        <v>7178</v>
      </c>
      <c r="C135" s="21" t="s">
        <v>6683</v>
      </c>
      <c r="E135" s="20" t="s">
        <v>1739</v>
      </c>
      <c r="W135" s="20" t="str">
        <f>IF(Q135&lt;&gt;0,3,IF(K135="","",VLOOKUP(K135,'#状态名词'!$J$1:$K$15,2,FALSE)))</f>
        <v/>
      </c>
      <c r="AA135" s="20">
        <v>1</v>
      </c>
      <c r="AB135" s="20">
        <v>2305</v>
      </c>
      <c r="AC135" s="20">
        <v>100</v>
      </c>
      <c r="AD135" s="20">
        <v>1</v>
      </c>
    </row>
    <row r="136" spans="1:30" ht="27">
      <c r="A136" s="20">
        <v>2401</v>
      </c>
      <c r="B136" s="20" t="s">
        <v>4007</v>
      </c>
      <c r="C136" s="21" t="s">
        <v>6462</v>
      </c>
      <c r="E136" s="20" t="s">
        <v>1740</v>
      </c>
      <c r="F136" s="20" t="s">
        <v>4008</v>
      </c>
      <c r="H136" s="20">
        <v>15</v>
      </c>
      <c r="I136" s="19"/>
      <c r="J136" s="19" t="s">
        <v>1488</v>
      </c>
      <c r="K136" s="20">
        <v>5</v>
      </c>
      <c r="L136" s="20">
        <v>12</v>
      </c>
      <c r="O136" s="20">
        <v>0</v>
      </c>
      <c r="U136" s="20">
        <v>10</v>
      </c>
      <c r="W136" s="20">
        <f>IF(Q136&lt;&gt;0,3,IF(K136="","",VLOOKUP(K136,'#状态名词'!$J$1:$K$15,2,FALSE)))</f>
        <v>1</v>
      </c>
      <c r="AA136" s="20">
        <v>1</v>
      </c>
      <c r="AB136" s="20">
        <v>22</v>
      </c>
      <c r="AC136" s="20">
        <v>15</v>
      </c>
      <c r="AD136" s="20">
        <v>0</v>
      </c>
    </row>
    <row r="137" spans="1:30">
      <c r="A137" s="20">
        <v>2402</v>
      </c>
      <c r="B137" s="20" t="s">
        <v>4009</v>
      </c>
      <c r="C137" s="21" t="s">
        <v>8073</v>
      </c>
      <c r="E137" s="20" t="s">
        <v>1741</v>
      </c>
      <c r="W137" s="20" t="str">
        <f>IF(Q137&lt;&gt;0,3,IF(K137="","",VLOOKUP(K137,'#状态名词'!$J$1:$K$15,2,FALSE)))</f>
        <v/>
      </c>
      <c r="AA137" s="20">
        <v>1</v>
      </c>
      <c r="AB137" s="20">
        <v>2402</v>
      </c>
      <c r="AC137" s="20">
        <v>100</v>
      </c>
      <c r="AD137" s="20">
        <v>2</v>
      </c>
    </row>
    <row r="138" spans="1:30">
      <c r="A138" s="20">
        <v>2403</v>
      </c>
      <c r="B138" s="20" t="s">
        <v>4010</v>
      </c>
      <c r="C138" s="21" t="s">
        <v>6684</v>
      </c>
      <c r="E138" s="20" t="s">
        <v>1679</v>
      </c>
      <c r="K138" s="20">
        <v>10</v>
      </c>
      <c r="W138" s="20">
        <f>IF(Q138&lt;&gt;0,3,IF(K138="","",VLOOKUP(K138,'#状态名词'!$J$1:$K$15,2,FALSE)))</f>
        <v>3</v>
      </c>
      <c r="AA138" s="20">
        <v>1</v>
      </c>
      <c r="AB138" s="20">
        <v>2403</v>
      </c>
      <c r="AC138" s="20">
        <v>100</v>
      </c>
      <c r="AD138" s="20">
        <v>1</v>
      </c>
    </row>
    <row r="139" spans="1:30" ht="27">
      <c r="A139" s="20">
        <v>2404</v>
      </c>
      <c r="B139" s="20" t="s">
        <v>4011</v>
      </c>
      <c r="C139" s="21" t="s">
        <v>4012</v>
      </c>
      <c r="E139" s="20" t="s">
        <v>1742</v>
      </c>
      <c r="F139" s="20" t="s">
        <v>4013</v>
      </c>
      <c r="H139" s="20">
        <v>20</v>
      </c>
      <c r="J139" s="19" t="s">
        <v>1489</v>
      </c>
      <c r="K139" s="20">
        <v>4</v>
      </c>
      <c r="L139" s="20">
        <v>30</v>
      </c>
      <c r="O139" s="20">
        <v>0</v>
      </c>
      <c r="U139" s="20">
        <v>30</v>
      </c>
      <c r="W139" s="20">
        <f>IF(Q139&lt;&gt;0,3,IF(K139="","",VLOOKUP(K139,'#状态名词'!$J$1:$K$15,2,FALSE)))</f>
        <v>3</v>
      </c>
    </row>
    <row r="140" spans="1:30">
      <c r="A140" s="20">
        <v>2405</v>
      </c>
      <c r="B140" s="20" t="s">
        <v>4014</v>
      </c>
      <c r="C140" s="21" t="s">
        <v>8074</v>
      </c>
      <c r="E140" s="20" t="s">
        <v>1743</v>
      </c>
      <c r="W140" s="20" t="str">
        <f>IF(Q140&lt;&gt;0,3,IF(K140="","",VLOOKUP(K140,'#状态名词'!$J$1:$K$15,2,FALSE)))</f>
        <v/>
      </c>
      <c r="AA140" s="20">
        <v>1</v>
      </c>
      <c r="AB140" s="20">
        <v>2405</v>
      </c>
      <c r="AC140" s="20">
        <v>100</v>
      </c>
      <c r="AD140" s="20">
        <v>2</v>
      </c>
    </row>
    <row r="141" spans="1:30">
      <c r="A141" s="20">
        <v>2501</v>
      </c>
      <c r="B141" s="20" t="s">
        <v>4015</v>
      </c>
      <c r="C141" s="21" t="s">
        <v>4016</v>
      </c>
      <c r="E141" s="20" t="s">
        <v>1744</v>
      </c>
      <c r="F141" s="20" t="s">
        <v>4017</v>
      </c>
      <c r="H141" s="20">
        <v>20</v>
      </c>
      <c r="J141" s="19" t="s">
        <v>1490</v>
      </c>
      <c r="K141" s="20">
        <v>5</v>
      </c>
      <c r="L141" s="20">
        <v>12</v>
      </c>
      <c r="N141" s="20">
        <v>1</v>
      </c>
      <c r="O141" s="20">
        <v>0</v>
      </c>
      <c r="W141" s="20">
        <f>IF(Q141&lt;&gt;0,3,IF(K141="","",VLOOKUP(K141,'#状态名词'!$J$1:$K$15,2,FALSE)))</f>
        <v>1</v>
      </c>
    </row>
    <row r="142" spans="1:30">
      <c r="A142" s="20">
        <v>2502</v>
      </c>
      <c r="B142" s="20" t="s">
        <v>4018</v>
      </c>
      <c r="C142" s="21" t="s">
        <v>8075</v>
      </c>
      <c r="E142" s="20" t="s">
        <v>1745</v>
      </c>
      <c r="W142" s="20" t="str">
        <f>IF(Q142&lt;&gt;0,3,IF(K142="","",VLOOKUP(K142,'#状态名词'!$J$1:$K$15,2,FALSE)))</f>
        <v/>
      </c>
      <c r="AA142" s="20">
        <v>1</v>
      </c>
      <c r="AB142" s="20">
        <v>2502</v>
      </c>
      <c r="AC142" s="20">
        <v>100</v>
      </c>
      <c r="AD142" s="20">
        <v>2</v>
      </c>
    </row>
    <row r="143" spans="1:30">
      <c r="A143" s="20">
        <v>2503</v>
      </c>
      <c r="B143" s="20" t="s">
        <v>4019</v>
      </c>
      <c r="C143" s="21" t="s">
        <v>6685</v>
      </c>
      <c r="E143" s="20" t="s">
        <v>1746</v>
      </c>
      <c r="W143" s="20" t="str">
        <f>IF(Q143&lt;&gt;0,3,IF(K143="","",VLOOKUP(K143,'#状态名词'!$J$1:$K$15,2,FALSE)))</f>
        <v/>
      </c>
      <c r="AA143" s="20">
        <v>1</v>
      </c>
      <c r="AB143" s="20">
        <v>2503</v>
      </c>
      <c r="AC143" s="20">
        <v>100</v>
      </c>
      <c r="AD143" s="20">
        <v>1</v>
      </c>
    </row>
    <row r="144" spans="1:30">
      <c r="A144" s="20">
        <v>2504</v>
      </c>
      <c r="B144" s="20" t="s">
        <v>4020</v>
      </c>
      <c r="C144" s="21" t="s">
        <v>6686</v>
      </c>
      <c r="E144" s="20" t="s">
        <v>1747</v>
      </c>
      <c r="W144" s="20" t="str">
        <f>IF(Q144&lt;&gt;0,3,IF(K144="","",VLOOKUP(K144,'#状态名词'!$J$1:$K$15,2,FALSE)))</f>
        <v/>
      </c>
      <c r="AA144" s="20">
        <v>1</v>
      </c>
      <c r="AB144" s="20">
        <v>2504</v>
      </c>
      <c r="AC144" s="20">
        <v>100</v>
      </c>
      <c r="AD144" s="20">
        <v>1</v>
      </c>
    </row>
    <row r="145" spans="1:31">
      <c r="A145" s="20">
        <v>2505</v>
      </c>
      <c r="B145" s="20" t="s">
        <v>4021</v>
      </c>
      <c r="C145" s="21" t="s">
        <v>6687</v>
      </c>
      <c r="E145" s="20" t="s">
        <v>1748</v>
      </c>
      <c r="W145" s="20" t="str">
        <f>IF(Q145&lt;&gt;0,3,IF(K145="","",VLOOKUP(K145,'#状态名词'!$J$1:$K$15,2,FALSE)))</f>
        <v/>
      </c>
      <c r="AA145" s="20">
        <v>1</v>
      </c>
      <c r="AB145" s="20">
        <v>2505</v>
      </c>
      <c r="AC145" s="20">
        <v>100</v>
      </c>
      <c r="AD145" s="20">
        <v>1</v>
      </c>
    </row>
    <row r="146" spans="1:31">
      <c r="A146" s="20">
        <v>2601</v>
      </c>
      <c r="B146" s="20" t="s">
        <v>4022</v>
      </c>
      <c r="C146" s="21" t="s">
        <v>4023</v>
      </c>
      <c r="E146" s="20" t="s">
        <v>1749</v>
      </c>
      <c r="K146" s="20">
        <v>9</v>
      </c>
      <c r="W146" s="20">
        <f>IF(Q146&lt;&gt;0,3,IF(K146="","",VLOOKUP(K146,'#状态名词'!$J$1:$K$15,2,FALSE)))</f>
        <v>3</v>
      </c>
      <c r="AA146" s="20">
        <v>1</v>
      </c>
      <c r="AB146" s="20">
        <v>2601</v>
      </c>
      <c r="AC146" s="20">
        <v>100</v>
      </c>
      <c r="AD146" s="20">
        <v>1</v>
      </c>
    </row>
    <row r="147" spans="1:31">
      <c r="A147" s="20">
        <v>2602</v>
      </c>
      <c r="B147" s="20" t="s">
        <v>4024</v>
      </c>
      <c r="C147" s="21" t="s">
        <v>6688</v>
      </c>
      <c r="E147" s="20" t="s">
        <v>1750</v>
      </c>
      <c r="W147" s="20" t="str">
        <f>IF(Q147&lt;&gt;0,3,IF(K147="","",VLOOKUP(K147,'#状态名词'!$J$1:$K$15,2,FALSE)))</f>
        <v/>
      </c>
      <c r="AA147" s="20">
        <v>1</v>
      </c>
      <c r="AB147" s="20">
        <v>2602</v>
      </c>
      <c r="AC147" s="20">
        <v>100</v>
      </c>
      <c r="AD147" s="20">
        <v>1</v>
      </c>
    </row>
    <row r="148" spans="1:31">
      <c r="A148" s="20">
        <v>2603</v>
      </c>
      <c r="B148" s="20" t="s">
        <v>4025</v>
      </c>
      <c r="C148" s="21" t="s">
        <v>4026</v>
      </c>
      <c r="E148" s="20" t="s">
        <v>1751</v>
      </c>
      <c r="K148" s="20">
        <v>9</v>
      </c>
      <c r="W148" s="20">
        <f>IF(Q148&lt;&gt;0,3,IF(K148="","",VLOOKUP(K148,'#状态名词'!$J$1:$K$15,2,FALSE)))</f>
        <v>3</v>
      </c>
      <c r="AA148" s="20">
        <v>1</v>
      </c>
      <c r="AB148" s="20">
        <v>2603</v>
      </c>
      <c r="AC148" s="20">
        <v>100</v>
      </c>
      <c r="AD148" s="20">
        <v>1</v>
      </c>
    </row>
    <row r="149" spans="1:31" ht="27">
      <c r="A149" s="20">
        <v>2604</v>
      </c>
      <c r="B149" s="20" t="s">
        <v>4027</v>
      </c>
      <c r="C149" s="21" t="s">
        <v>4028</v>
      </c>
      <c r="E149" s="20" t="s">
        <v>1752</v>
      </c>
      <c r="F149" s="20" t="s">
        <v>4029</v>
      </c>
      <c r="H149" s="20">
        <v>25</v>
      </c>
      <c r="J149" s="19" t="s">
        <v>1491</v>
      </c>
      <c r="K149" s="20">
        <v>5</v>
      </c>
      <c r="L149" s="20">
        <v>12</v>
      </c>
      <c r="O149" s="20">
        <v>1</v>
      </c>
      <c r="W149" s="20">
        <f>IF(Q149&lt;&gt;0,3,IF(K149="","",VLOOKUP(K149,'#状态名词'!$J$1:$K$15,2,FALSE)))</f>
        <v>1</v>
      </c>
      <c r="AA149" s="20">
        <v>1</v>
      </c>
      <c r="AB149" s="20">
        <v>2604</v>
      </c>
      <c r="AC149" s="20">
        <v>100</v>
      </c>
      <c r="AD149" s="20">
        <v>1</v>
      </c>
    </row>
    <row r="150" spans="1:31">
      <c r="A150" s="20">
        <v>2605</v>
      </c>
      <c r="B150" s="20" t="s">
        <v>4030</v>
      </c>
      <c r="C150" s="21" t="s">
        <v>8076</v>
      </c>
      <c r="E150" s="20" t="s">
        <v>1753</v>
      </c>
      <c r="W150" s="20" t="str">
        <f>IF(Q150&lt;&gt;0,3,IF(K150="","",VLOOKUP(K150,'#状态名词'!$J$1:$K$15,2,FALSE)))</f>
        <v/>
      </c>
      <c r="AA150" s="20">
        <v>1</v>
      </c>
      <c r="AB150" s="20">
        <v>2605</v>
      </c>
      <c r="AC150" s="20">
        <v>100</v>
      </c>
      <c r="AD150" s="20">
        <v>2</v>
      </c>
    </row>
    <row r="151" spans="1:31">
      <c r="A151" s="20">
        <v>2701</v>
      </c>
      <c r="B151" s="20" t="s">
        <v>4031</v>
      </c>
      <c r="C151" s="21" t="s">
        <v>6689</v>
      </c>
      <c r="E151" s="20" t="s">
        <v>1702</v>
      </c>
      <c r="W151" s="20" t="str">
        <f>IF(Q151&lt;&gt;0,3,IF(K151="","",VLOOKUP(K151,'#状态名词'!$J$1:$K$15,2,FALSE)))</f>
        <v/>
      </c>
      <c r="AA151" s="20">
        <v>1</v>
      </c>
      <c r="AB151" s="20">
        <v>2701</v>
      </c>
      <c r="AC151" s="20">
        <v>100</v>
      </c>
      <c r="AD151" s="20">
        <v>1</v>
      </c>
    </row>
    <row r="152" spans="1:31" ht="27">
      <c r="A152" s="20">
        <v>2702</v>
      </c>
      <c r="B152" s="20" t="s">
        <v>4032</v>
      </c>
      <c r="C152" s="21" t="s">
        <v>4033</v>
      </c>
      <c r="E152" s="20" t="s">
        <v>7088</v>
      </c>
      <c r="F152" s="20" t="s">
        <v>4034</v>
      </c>
      <c r="H152" s="20">
        <v>25</v>
      </c>
      <c r="J152" s="19" t="s">
        <v>1492</v>
      </c>
      <c r="K152" s="20">
        <v>1</v>
      </c>
      <c r="L152" s="20">
        <v>12</v>
      </c>
      <c r="O152" s="20">
        <v>0</v>
      </c>
      <c r="W152" s="20">
        <f>IF(Q152&lt;&gt;0,3,IF(K152="","",VLOOKUP(K152,'#状态名词'!$J$1:$K$15,2,FALSE)))</f>
        <v>1</v>
      </c>
    </row>
    <row r="153" spans="1:31">
      <c r="A153" s="20">
        <v>2703</v>
      </c>
      <c r="B153" s="20" t="s">
        <v>4035</v>
      </c>
      <c r="C153" s="21" t="s">
        <v>8077</v>
      </c>
      <c r="E153" s="20" t="s">
        <v>7089</v>
      </c>
      <c r="G153" s="31"/>
      <c r="W153" s="20" t="str">
        <f>IF(Q153&lt;&gt;0,3,IF(K153="","",VLOOKUP(K153,'#状态名词'!$J$1:$K$15,2,FALSE)))</f>
        <v/>
      </c>
      <c r="AA153" s="20">
        <v>1</v>
      </c>
      <c r="AB153" s="20">
        <v>2703</v>
      </c>
      <c r="AC153" s="20">
        <v>100</v>
      </c>
      <c r="AD153" s="20">
        <v>1</v>
      </c>
    </row>
    <row r="154" spans="1:31">
      <c r="A154" s="20">
        <v>2704</v>
      </c>
      <c r="B154" s="20" t="s">
        <v>4036</v>
      </c>
      <c r="C154" s="21" t="s">
        <v>7063</v>
      </c>
      <c r="E154" s="20" t="s">
        <v>7090</v>
      </c>
      <c r="G154" s="20">
        <v>1</v>
      </c>
      <c r="K154" s="20">
        <v>9</v>
      </c>
      <c r="W154" s="20">
        <f>IF(Q154&lt;&gt;0,3,IF(K154="","",VLOOKUP(K154,'#状态名词'!$J$1:$K$15,2,FALSE)))</f>
        <v>3</v>
      </c>
      <c r="AA154" s="20">
        <v>1</v>
      </c>
      <c r="AB154" s="20">
        <v>44</v>
      </c>
      <c r="AC154" s="20" t="s">
        <v>4037</v>
      </c>
      <c r="AD154" s="20">
        <v>1</v>
      </c>
    </row>
    <row r="155" spans="1:31">
      <c r="A155" s="20">
        <v>2705</v>
      </c>
      <c r="B155" s="20" t="s">
        <v>4038</v>
      </c>
      <c r="C155" s="21" t="s">
        <v>7085</v>
      </c>
      <c r="E155" s="20" t="s">
        <v>7091</v>
      </c>
      <c r="G155" s="20">
        <v>1</v>
      </c>
      <c r="K155" s="20">
        <v>9</v>
      </c>
      <c r="W155" s="20">
        <f>IF(Q155&lt;&gt;0,3,IF(K155="","",VLOOKUP(K155,'#状态名词'!$J$1:$K$15,2,FALSE)))</f>
        <v>3</v>
      </c>
      <c r="AA155" s="20">
        <v>1</v>
      </c>
      <c r="AB155" s="20">
        <v>2705</v>
      </c>
      <c r="AC155" s="20" t="s">
        <v>7065</v>
      </c>
      <c r="AD155" s="20">
        <v>1</v>
      </c>
    </row>
    <row r="156" spans="1:31">
      <c r="W156" s="20" t="str">
        <f>IF(Q156&lt;&gt;0,3,IF(K156="","",VLOOKUP(K156,'#状态名词'!$J$1:$K$15,2,FALSE)))</f>
        <v/>
      </c>
      <c r="AA156" s="20">
        <v>1</v>
      </c>
      <c r="AB156" s="20">
        <v>42</v>
      </c>
      <c r="AC156" s="20" t="s">
        <v>7064</v>
      </c>
      <c r="AD156" s="20">
        <v>1</v>
      </c>
    </row>
    <row r="157" spans="1:31">
      <c r="A157" s="20">
        <v>2801</v>
      </c>
      <c r="B157" s="20" t="s">
        <v>4039</v>
      </c>
      <c r="C157" s="21" t="s">
        <v>8078</v>
      </c>
      <c r="E157" s="20" t="s">
        <v>1754</v>
      </c>
      <c r="K157" s="20">
        <v>12</v>
      </c>
      <c r="W157" s="20">
        <f>IF(Q157&lt;&gt;0,3,IF(K157="","",VLOOKUP(K157,'#状态名词'!$J$1:$K$15,2,FALSE)))</f>
        <v>0</v>
      </c>
      <c r="AA157" s="20">
        <v>1</v>
      </c>
      <c r="AB157" s="20">
        <v>2801</v>
      </c>
      <c r="AC157" s="20">
        <v>100</v>
      </c>
      <c r="AD157" s="20">
        <v>1</v>
      </c>
    </row>
    <row r="158" spans="1:31">
      <c r="A158" s="20">
        <v>2802</v>
      </c>
      <c r="B158" s="20" t="s">
        <v>3839</v>
      </c>
      <c r="C158" s="21" t="s">
        <v>6690</v>
      </c>
      <c r="E158" s="20" t="s">
        <v>1634</v>
      </c>
      <c r="W158" s="20" t="str">
        <f>IF(Q158&lt;&gt;0,3,IF(K158="","",VLOOKUP(K158,'#状态名词'!$J$1:$K$15,2,FALSE)))</f>
        <v/>
      </c>
      <c r="AA158" s="20">
        <v>1</v>
      </c>
      <c r="AB158" s="20">
        <v>2802</v>
      </c>
      <c r="AC158" s="20">
        <v>100</v>
      </c>
      <c r="AD158" s="20">
        <v>1</v>
      </c>
    </row>
    <row r="159" spans="1:31">
      <c r="A159" s="20">
        <v>2803</v>
      </c>
      <c r="B159" s="20" t="s">
        <v>4040</v>
      </c>
      <c r="C159" s="21" t="s">
        <v>4041</v>
      </c>
      <c r="E159" s="20" t="s">
        <v>1755</v>
      </c>
      <c r="K159" s="20">
        <v>9</v>
      </c>
      <c r="W159" s="20">
        <f>IF(Q159&lt;&gt;0,3,IF(K159="","",VLOOKUP(K159,'#状态名词'!$J$1:$K$15,2,FALSE)))</f>
        <v>3</v>
      </c>
      <c r="AA159" s="20">
        <v>1</v>
      </c>
      <c r="AB159" s="20">
        <v>5</v>
      </c>
      <c r="AC159" s="20" t="s">
        <v>605</v>
      </c>
      <c r="AD159" s="20">
        <v>0</v>
      </c>
    </row>
    <row r="160" spans="1:31" ht="27">
      <c r="A160" s="20">
        <v>2804</v>
      </c>
      <c r="B160" s="20" t="s">
        <v>4042</v>
      </c>
      <c r="C160" s="21" t="s">
        <v>4043</v>
      </c>
      <c r="E160" s="20" t="s">
        <v>1756</v>
      </c>
      <c r="F160" s="20" t="s">
        <v>4044</v>
      </c>
      <c r="H160" s="20">
        <v>10</v>
      </c>
      <c r="J160" s="19" t="s">
        <v>1493</v>
      </c>
      <c r="K160" s="20">
        <v>5</v>
      </c>
      <c r="L160" s="20">
        <v>17</v>
      </c>
      <c r="O160" s="20">
        <v>1</v>
      </c>
      <c r="T160" s="20">
        <v>10</v>
      </c>
      <c r="W160" s="20">
        <f>IF(Q160&lt;&gt;0,3,IF(K160="","",VLOOKUP(K160,'#状态名词'!$J$1:$K$15,2,FALSE)))</f>
        <v>1</v>
      </c>
      <c r="AA160" s="20">
        <v>1</v>
      </c>
      <c r="AB160" s="20">
        <v>22</v>
      </c>
      <c r="AC160" s="20">
        <v>25</v>
      </c>
      <c r="AD160" s="20">
        <v>0</v>
      </c>
      <c r="AE160" s="20">
        <v>2</v>
      </c>
    </row>
    <row r="161" spans="1:31">
      <c r="A161" s="20">
        <v>2805</v>
      </c>
      <c r="B161" s="20" t="s">
        <v>4045</v>
      </c>
      <c r="C161" s="21" t="s">
        <v>6691</v>
      </c>
      <c r="E161" s="20" t="s">
        <v>1678</v>
      </c>
      <c r="W161" s="20" t="str">
        <f>IF(Q161&lt;&gt;0,3,IF(K161="","",VLOOKUP(K161,'#状态名词'!$J$1:$K$15,2,FALSE)))</f>
        <v/>
      </c>
      <c r="AA161" s="20">
        <v>1</v>
      </c>
      <c r="AB161" s="20">
        <v>2805</v>
      </c>
      <c r="AC161" s="20">
        <v>100</v>
      </c>
      <c r="AD161" s="20">
        <v>1</v>
      </c>
    </row>
    <row r="162" spans="1:31" ht="27">
      <c r="A162" s="20">
        <v>2901</v>
      </c>
      <c r="B162" s="20" t="s">
        <v>4046</v>
      </c>
      <c r="C162" s="21" t="s">
        <v>4047</v>
      </c>
      <c r="E162" s="20" t="s">
        <v>1757</v>
      </c>
      <c r="F162" s="20" t="s">
        <v>4048</v>
      </c>
      <c r="H162" s="20">
        <v>12</v>
      </c>
      <c r="J162" s="19" t="s">
        <v>109</v>
      </c>
      <c r="K162" s="20">
        <v>5</v>
      </c>
      <c r="L162" s="20">
        <v>12</v>
      </c>
      <c r="N162" s="20">
        <v>1</v>
      </c>
      <c r="O162" s="20">
        <v>1</v>
      </c>
      <c r="W162" s="20">
        <f>IF(Q162&lt;&gt;0,3,IF(K162="","",VLOOKUP(K162,'#状态名词'!$J$1:$K$15,2,FALSE)))</f>
        <v>1</v>
      </c>
      <c r="AA162" s="20">
        <v>1</v>
      </c>
      <c r="AB162" s="20">
        <v>22</v>
      </c>
      <c r="AC162" s="20">
        <v>10</v>
      </c>
      <c r="AD162" s="20">
        <v>0</v>
      </c>
    </row>
    <row r="163" spans="1:31">
      <c r="A163" s="20">
        <v>2902</v>
      </c>
      <c r="B163" s="20" t="s">
        <v>4049</v>
      </c>
      <c r="C163" s="73" t="s">
        <v>9020</v>
      </c>
      <c r="E163" s="20" t="s">
        <v>1758</v>
      </c>
      <c r="F163" s="20" t="s">
        <v>4050</v>
      </c>
      <c r="H163" s="20">
        <v>20</v>
      </c>
      <c r="J163" s="19" t="s">
        <v>1479</v>
      </c>
      <c r="K163" s="20">
        <v>4</v>
      </c>
      <c r="L163" s="20">
        <v>100</v>
      </c>
      <c r="O163" s="20">
        <v>1</v>
      </c>
      <c r="W163" s="20">
        <f>IF(Q163&lt;&gt;0,3,IF(K163="","",VLOOKUP(K163,'#状态名词'!$J$1:$K$15,2,FALSE)))</f>
        <v>3</v>
      </c>
    </row>
    <row r="164" spans="1:31">
      <c r="A164" s="20">
        <v>2903</v>
      </c>
      <c r="B164" s="20" t="s">
        <v>4051</v>
      </c>
      <c r="C164" s="21" t="s">
        <v>6681</v>
      </c>
      <c r="E164" s="20" t="s">
        <v>1759</v>
      </c>
      <c r="W164" s="20" t="str">
        <f>IF(Q164&lt;&gt;0,3,IF(K164="","",VLOOKUP(K164,'#状态名词'!$J$1:$K$15,2,FALSE)))</f>
        <v/>
      </c>
      <c r="AA164" s="20">
        <v>1</v>
      </c>
      <c r="AB164" s="20">
        <v>2903</v>
      </c>
      <c r="AC164" s="20">
        <v>100</v>
      </c>
      <c r="AD164" s="20">
        <v>1</v>
      </c>
    </row>
    <row r="165" spans="1:31">
      <c r="A165" s="20">
        <v>2904</v>
      </c>
      <c r="B165" s="20" t="s">
        <v>4052</v>
      </c>
      <c r="C165" s="21" t="s">
        <v>7226</v>
      </c>
      <c r="E165" s="20" t="s">
        <v>1760</v>
      </c>
      <c r="W165" s="20" t="str">
        <f>IF(Q165&lt;&gt;0,3,IF(K165="","",VLOOKUP(K165,'#状态名词'!$J$1:$K$15,2,FALSE)))</f>
        <v/>
      </c>
      <c r="AA165" s="20">
        <v>1</v>
      </c>
      <c r="AB165" s="20">
        <v>2904</v>
      </c>
      <c r="AC165" s="20">
        <v>100</v>
      </c>
      <c r="AD165" s="20">
        <v>1</v>
      </c>
    </row>
    <row r="166" spans="1:31" ht="27">
      <c r="A166" s="20">
        <v>2905</v>
      </c>
      <c r="B166" s="20" t="s">
        <v>4053</v>
      </c>
      <c r="C166" s="21" t="s">
        <v>6692</v>
      </c>
      <c r="E166" s="20" t="s">
        <v>1761</v>
      </c>
      <c r="W166" s="20" t="str">
        <f>IF(Q166&lt;&gt;0,3,IF(K166="","",VLOOKUP(K166,'#状态名词'!$J$1:$K$15,2,FALSE)))</f>
        <v/>
      </c>
      <c r="AA166" s="20">
        <v>1</v>
      </c>
      <c r="AB166" s="20">
        <v>2905</v>
      </c>
      <c r="AC166" s="20">
        <v>100</v>
      </c>
      <c r="AD166" s="20">
        <v>2</v>
      </c>
    </row>
    <row r="167" spans="1:31" ht="27">
      <c r="A167" s="20">
        <v>3001</v>
      </c>
      <c r="B167" s="20" t="s">
        <v>4054</v>
      </c>
      <c r="C167" s="21" t="s">
        <v>4055</v>
      </c>
      <c r="E167" s="20" t="s">
        <v>1697</v>
      </c>
      <c r="F167" s="20" t="s">
        <v>4056</v>
      </c>
      <c r="H167" s="20">
        <v>23</v>
      </c>
      <c r="J167" s="19" t="s">
        <v>1472</v>
      </c>
      <c r="K167" s="20">
        <v>5</v>
      </c>
      <c r="L167" s="20">
        <v>12</v>
      </c>
      <c r="N167" s="20">
        <v>3</v>
      </c>
      <c r="O167" s="20">
        <v>0</v>
      </c>
      <c r="U167" s="20">
        <v>40</v>
      </c>
      <c r="W167" s="20">
        <f>IF(Q167&lt;&gt;0,3,IF(K167="","",VLOOKUP(K167,'#状态名词'!$J$1:$K$15,2,FALSE)))</f>
        <v>1</v>
      </c>
    </row>
    <row r="168" spans="1:31">
      <c r="A168" s="20">
        <v>3002</v>
      </c>
      <c r="B168" s="20" t="s">
        <v>4057</v>
      </c>
      <c r="C168" s="21" t="s">
        <v>6693</v>
      </c>
      <c r="E168" s="20" t="s">
        <v>1762</v>
      </c>
      <c r="W168" s="20" t="str">
        <f>IF(Q168&lt;&gt;0,3,IF(K168="","",VLOOKUP(K168,'#状态名词'!$J$1:$K$15,2,FALSE)))</f>
        <v/>
      </c>
      <c r="AA168" s="20">
        <v>1</v>
      </c>
      <c r="AB168" s="20">
        <v>3002</v>
      </c>
      <c r="AC168" s="20">
        <v>100</v>
      </c>
      <c r="AD168" s="20">
        <v>1</v>
      </c>
    </row>
    <row r="169" spans="1:31">
      <c r="A169" s="20">
        <v>3003</v>
      </c>
      <c r="B169" s="20" t="s">
        <v>4058</v>
      </c>
      <c r="C169" s="21" t="s">
        <v>6618</v>
      </c>
      <c r="E169" s="20" t="s">
        <v>1763</v>
      </c>
      <c r="W169" s="20" t="str">
        <f>IF(Q169&lt;&gt;0,3,IF(K169="","",VLOOKUP(K169,'#状态名词'!$J$1:$K$15,2,FALSE)))</f>
        <v/>
      </c>
      <c r="Y169" s="20">
        <v>10</v>
      </c>
      <c r="Z169" s="20">
        <v>3006</v>
      </c>
      <c r="AA169" s="20">
        <v>1</v>
      </c>
      <c r="AB169" s="20">
        <v>3003</v>
      </c>
      <c r="AC169" s="20">
        <v>100</v>
      </c>
      <c r="AD169" s="20">
        <v>2</v>
      </c>
    </row>
    <row r="170" spans="1:31">
      <c r="A170" s="20">
        <v>3004</v>
      </c>
      <c r="B170" s="20" t="s">
        <v>4059</v>
      </c>
      <c r="C170" s="21" t="s">
        <v>6619</v>
      </c>
      <c r="E170" s="20" t="s">
        <v>1764</v>
      </c>
      <c r="W170" s="20" t="str">
        <f>IF(Q170&lt;&gt;0,3,IF(K170="","",VLOOKUP(K170,'#状态名词'!$J$1:$K$15,2,FALSE)))</f>
        <v/>
      </c>
      <c r="AA170" s="20">
        <v>1</v>
      </c>
      <c r="AB170" s="20">
        <v>3004</v>
      </c>
      <c r="AC170" s="20">
        <v>100</v>
      </c>
      <c r="AD170" s="20">
        <v>2</v>
      </c>
    </row>
    <row r="171" spans="1:31" ht="27">
      <c r="A171" s="20">
        <v>3005</v>
      </c>
      <c r="B171" s="20" t="s">
        <v>4060</v>
      </c>
      <c r="C171" s="21" t="s">
        <v>7160</v>
      </c>
      <c r="E171" s="20" t="s">
        <v>1765</v>
      </c>
      <c r="F171" s="20" t="s">
        <v>4061</v>
      </c>
      <c r="H171" s="20">
        <v>14</v>
      </c>
      <c r="J171" s="19" t="s">
        <v>1494</v>
      </c>
      <c r="K171" s="20">
        <v>1</v>
      </c>
      <c r="L171" s="20">
        <v>3</v>
      </c>
      <c r="O171" s="20">
        <v>0</v>
      </c>
      <c r="P171" s="20">
        <v>3005</v>
      </c>
      <c r="U171" s="20">
        <v>30</v>
      </c>
      <c r="W171" s="20">
        <f>IF(Q171&lt;&gt;0,3,IF(K171="","",VLOOKUP(K171,'#状态名词'!$J$1:$K$15,2,FALSE)))</f>
        <v>1</v>
      </c>
      <c r="AA171" s="20">
        <v>1</v>
      </c>
      <c r="AB171" s="20">
        <v>2</v>
      </c>
      <c r="AC171" s="20">
        <v>100</v>
      </c>
      <c r="AD171" s="20">
        <v>0</v>
      </c>
      <c r="AE171" s="20">
        <v>5</v>
      </c>
    </row>
    <row r="172" spans="1:31">
      <c r="A172" s="20">
        <v>3006</v>
      </c>
      <c r="B172" s="20" t="s">
        <v>4062</v>
      </c>
      <c r="C172" s="21" t="s">
        <v>4063</v>
      </c>
      <c r="G172" s="20">
        <v>3001</v>
      </c>
      <c r="K172" s="20">
        <v>10</v>
      </c>
      <c r="W172" s="20">
        <f>IF(Q172&lt;&gt;0,3,IF(K172="","",VLOOKUP(K172,'#状态名词'!$J$1:$K$15,2,FALSE)))</f>
        <v>3</v>
      </c>
      <c r="AA172" s="20">
        <v>1</v>
      </c>
      <c r="AB172" s="20">
        <v>3006</v>
      </c>
      <c r="AC172" s="20">
        <v>100</v>
      </c>
      <c r="AD172" s="20">
        <v>2</v>
      </c>
    </row>
    <row r="173" spans="1:31">
      <c r="A173" s="20">
        <v>3101</v>
      </c>
      <c r="B173" s="20" t="s">
        <v>4064</v>
      </c>
      <c r="C173" s="21" t="s">
        <v>6695</v>
      </c>
      <c r="W173" s="20" t="str">
        <f>IF(Q173&lt;&gt;0,3,IF(K173="","",VLOOKUP(K173,'#状态名词'!$J$1:$K$15,2,FALSE)))</f>
        <v/>
      </c>
      <c r="AA173" s="20">
        <v>1</v>
      </c>
      <c r="AB173" s="20">
        <v>44</v>
      </c>
      <c r="AC173" s="20">
        <v>100</v>
      </c>
      <c r="AD173" s="20">
        <v>1</v>
      </c>
      <c r="AE173" s="20" t="s">
        <v>597</v>
      </c>
    </row>
    <row r="174" spans="1:31">
      <c r="A174" s="20">
        <v>3102</v>
      </c>
      <c r="B174" s="20" t="s">
        <v>4065</v>
      </c>
      <c r="C174" s="21" t="s">
        <v>6694</v>
      </c>
      <c r="W174" s="20" t="str">
        <f>IF(Q174&lt;&gt;0,3,IF(K174="","",VLOOKUP(K174,'#状态名词'!$J$1:$K$15,2,FALSE)))</f>
        <v/>
      </c>
      <c r="AA174" s="20">
        <v>1</v>
      </c>
      <c r="AB174" s="20">
        <v>3102</v>
      </c>
      <c r="AC174" s="20">
        <v>100</v>
      </c>
      <c r="AD174" s="20">
        <v>1</v>
      </c>
    </row>
    <row r="175" spans="1:31">
      <c r="A175" s="20">
        <v>3103</v>
      </c>
      <c r="B175" s="20" t="s">
        <v>4066</v>
      </c>
      <c r="C175" s="21" t="s">
        <v>8079</v>
      </c>
      <c r="W175" s="20" t="str">
        <f>IF(Q175&lt;&gt;0,3,IF(K175="","",VLOOKUP(K175,'#状态名词'!$J$1:$K$15,2,FALSE)))</f>
        <v/>
      </c>
      <c r="AA175" s="20">
        <v>1</v>
      </c>
      <c r="AB175" s="20">
        <v>3103</v>
      </c>
      <c r="AC175" s="20">
        <v>100</v>
      </c>
      <c r="AD175" s="20">
        <v>2</v>
      </c>
    </row>
    <row r="176" spans="1:31">
      <c r="A176" s="20">
        <v>3104</v>
      </c>
      <c r="B176" s="20" t="s">
        <v>4067</v>
      </c>
      <c r="C176" s="21" t="s">
        <v>6696</v>
      </c>
      <c r="Q176" s="20">
        <v>1</v>
      </c>
      <c r="R176" s="20">
        <v>2</v>
      </c>
      <c r="S176" s="20">
        <v>1</v>
      </c>
      <c r="W176" s="20">
        <f>IF(Q176&lt;&gt;0,3,IF(K176="","",VLOOKUP(K176,'#状态名词'!$J$1:$K$15,2,FALSE)))</f>
        <v>3</v>
      </c>
      <c r="AA176" s="20">
        <v>1</v>
      </c>
      <c r="AB176" s="20">
        <v>35</v>
      </c>
      <c r="AC176" s="20">
        <v>100</v>
      </c>
      <c r="AD176" s="20">
        <v>1</v>
      </c>
      <c r="AE176" s="20" t="s">
        <v>606</v>
      </c>
    </row>
    <row r="177" spans="1:30">
      <c r="A177" s="20">
        <v>3105</v>
      </c>
      <c r="B177" s="20" t="s">
        <v>4068</v>
      </c>
      <c r="C177" s="21" t="s">
        <v>4069</v>
      </c>
      <c r="W177" s="20" t="str">
        <f>IF(Q177&lt;&gt;0,3,IF(K177="","",VLOOKUP(K177,'#状态名词'!$J$1:$K$15,2,FALSE)))</f>
        <v/>
      </c>
      <c r="AA177" s="20">
        <v>1</v>
      </c>
      <c r="AB177" s="20">
        <v>3105</v>
      </c>
      <c r="AC177" s="20">
        <v>100</v>
      </c>
      <c r="AD177" s="20">
        <v>1</v>
      </c>
    </row>
    <row r="178" spans="1:30">
      <c r="A178" s="20">
        <v>3201</v>
      </c>
      <c r="B178" s="20" t="s">
        <v>4070</v>
      </c>
      <c r="C178" s="21" t="s">
        <v>7219</v>
      </c>
      <c r="E178" s="20" t="s">
        <v>1766</v>
      </c>
      <c r="H178" s="20">
        <v>7</v>
      </c>
      <c r="J178" s="19" t="s">
        <v>1480</v>
      </c>
      <c r="K178" s="20">
        <v>11</v>
      </c>
      <c r="W178" s="20">
        <f>IF(Q178&lt;&gt;0,3,IF(K178="","",VLOOKUP(K178,'#状态名词'!$J$1:$K$15,2,FALSE)))</f>
        <v>4</v>
      </c>
      <c r="AA178" s="20">
        <v>1</v>
      </c>
      <c r="AB178" s="20">
        <v>3201</v>
      </c>
      <c r="AC178" s="20">
        <v>100</v>
      </c>
      <c r="AD178" s="20">
        <v>1</v>
      </c>
    </row>
    <row r="179" spans="1:30">
      <c r="A179" s="20">
        <v>3202</v>
      </c>
      <c r="B179" s="20" t="s">
        <v>4071</v>
      </c>
      <c r="C179" s="21" t="s">
        <v>6697</v>
      </c>
      <c r="E179" s="20" t="s">
        <v>1767</v>
      </c>
      <c r="W179" s="20" t="str">
        <f>IF(Q179&lt;&gt;0,3,IF(K179="","",VLOOKUP(K179,'#状态名词'!$J$1:$K$15,2,FALSE)))</f>
        <v/>
      </c>
      <c r="AA179" s="20">
        <v>1</v>
      </c>
      <c r="AB179" s="20">
        <v>3202</v>
      </c>
      <c r="AC179" s="20">
        <v>100</v>
      </c>
      <c r="AD179" s="20">
        <v>1</v>
      </c>
    </row>
    <row r="180" spans="1:30">
      <c r="A180" s="20">
        <v>3203</v>
      </c>
      <c r="B180" s="20" t="s">
        <v>4072</v>
      </c>
      <c r="C180" s="21" t="s">
        <v>4073</v>
      </c>
      <c r="E180" s="20" t="s">
        <v>1768</v>
      </c>
      <c r="F180" s="20" t="s">
        <v>4074</v>
      </c>
      <c r="H180" s="20">
        <v>80</v>
      </c>
      <c r="J180" s="19" t="s">
        <v>1468</v>
      </c>
      <c r="K180" s="20">
        <v>5</v>
      </c>
      <c r="L180" s="20">
        <v>15</v>
      </c>
      <c r="N180" s="20">
        <v>4</v>
      </c>
      <c r="O180" s="20">
        <v>0</v>
      </c>
      <c r="U180" s="20">
        <v>80</v>
      </c>
      <c r="W180" s="20">
        <f>IF(Q180&lt;&gt;0,3,IF(K180="","",VLOOKUP(K180,'#状态名词'!$J$1:$K$15,2,FALSE)))</f>
        <v>1</v>
      </c>
    </row>
    <row r="181" spans="1:30">
      <c r="A181" s="20">
        <v>3204</v>
      </c>
      <c r="B181" s="20" t="s">
        <v>4075</v>
      </c>
      <c r="C181" s="21" t="s">
        <v>6699</v>
      </c>
      <c r="E181" s="20" t="s">
        <v>1769</v>
      </c>
      <c r="W181" s="20" t="str">
        <f>IF(Q181&lt;&gt;0,3,IF(K181="","",VLOOKUP(K181,'#状态名词'!$J$1:$K$15,2,FALSE)))</f>
        <v/>
      </c>
      <c r="AA181" s="20">
        <v>1</v>
      </c>
      <c r="AB181" s="20">
        <v>3204</v>
      </c>
      <c r="AC181" s="20">
        <v>100</v>
      </c>
      <c r="AD181" s="20">
        <v>1</v>
      </c>
    </row>
    <row r="182" spans="1:30">
      <c r="A182" s="20">
        <v>3205</v>
      </c>
      <c r="B182" s="20" t="s">
        <v>4068</v>
      </c>
      <c r="C182" s="21" t="s">
        <v>6698</v>
      </c>
      <c r="E182" s="20" t="s">
        <v>1770</v>
      </c>
      <c r="W182" s="20" t="str">
        <f>IF(Q182&lt;&gt;0,3,IF(K182="","",VLOOKUP(K182,'#状态名词'!$J$1:$K$15,2,FALSE)))</f>
        <v/>
      </c>
      <c r="AA182" s="20">
        <v>1</v>
      </c>
      <c r="AB182" s="20">
        <v>3205</v>
      </c>
      <c r="AC182" s="20">
        <v>100</v>
      </c>
      <c r="AD182" s="20">
        <v>1</v>
      </c>
    </row>
    <row r="183" spans="1:30">
      <c r="A183" s="20">
        <v>3301</v>
      </c>
      <c r="B183" s="20" t="s">
        <v>4076</v>
      </c>
      <c r="C183" s="21" t="s">
        <v>6700</v>
      </c>
      <c r="E183" s="20" t="s">
        <v>1771</v>
      </c>
      <c r="W183" s="20" t="str">
        <f>IF(Q183&lt;&gt;0,3,IF(K183="","",VLOOKUP(K183,'#状态名词'!$J$1:$K$15,2,FALSE)))</f>
        <v/>
      </c>
      <c r="AA183" s="20">
        <v>1</v>
      </c>
      <c r="AB183" s="20">
        <v>3301</v>
      </c>
      <c r="AC183" s="20">
        <v>100</v>
      </c>
      <c r="AD183" s="20">
        <v>1</v>
      </c>
    </row>
    <row r="184" spans="1:30">
      <c r="A184" s="20">
        <v>3302</v>
      </c>
      <c r="B184" s="20" t="s">
        <v>4077</v>
      </c>
      <c r="C184" s="21" t="s">
        <v>4078</v>
      </c>
      <c r="E184" s="20" t="s">
        <v>1772</v>
      </c>
      <c r="K184" s="20">
        <v>9</v>
      </c>
      <c r="W184" s="20">
        <f>IF(Q184&lt;&gt;0,3,IF(K184="","",VLOOKUP(K184,'#状态名词'!$J$1:$K$15,2,FALSE)))</f>
        <v>3</v>
      </c>
      <c r="Y184" s="20">
        <v>10</v>
      </c>
      <c r="Z184" s="20">
        <v>3306</v>
      </c>
      <c r="AA184" s="20">
        <v>1</v>
      </c>
      <c r="AB184" s="20">
        <v>12</v>
      </c>
      <c r="AC184" s="20" t="s">
        <v>4079</v>
      </c>
      <c r="AD184" s="20">
        <v>0</v>
      </c>
    </row>
    <row r="185" spans="1:30">
      <c r="A185" s="20">
        <v>3303</v>
      </c>
      <c r="B185" s="20" t="s">
        <v>4080</v>
      </c>
      <c r="C185" s="73" t="s">
        <v>9016</v>
      </c>
      <c r="E185" s="20" t="s">
        <v>1773</v>
      </c>
      <c r="F185" s="20" t="s">
        <v>9018</v>
      </c>
      <c r="H185" s="20">
        <v>15</v>
      </c>
      <c r="J185" s="19" t="s">
        <v>1495</v>
      </c>
      <c r="K185" s="20">
        <v>3</v>
      </c>
      <c r="L185" s="20">
        <v>100</v>
      </c>
      <c r="N185" s="20">
        <v>3</v>
      </c>
      <c r="O185" s="20">
        <v>0</v>
      </c>
      <c r="W185" s="20">
        <f>IF(Q185&lt;&gt;0,3,IF(K185="","",VLOOKUP(K185,'#状态名词'!$J$1:$K$15,2,FALSE)))</f>
        <v>3</v>
      </c>
    </row>
    <row r="186" spans="1:30">
      <c r="A186" s="20">
        <v>3304</v>
      </c>
      <c r="B186" s="20" t="s">
        <v>4082</v>
      </c>
      <c r="C186" s="73" t="s">
        <v>9017</v>
      </c>
      <c r="E186" s="20" t="s">
        <v>1660</v>
      </c>
      <c r="W186" s="20" t="str">
        <f>IF(Q186&lt;&gt;0,3,IF(K186="","",VLOOKUP(K186,'#状态名词'!$J$1:$K$15,2,FALSE)))</f>
        <v/>
      </c>
      <c r="AA186" s="20">
        <v>1</v>
      </c>
      <c r="AB186" s="20">
        <v>3304</v>
      </c>
      <c r="AC186" s="20">
        <v>100</v>
      </c>
      <c r="AD186" s="20">
        <v>2</v>
      </c>
    </row>
    <row r="187" spans="1:30">
      <c r="A187" s="20">
        <v>3305</v>
      </c>
      <c r="B187" s="20" t="s">
        <v>4083</v>
      </c>
      <c r="C187" s="21" t="s">
        <v>6701</v>
      </c>
      <c r="E187" s="20" t="s">
        <v>1774</v>
      </c>
      <c r="W187" s="20" t="str">
        <f>IF(Q187&lt;&gt;0,3,IF(K187="","",VLOOKUP(K187,'#状态名词'!$J$1:$K$15,2,FALSE)))</f>
        <v/>
      </c>
      <c r="AA187" s="20">
        <v>1</v>
      </c>
      <c r="AB187" s="20">
        <v>3305</v>
      </c>
      <c r="AC187" s="20">
        <v>100</v>
      </c>
      <c r="AD187" s="20">
        <v>1</v>
      </c>
    </row>
    <row r="188" spans="1:30">
      <c r="A188" s="20">
        <v>3306</v>
      </c>
      <c r="B188" s="20" t="s">
        <v>4084</v>
      </c>
      <c r="C188" s="21" t="s">
        <v>608</v>
      </c>
      <c r="W188" s="20" t="str">
        <f>IF(Q188&lt;&gt;0,3,IF(K188="","",VLOOKUP(K188,'#状态名词'!$J$1:$K$15,2,FALSE)))</f>
        <v/>
      </c>
      <c r="AA188" s="20">
        <v>1</v>
      </c>
      <c r="AB188" s="20">
        <v>3306</v>
      </c>
      <c r="AC188" s="20">
        <v>100</v>
      </c>
      <c r="AD188" s="20">
        <v>1</v>
      </c>
    </row>
    <row r="189" spans="1:30">
      <c r="A189" s="20">
        <v>3401</v>
      </c>
      <c r="B189" s="20" t="s">
        <v>4085</v>
      </c>
      <c r="C189" s="21" t="s">
        <v>6702</v>
      </c>
      <c r="W189" s="20" t="str">
        <f>IF(Q189&lt;&gt;0,3,IF(K189="","",VLOOKUP(K189,'#状态名词'!$J$1:$K$15,2,FALSE)))</f>
        <v/>
      </c>
      <c r="AA189" s="20">
        <v>1</v>
      </c>
      <c r="AB189" s="20">
        <v>3401</v>
      </c>
      <c r="AC189" s="20">
        <v>100</v>
      </c>
      <c r="AD189" s="20">
        <v>1</v>
      </c>
    </row>
    <row r="190" spans="1:30">
      <c r="A190" s="20">
        <v>3402</v>
      </c>
      <c r="B190" s="20" t="s">
        <v>4086</v>
      </c>
      <c r="C190" s="21" t="s">
        <v>4087</v>
      </c>
      <c r="W190" s="20" t="str">
        <f>IF(Q190&lt;&gt;0,3,IF(K190="","",VLOOKUP(K190,'#状态名词'!$J$1:$K$15,2,FALSE)))</f>
        <v/>
      </c>
      <c r="AA190" s="20">
        <v>1</v>
      </c>
      <c r="AB190" s="20">
        <v>3402</v>
      </c>
      <c r="AC190" s="20">
        <v>100</v>
      </c>
      <c r="AD190" s="20">
        <v>1</v>
      </c>
    </row>
    <row r="191" spans="1:30">
      <c r="A191" s="20">
        <v>3403</v>
      </c>
      <c r="B191" s="20" t="s">
        <v>4088</v>
      </c>
      <c r="C191" s="21" t="s">
        <v>4089</v>
      </c>
      <c r="F191" s="20" t="s">
        <v>4081</v>
      </c>
      <c r="H191" s="20">
        <v>15</v>
      </c>
      <c r="J191" s="19" t="s">
        <v>1488</v>
      </c>
      <c r="K191" s="20">
        <v>5</v>
      </c>
      <c r="L191" s="20">
        <v>20</v>
      </c>
      <c r="O191" s="20">
        <v>0</v>
      </c>
      <c r="W191" s="20">
        <f>IF(Q191&lt;&gt;0,3,IF(K191="","",VLOOKUP(K191,'#状态名词'!$J$1:$K$15,2,FALSE)))</f>
        <v>1</v>
      </c>
    </row>
    <row r="192" spans="1:30">
      <c r="A192" s="20">
        <v>3404</v>
      </c>
      <c r="B192" s="20" t="s">
        <v>4090</v>
      </c>
      <c r="C192" s="21" t="s">
        <v>8080</v>
      </c>
      <c r="W192" s="20" t="str">
        <f>IF(Q192&lt;&gt;0,3,IF(K192="","",VLOOKUP(K192,'#状态名词'!$J$1:$K$15,2,FALSE)))</f>
        <v/>
      </c>
      <c r="AA192" s="20">
        <v>1</v>
      </c>
      <c r="AB192" s="20">
        <v>3404</v>
      </c>
      <c r="AC192" s="20">
        <v>100</v>
      </c>
      <c r="AD192" s="20">
        <v>2</v>
      </c>
    </row>
    <row r="193" spans="1:30">
      <c r="W193" s="20" t="str">
        <f>IF(Q193&lt;&gt;0,3,IF(K193="","",VLOOKUP(K193,'#状态名词'!$J$1:$K$15,2,FALSE)))</f>
        <v/>
      </c>
      <c r="AA193" s="20">
        <v>1</v>
      </c>
      <c r="AB193" s="20">
        <v>3406</v>
      </c>
      <c r="AC193" s="20">
        <v>100</v>
      </c>
      <c r="AD193" s="20">
        <v>1</v>
      </c>
    </row>
    <row r="194" spans="1:30">
      <c r="A194" s="20">
        <v>3405</v>
      </c>
      <c r="B194" s="20" t="s">
        <v>4091</v>
      </c>
      <c r="C194" s="21" t="s">
        <v>4092</v>
      </c>
      <c r="F194" s="20" t="s">
        <v>4093</v>
      </c>
      <c r="H194" s="20">
        <v>20</v>
      </c>
      <c r="J194" s="19" t="s">
        <v>1496</v>
      </c>
      <c r="K194" s="20">
        <v>2</v>
      </c>
      <c r="L194" s="20">
        <v>100</v>
      </c>
      <c r="O194" s="20">
        <v>0</v>
      </c>
      <c r="T194" s="20">
        <v>20</v>
      </c>
      <c r="W194" s="20">
        <f>IF(Q194&lt;&gt;0,3,IF(K194="","",VLOOKUP(K194,'#状态名词'!$J$1:$K$15,2,FALSE)))</f>
        <v>3</v>
      </c>
    </row>
    <row r="195" spans="1:30">
      <c r="A195" s="20">
        <v>3501</v>
      </c>
      <c r="B195" s="20" t="s">
        <v>4094</v>
      </c>
      <c r="C195" s="21" t="s">
        <v>4095</v>
      </c>
      <c r="W195" s="20" t="str">
        <f>IF(Q195&lt;&gt;0,3,IF(K195="","",VLOOKUP(K195,'#状态名词'!$J$1:$K$15,2,FALSE)))</f>
        <v/>
      </c>
      <c r="AA195" s="20">
        <v>1</v>
      </c>
      <c r="AB195" s="20">
        <v>3501</v>
      </c>
      <c r="AC195" s="20">
        <v>100</v>
      </c>
      <c r="AD195" s="20">
        <v>1</v>
      </c>
    </row>
    <row r="196" spans="1:30">
      <c r="A196" s="20">
        <v>3502</v>
      </c>
      <c r="B196" s="20" t="s">
        <v>4096</v>
      </c>
      <c r="C196" s="21" t="s">
        <v>6703</v>
      </c>
      <c r="W196" s="20" t="str">
        <f>IF(Q196&lt;&gt;0,3,IF(K196="","",VLOOKUP(K196,'#状态名词'!$J$1:$K$15,2,FALSE)))</f>
        <v/>
      </c>
      <c r="AA196" s="20">
        <v>1</v>
      </c>
      <c r="AB196" s="20">
        <v>3502</v>
      </c>
      <c r="AC196" s="20">
        <v>100</v>
      </c>
      <c r="AD196" s="20">
        <v>1</v>
      </c>
    </row>
    <row r="197" spans="1:30">
      <c r="A197" s="20">
        <v>3503</v>
      </c>
      <c r="B197" s="20" t="s">
        <v>4097</v>
      </c>
      <c r="C197" s="21" t="s">
        <v>6706</v>
      </c>
      <c r="W197" s="20" t="str">
        <f>IF(Q197&lt;&gt;0,3,IF(K197="","",VLOOKUP(K197,'#状态名词'!$J$1:$K$15,2,FALSE)))</f>
        <v/>
      </c>
      <c r="AA197" s="20">
        <v>1</v>
      </c>
      <c r="AB197" s="20">
        <v>3503</v>
      </c>
      <c r="AC197" s="20">
        <v>100</v>
      </c>
      <c r="AD197" s="20">
        <v>2</v>
      </c>
    </row>
    <row r="198" spans="1:30">
      <c r="A198" s="20">
        <v>3504</v>
      </c>
      <c r="B198" s="20" t="s">
        <v>4098</v>
      </c>
      <c r="C198" s="21" t="s">
        <v>6705</v>
      </c>
      <c r="W198" s="20" t="str">
        <f>IF(Q198&lt;&gt;0,3,IF(K198="","",VLOOKUP(K198,'#状态名词'!$J$1:$K$15,2,FALSE)))</f>
        <v/>
      </c>
      <c r="AA198" s="20">
        <v>1</v>
      </c>
      <c r="AB198" s="20">
        <v>3504</v>
      </c>
      <c r="AC198" s="20">
        <v>100</v>
      </c>
      <c r="AD198" s="20">
        <v>1</v>
      </c>
    </row>
    <row r="199" spans="1:30">
      <c r="A199" s="20">
        <v>3505</v>
      </c>
      <c r="B199" s="20" t="s">
        <v>4099</v>
      </c>
      <c r="C199" s="21" t="s">
        <v>6707</v>
      </c>
      <c r="W199" s="20" t="str">
        <f>IF(Q199&lt;&gt;0,3,IF(K199="","",VLOOKUP(K199,'#状态名词'!$J$1:$K$15,2,FALSE)))</f>
        <v/>
      </c>
      <c r="AA199" s="20">
        <v>1</v>
      </c>
      <c r="AB199" s="20">
        <v>3505</v>
      </c>
      <c r="AC199" s="20">
        <v>100</v>
      </c>
      <c r="AD199" s="20">
        <v>1</v>
      </c>
    </row>
    <row r="200" spans="1:30">
      <c r="A200" s="20">
        <v>3601</v>
      </c>
      <c r="B200" s="20" t="s">
        <v>4100</v>
      </c>
      <c r="C200" s="21" t="s">
        <v>4101</v>
      </c>
      <c r="F200" s="20" t="s">
        <v>4102</v>
      </c>
      <c r="H200" s="20">
        <v>30</v>
      </c>
      <c r="J200" s="19" t="s">
        <v>1472</v>
      </c>
      <c r="K200" s="20">
        <v>5</v>
      </c>
      <c r="L200" s="20">
        <v>10</v>
      </c>
      <c r="N200" s="20">
        <v>3</v>
      </c>
      <c r="O200" s="20">
        <v>1</v>
      </c>
      <c r="W200" s="20">
        <f>IF(Q200&lt;&gt;0,3,IF(K200="","",VLOOKUP(K200,'#状态名词'!$J$1:$K$15,2,FALSE)))</f>
        <v>1</v>
      </c>
    </row>
    <row r="201" spans="1:30">
      <c r="A201" s="20">
        <v>3602</v>
      </c>
      <c r="B201" s="20" t="s">
        <v>4103</v>
      </c>
      <c r="C201" s="21" t="s">
        <v>8081</v>
      </c>
      <c r="W201" s="20" t="str">
        <f>IF(Q201&lt;&gt;0,3,IF(K201="","",VLOOKUP(K201,'#状态名词'!$J$1:$K$15,2,FALSE)))</f>
        <v/>
      </c>
      <c r="AA201" s="20">
        <v>1</v>
      </c>
      <c r="AB201" s="20">
        <v>3602</v>
      </c>
      <c r="AC201" s="20">
        <v>100</v>
      </c>
      <c r="AD201" s="20">
        <v>2</v>
      </c>
    </row>
    <row r="202" spans="1:30">
      <c r="A202" s="20">
        <v>3603</v>
      </c>
      <c r="B202" s="20" t="s">
        <v>4104</v>
      </c>
      <c r="C202" s="21" t="s">
        <v>4105</v>
      </c>
      <c r="W202" s="20" t="str">
        <f>IF(Q202&lt;&gt;0,3,IF(K202="","",VLOOKUP(K202,'#状态名词'!$J$1:$K$15,2,FALSE)))</f>
        <v/>
      </c>
      <c r="AA202" s="20">
        <v>1</v>
      </c>
      <c r="AB202" s="20">
        <v>3603</v>
      </c>
      <c r="AC202" s="20">
        <v>100</v>
      </c>
      <c r="AD202" s="20">
        <v>1</v>
      </c>
    </row>
    <row r="203" spans="1:30">
      <c r="A203" s="20">
        <v>3604</v>
      </c>
      <c r="B203" s="20" t="s">
        <v>4106</v>
      </c>
      <c r="C203" s="21" t="s">
        <v>6708</v>
      </c>
      <c r="W203" s="20" t="str">
        <f>IF(Q203&lt;&gt;0,3,IF(K203="","",VLOOKUP(K203,'#状态名词'!$J$1:$K$15,2,FALSE)))</f>
        <v/>
      </c>
      <c r="AA203" s="20">
        <v>1</v>
      </c>
      <c r="AB203" s="20">
        <v>3604</v>
      </c>
      <c r="AC203" s="20">
        <v>100</v>
      </c>
      <c r="AD203" s="20">
        <v>1</v>
      </c>
    </row>
    <row r="204" spans="1:30">
      <c r="A204" s="20">
        <v>3605</v>
      </c>
      <c r="B204" s="20" t="s">
        <v>4107</v>
      </c>
      <c r="C204" s="21" t="s">
        <v>4108</v>
      </c>
      <c r="W204" s="20" t="str">
        <f>IF(Q204&lt;&gt;0,3,IF(K204="","",VLOOKUP(K204,'#状态名词'!$J$1:$K$15,2,FALSE)))</f>
        <v/>
      </c>
      <c r="AA204" s="20">
        <v>1</v>
      </c>
      <c r="AB204" s="20">
        <v>3605</v>
      </c>
      <c r="AC204" s="20">
        <v>100</v>
      </c>
      <c r="AD204" s="20">
        <v>1</v>
      </c>
    </row>
    <row r="205" spans="1:30">
      <c r="A205" s="20">
        <v>3701</v>
      </c>
      <c r="B205" s="20" t="s">
        <v>4109</v>
      </c>
      <c r="C205" s="21" t="s">
        <v>4110</v>
      </c>
      <c r="E205" s="20" t="s">
        <v>1775</v>
      </c>
      <c r="F205" s="20" t="s">
        <v>4111</v>
      </c>
      <c r="H205" s="20">
        <v>30</v>
      </c>
      <c r="J205" s="19" t="s">
        <v>1490</v>
      </c>
      <c r="K205" s="20">
        <v>5</v>
      </c>
      <c r="L205" s="20">
        <v>10</v>
      </c>
      <c r="O205" s="20">
        <v>1</v>
      </c>
      <c r="W205" s="20">
        <f>IF(Q205&lt;&gt;0,3,IF(K205="","",VLOOKUP(K205,'#状态名词'!$J$1:$K$15,2,FALSE)))</f>
        <v>1</v>
      </c>
    </row>
    <row r="206" spans="1:30" ht="27">
      <c r="A206" s="20">
        <v>3702</v>
      </c>
      <c r="B206" s="20" t="s">
        <v>4112</v>
      </c>
      <c r="C206" s="21" t="s">
        <v>4113</v>
      </c>
      <c r="E206" s="20" t="s">
        <v>1776</v>
      </c>
      <c r="F206" s="20" t="s">
        <v>4114</v>
      </c>
      <c r="H206" s="20">
        <v>35</v>
      </c>
      <c r="J206" s="19" t="s">
        <v>1497</v>
      </c>
      <c r="K206" s="20">
        <v>5</v>
      </c>
      <c r="L206" s="20">
        <v>10</v>
      </c>
      <c r="O206" s="20">
        <v>1</v>
      </c>
      <c r="W206" s="20">
        <f>IF(Q206&lt;&gt;0,3,IF(K206="","",VLOOKUP(K206,'#状态名词'!$J$1:$K$15,2,FALSE)))</f>
        <v>1</v>
      </c>
      <c r="AA206" s="20">
        <v>1</v>
      </c>
      <c r="AB206" s="20">
        <v>11</v>
      </c>
      <c r="AC206" s="20">
        <v>100</v>
      </c>
      <c r="AD206" s="20">
        <v>0</v>
      </c>
    </row>
    <row r="207" spans="1:30" ht="27">
      <c r="A207" s="20">
        <v>3703</v>
      </c>
      <c r="B207" s="20" t="s">
        <v>4115</v>
      </c>
      <c r="C207" s="21" t="s">
        <v>8082</v>
      </c>
      <c r="E207" s="20" t="s">
        <v>1777</v>
      </c>
      <c r="W207" s="20" t="str">
        <f>IF(Q207&lt;&gt;0,3,IF(K207="","",VLOOKUP(K207,'#状态名词'!$J$1:$K$15,2,FALSE)))</f>
        <v/>
      </c>
      <c r="AA207" s="20">
        <v>1</v>
      </c>
      <c r="AB207" s="20">
        <v>3703</v>
      </c>
      <c r="AC207" s="20">
        <v>100</v>
      </c>
      <c r="AD207" s="20">
        <v>2</v>
      </c>
    </row>
    <row r="208" spans="1:30">
      <c r="A208" s="20">
        <v>3704</v>
      </c>
      <c r="B208" s="20" t="s">
        <v>4116</v>
      </c>
      <c r="C208" s="21" t="s">
        <v>6709</v>
      </c>
      <c r="E208" s="20" t="s">
        <v>1724</v>
      </c>
      <c r="W208" s="20" t="str">
        <f>IF(Q208&lt;&gt;0,3,IF(K208="","",VLOOKUP(K208,'#状态名词'!$J$1:$K$15,2,FALSE)))</f>
        <v/>
      </c>
      <c r="AA208" s="20">
        <v>1</v>
      </c>
      <c r="AB208" s="20">
        <v>3704</v>
      </c>
      <c r="AC208" s="20">
        <v>100</v>
      </c>
      <c r="AD208" s="20">
        <v>1</v>
      </c>
    </row>
    <row r="209" spans="1:30">
      <c r="A209" s="20">
        <v>3705</v>
      </c>
      <c r="B209" s="20" t="s">
        <v>4117</v>
      </c>
      <c r="C209" s="21" t="s">
        <v>8083</v>
      </c>
      <c r="E209" s="20" t="s">
        <v>1725</v>
      </c>
      <c r="G209" s="20">
        <v>3701</v>
      </c>
      <c r="Q209" s="20">
        <v>2</v>
      </c>
      <c r="R209" s="20">
        <v>0</v>
      </c>
      <c r="S209" s="20">
        <v>80</v>
      </c>
      <c r="W209" s="20">
        <f>IF(Q209&lt;&gt;0,3,IF(K209="","",VLOOKUP(K209,'#状态名词'!$J$1:$K$15,2,FALSE)))</f>
        <v>3</v>
      </c>
      <c r="AA209" s="20">
        <v>1</v>
      </c>
      <c r="AB209" s="20">
        <v>3705</v>
      </c>
      <c r="AC209" s="20">
        <v>100</v>
      </c>
      <c r="AD209" s="20">
        <v>2</v>
      </c>
    </row>
    <row r="210" spans="1:30">
      <c r="A210" s="20">
        <v>3801</v>
      </c>
      <c r="B210" s="20" t="s">
        <v>4118</v>
      </c>
      <c r="C210" s="21" t="s">
        <v>4118</v>
      </c>
      <c r="W210" s="20" t="str">
        <f>IF(Q210&lt;&gt;0,3,IF(K210="","",VLOOKUP(K210,'#状态名词'!$J$1:$K$15,2,FALSE)))</f>
        <v/>
      </c>
    </row>
    <row r="211" spans="1:30">
      <c r="A211" s="20">
        <v>3802</v>
      </c>
      <c r="B211" s="20" t="s">
        <v>4119</v>
      </c>
      <c r="C211" s="21" t="s">
        <v>4119</v>
      </c>
      <c r="W211" s="20" t="str">
        <f>IF(Q211&lt;&gt;0,3,IF(K211="","",VLOOKUP(K211,'#状态名词'!$J$1:$K$15,2,FALSE)))</f>
        <v/>
      </c>
    </row>
    <row r="212" spans="1:30">
      <c r="A212" s="20">
        <v>3803</v>
      </c>
      <c r="B212" s="20" t="s">
        <v>4120</v>
      </c>
      <c r="C212" s="21" t="s">
        <v>4120</v>
      </c>
      <c r="W212" s="20" t="str">
        <f>IF(Q212&lt;&gt;0,3,IF(K212="","",VLOOKUP(K212,'#状态名词'!$J$1:$K$15,2,FALSE)))</f>
        <v/>
      </c>
    </row>
    <row r="213" spans="1:30">
      <c r="A213" s="20">
        <v>3804</v>
      </c>
      <c r="B213" s="20" t="s">
        <v>4121</v>
      </c>
      <c r="C213" s="21" t="s">
        <v>4121</v>
      </c>
      <c r="W213" s="20" t="str">
        <f>IF(Q213&lt;&gt;0,3,IF(K213="","",VLOOKUP(K213,'#状态名词'!$J$1:$K$15,2,FALSE)))</f>
        <v/>
      </c>
    </row>
    <row r="214" spans="1:30">
      <c r="A214" s="20">
        <v>3805</v>
      </c>
      <c r="B214" s="20" t="s">
        <v>4122</v>
      </c>
      <c r="C214" s="21" t="s">
        <v>4122</v>
      </c>
      <c r="W214" s="20" t="str">
        <f>IF(Q214&lt;&gt;0,3,IF(K214="","",VLOOKUP(K214,'#状态名词'!$J$1:$K$15,2,FALSE)))</f>
        <v/>
      </c>
    </row>
    <row r="215" spans="1:30">
      <c r="A215" s="20">
        <v>3901</v>
      </c>
      <c r="B215" s="20" t="s">
        <v>4123</v>
      </c>
      <c r="C215" s="21" t="s">
        <v>6710</v>
      </c>
      <c r="W215" s="20" t="str">
        <f>IF(Q215&lt;&gt;0,3,IF(K215="","",VLOOKUP(K215,'#状态名词'!$J$1:$K$15,2,FALSE)))</f>
        <v/>
      </c>
      <c r="AA215" s="20">
        <v>1</v>
      </c>
      <c r="AB215" s="20">
        <v>3901</v>
      </c>
      <c r="AC215" s="20">
        <v>100</v>
      </c>
      <c r="AD215" s="20">
        <v>1</v>
      </c>
    </row>
    <row r="216" spans="1:30">
      <c r="A216" s="20">
        <v>3902</v>
      </c>
      <c r="B216" s="20" t="s">
        <v>4124</v>
      </c>
      <c r="C216" s="21" t="s">
        <v>4125</v>
      </c>
      <c r="F216" s="20" t="s">
        <v>4126</v>
      </c>
      <c r="H216" s="20">
        <v>40</v>
      </c>
      <c r="J216" s="19" t="s">
        <v>1498</v>
      </c>
      <c r="K216" s="20">
        <v>5</v>
      </c>
      <c r="L216" s="20">
        <v>8</v>
      </c>
      <c r="O216" s="20">
        <v>0</v>
      </c>
      <c r="W216" s="20">
        <f>IF(Q216&lt;&gt;0,3,IF(K216="","",VLOOKUP(K216,'#状态名词'!$J$1:$K$15,2,FALSE)))</f>
        <v>1</v>
      </c>
    </row>
    <row r="217" spans="1:30">
      <c r="A217" s="20">
        <v>3903</v>
      </c>
      <c r="B217" s="20" t="s">
        <v>4127</v>
      </c>
      <c r="C217" s="21" t="s">
        <v>6712</v>
      </c>
      <c r="K217" s="20">
        <v>9</v>
      </c>
      <c r="W217" s="20">
        <f>IF(Q217&lt;&gt;0,3,IF(K217="","",VLOOKUP(K217,'#状态名词'!$J$1:$K$15,2,FALSE)))</f>
        <v>3</v>
      </c>
      <c r="AA217" s="20">
        <v>1</v>
      </c>
      <c r="AB217" s="20">
        <v>3903</v>
      </c>
      <c r="AC217" s="20" t="s">
        <v>610</v>
      </c>
      <c r="AD217" s="20">
        <v>1</v>
      </c>
    </row>
    <row r="218" spans="1:30">
      <c r="A218" s="20">
        <v>3904</v>
      </c>
      <c r="B218" s="20" t="s">
        <v>4128</v>
      </c>
      <c r="C218" s="21" t="s">
        <v>6711</v>
      </c>
      <c r="W218" s="20" t="str">
        <f>IF(Q218&lt;&gt;0,3,IF(K218="","",VLOOKUP(K218,'#状态名词'!$J$1:$K$15,2,FALSE)))</f>
        <v/>
      </c>
      <c r="AA218" s="20">
        <v>1</v>
      </c>
      <c r="AB218" s="20">
        <v>3904</v>
      </c>
      <c r="AC218" s="20">
        <v>100</v>
      </c>
      <c r="AD218" s="20">
        <v>1</v>
      </c>
    </row>
    <row r="219" spans="1:30">
      <c r="A219" s="20">
        <v>3905</v>
      </c>
      <c r="B219" s="20" t="s">
        <v>4129</v>
      </c>
      <c r="C219" s="21" t="s">
        <v>4130</v>
      </c>
      <c r="F219" s="20" t="s">
        <v>4131</v>
      </c>
      <c r="Q219" s="20">
        <v>3</v>
      </c>
      <c r="R219" s="20">
        <v>1</v>
      </c>
      <c r="S219" s="20">
        <v>20</v>
      </c>
      <c r="W219" s="20">
        <f>IF(Q219&lt;&gt;0,3,IF(K219="","",VLOOKUP(K219,'#状态名词'!$J$1:$K$15,2,FALSE)))</f>
        <v>3</v>
      </c>
      <c r="AA219" s="20">
        <v>1</v>
      </c>
      <c r="AB219" s="20">
        <v>3905</v>
      </c>
      <c r="AC219" s="20">
        <v>100</v>
      </c>
      <c r="AD219" s="20">
        <v>1</v>
      </c>
    </row>
    <row r="220" spans="1:30">
      <c r="A220" s="20">
        <v>4001</v>
      </c>
      <c r="B220" s="20" t="s">
        <v>4132</v>
      </c>
      <c r="C220" s="21" t="s">
        <v>4133</v>
      </c>
      <c r="E220" s="20" t="s">
        <v>1724</v>
      </c>
      <c r="W220" s="20" t="str">
        <f>IF(Q220&lt;&gt;0,3,IF(K220="","",VLOOKUP(K220,'#状态名词'!$J$1:$K$15,2,FALSE)))</f>
        <v/>
      </c>
      <c r="AA220" s="20">
        <v>1</v>
      </c>
      <c r="AB220" s="20">
        <v>4001</v>
      </c>
      <c r="AC220" s="20">
        <v>100</v>
      </c>
      <c r="AD220" s="20">
        <v>2</v>
      </c>
    </row>
    <row r="221" spans="1:30">
      <c r="A221" s="20">
        <v>4002</v>
      </c>
      <c r="B221" s="20" t="s">
        <v>4134</v>
      </c>
      <c r="C221" s="21" t="s">
        <v>4135</v>
      </c>
      <c r="E221" s="20" t="s">
        <v>1721</v>
      </c>
      <c r="F221" s="20" t="s">
        <v>4136</v>
      </c>
      <c r="H221" s="20">
        <v>20</v>
      </c>
      <c r="J221" s="19" t="s">
        <v>112</v>
      </c>
      <c r="K221" s="20">
        <v>5</v>
      </c>
      <c r="L221" s="20">
        <v>8</v>
      </c>
      <c r="N221" s="20">
        <v>1</v>
      </c>
      <c r="O221" s="20">
        <v>0</v>
      </c>
      <c r="W221" s="20">
        <f>IF(Q221&lt;&gt;0,3,IF(K221="","",VLOOKUP(K221,'#状态名词'!$J$1:$K$15,2,FALSE)))</f>
        <v>1</v>
      </c>
    </row>
    <row r="222" spans="1:30">
      <c r="A222" s="20">
        <v>4003</v>
      </c>
      <c r="B222" s="20" t="s">
        <v>4137</v>
      </c>
      <c r="C222" s="21" t="s">
        <v>4138</v>
      </c>
      <c r="E222" s="20" t="s">
        <v>1778</v>
      </c>
      <c r="F222" s="20" t="s">
        <v>4139</v>
      </c>
      <c r="H222" s="20">
        <v>20</v>
      </c>
      <c r="J222" s="19" t="s">
        <v>1499</v>
      </c>
      <c r="K222" s="20">
        <v>5</v>
      </c>
      <c r="L222" s="20">
        <v>10</v>
      </c>
      <c r="N222" s="20">
        <v>3</v>
      </c>
      <c r="O222" s="20">
        <v>0</v>
      </c>
      <c r="W222" s="20">
        <f>IF(Q222&lt;&gt;0,3,IF(K222="","",VLOOKUP(K222,'#状态名词'!$J$1:$K$15,2,FALSE)))</f>
        <v>1</v>
      </c>
    </row>
    <row r="223" spans="1:30" ht="27">
      <c r="A223" s="20">
        <v>4004</v>
      </c>
      <c r="B223" s="20" t="s">
        <v>4140</v>
      </c>
      <c r="C223" s="21" t="s">
        <v>8084</v>
      </c>
      <c r="E223" s="20" t="s">
        <v>1779</v>
      </c>
      <c r="W223" s="20" t="str">
        <f>IF(Q223&lt;&gt;0,3,IF(K223="","",VLOOKUP(K223,'#状态名词'!$J$1:$K$15,2,FALSE)))</f>
        <v/>
      </c>
      <c r="AA223" s="20">
        <v>1</v>
      </c>
      <c r="AB223" s="20">
        <v>4004</v>
      </c>
      <c r="AC223" s="20">
        <v>100</v>
      </c>
      <c r="AD223" s="20">
        <v>2</v>
      </c>
    </row>
    <row r="224" spans="1:30">
      <c r="A224" s="20">
        <v>4005</v>
      </c>
      <c r="B224" s="20" t="s">
        <v>4141</v>
      </c>
      <c r="C224" s="21" t="s">
        <v>6713</v>
      </c>
      <c r="E224" s="20" t="s">
        <v>1780</v>
      </c>
      <c r="W224" s="20" t="str">
        <f>IF(Q224&lt;&gt;0,3,IF(K224="","",VLOOKUP(K224,'#状态名词'!$J$1:$K$15,2,FALSE)))</f>
        <v/>
      </c>
      <c r="AA224" s="20">
        <v>1</v>
      </c>
      <c r="AB224" s="20">
        <v>4005</v>
      </c>
      <c r="AC224" s="20">
        <v>100</v>
      </c>
      <c r="AD224" s="20">
        <v>1</v>
      </c>
    </row>
    <row r="225" spans="1:30" ht="40.5">
      <c r="A225" s="20">
        <v>4101</v>
      </c>
      <c r="B225" s="20" t="s">
        <v>4142</v>
      </c>
      <c r="C225" s="21" t="s">
        <v>7029</v>
      </c>
      <c r="E225" s="20" t="s">
        <v>1704</v>
      </c>
      <c r="H225" s="20">
        <v>15</v>
      </c>
      <c r="K225" s="20">
        <v>5</v>
      </c>
      <c r="L225" s="20">
        <v>15</v>
      </c>
      <c r="P225" s="20">
        <v>4101</v>
      </c>
      <c r="W225" s="20">
        <f>IF(Q225&lt;&gt;0,3,IF(K225="","",VLOOKUP(K225,'#状态名词'!$J$1:$K$15,2,FALSE)))</f>
        <v>1</v>
      </c>
    </row>
    <row r="226" spans="1:30" ht="27">
      <c r="A226" s="20">
        <v>4102</v>
      </c>
      <c r="B226" s="20" t="s">
        <v>4145</v>
      </c>
      <c r="C226" s="21" t="s">
        <v>9093</v>
      </c>
      <c r="E226" s="20" t="s">
        <v>1781</v>
      </c>
      <c r="W226" s="20" t="str">
        <f>IF(Q226&lt;&gt;0,3,IF(K226="","",VLOOKUP(K226,'#状态名词'!$J$1:$K$15,2,FALSE)))</f>
        <v/>
      </c>
      <c r="Y226" s="20">
        <v>10</v>
      </c>
      <c r="Z226" s="20">
        <v>4108</v>
      </c>
      <c r="AA226" s="20">
        <v>1</v>
      </c>
      <c r="AB226" s="20">
        <v>4101</v>
      </c>
      <c r="AC226" s="20">
        <v>100</v>
      </c>
      <c r="AD226" s="20">
        <v>1</v>
      </c>
    </row>
    <row r="227" spans="1:30">
      <c r="A227" s="20">
        <v>4103</v>
      </c>
      <c r="B227" s="20" t="s">
        <v>4146</v>
      </c>
      <c r="C227" s="21" t="s">
        <v>6714</v>
      </c>
      <c r="E227" s="20" t="s">
        <v>1782</v>
      </c>
      <c r="W227" s="20" t="str">
        <f>IF(Q227&lt;&gt;0,3,IF(K227="","",VLOOKUP(K227,'#状态名词'!$J$1:$K$15,2,FALSE)))</f>
        <v/>
      </c>
      <c r="AA227" s="20">
        <v>1</v>
      </c>
      <c r="AB227" s="20">
        <v>4102</v>
      </c>
      <c r="AC227" s="20">
        <v>100</v>
      </c>
      <c r="AD227" s="20">
        <v>1</v>
      </c>
    </row>
    <row r="228" spans="1:30">
      <c r="A228" s="20">
        <v>4104</v>
      </c>
      <c r="B228" s="20" t="s">
        <v>4147</v>
      </c>
      <c r="C228" s="21" t="s">
        <v>7132</v>
      </c>
      <c r="E228" s="20" t="s">
        <v>1738</v>
      </c>
      <c r="W228" s="20" t="str">
        <f>IF(Q228&lt;&gt;0,3,IF(K228="","",VLOOKUP(K228,'#状态名词'!$J$1:$K$15,2,FALSE)))</f>
        <v/>
      </c>
      <c r="AA228" s="20">
        <v>1</v>
      </c>
      <c r="AB228" s="20">
        <v>4103</v>
      </c>
      <c r="AC228" s="20">
        <v>100</v>
      </c>
      <c r="AD228" s="20">
        <v>1</v>
      </c>
    </row>
    <row r="229" spans="1:30">
      <c r="A229" s="20">
        <v>4105</v>
      </c>
      <c r="B229" s="20" t="s">
        <v>4148</v>
      </c>
      <c r="C229" s="21" t="s">
        <v>7038</v>
      </c>
      <c r="E229" s="20" t="s">
        <v>1783</v>
      </c>
      <c r="W229" s="20" t="str">
        <f>IF(Q229&lt;&gt;0,3,IF(K229="","",VLOOKUP(K229,'#状态名词'!$J$1:$K$15,2,FALSE)))</f>
        <v/>
      </c>
      <c r="AA229" s="20">
        <v>1</v>
      </c>
      <c r="AB229" s="20">
        <v>4104</v>
      </c>
      <c r="AC229" s="20">
        <v>100</v>
      </c>
      <c r="AD229" s="20">
        <v>1</v>
      </c>
    </row>
    <row r="230" spans="1:30">
      <c r="A230" s="20">
        <v>4106</v>
      </c>
      <c r="B230" s="20" t="s">
        <v>4143</v>
      </c>
      <c r="C230" s="21" t="s">
        <v>6620</v>
      </c>
      <c r="F230" s="20" t="s">
        <v>4144</v>
      </c>
      <c r="H230" s="20">
        <v>15</v>
      </c>
      <c r="J230" s="19" t="s">
        <v>1500</v>
      </c>
      <c r="K230" s="20">
        <v>5</v>
      </c>
      <c r="O230" s="20">
        <v>0</v>
      </c>
      <c r="W230" s="20">
        <f>IF(Q230&lt;&gt;0,3,IF(K230="","",VLOOKUP(K230,'#状态名词'!$J$1:$K$15,2,FALSE)))</f>
        <v>1</v>
      </c>
      <c r="AA230" s="20">
        <v>1</v>
      </c>
      <c r="AB230" s="20">
        <v>4105</v>
      </c>
      <c r="AC230" s="20">
        <v>100</v>
      </c>
      <c r="AD230" s="20">
        <v>2</v>
      </c>
    </row>
    <row r="231" spans="1:30">
      <c r="J231" s="19"/>
      <c r="W231" s="20" t="str">
        <f>IF(Q231&lt;&gt;0,3,IF(K231="","",VLOOKUP(K231,'#状态名词'!$J$1:$K$15,2,FALSE)))</f>
        <v/>
      </c>
      <c r="AA231" s="20">
        <v>1</v>
      </c>
      <c r="AB231" s="20">
        <v>4106</v>
      </c>
      <c r="AC231" s="20">
        <v>100</v>
      </c>
      <c r="AD231" s="20">
        <v>1</v>
      </c>
    </row>
    <row r="232" spans="1:30" ht="27">
      <c r="A232" s="20">
        <v>4107</v>
      </c>
      <c r="B232" s="20" t="s">
        <v>4142</v>
      </c>
      <c r="C232" s="21" t="s">
        <v>6964</v>
      </c>
      <c r="F232" s="20" t="s">
        <v>6965</v>
      </c>
      <c r="H232" s="20">
        <v>15</v>
      </c>
      <c r="J232" s="19" t="s">
        <v>1501</v>
      </c>
      <c r="K232" s="20">
        <v>5</v>
      </c>
      <c r="O232" s="20">
        <v>1</v>
      </c>
      <c r="T232" s="20">
        <v>60</v>
      </c>
      <c r="W232" s="20">
        <f>IF(Q232&lt;&gt;0,3,IF(K232="","",VLOOKUP(K232,'#状态名词'!$J$1:$K$15,2,FALSE)))</f>
        <v>1</v>
      </c>
    </row>
    <row r="233" spans="1:30">
      <c r="A233" s="20">
        <v>4108</v>
      </c>
      <c r="B233" s="20" t="s">
        <v>4149</v>
      </c>
      <c r="C233" s="21" t="s">
        <v>4150</v>
      </c>
      <c r="K233" s="20">
        <v>0</v>
      </c>
      <c r="L233" s="20">
        <v>30</v>
      </c>
      <c r="P233" s="20">
        <v>4108</v>
      </c>
      <c r="W233" s="20">
        <f>IF(Q233&lt;&gt;0,3,IF(K233="","",VLOOKUP(K233,'#状态名词'!$J$1:$K$15,2,FALSE)))</f>
        <v>0</v>
      </c>
    </row>
    <row r="234" spans="1:30">
      <c r="A234" s="20">
        <v>4201</v>
      </c>
      <c r="B234" s="20" t="s">
        <v>4151</v>
      </c>
      <c r="C234" s="21" t="s">
        <v>7133</v>
      </c>
      <c r="W234" s="20" t="str">
        <f>IF(Q234&lt;&gt;0,3,IF(K234="","",VLOOKUP(K234,'#状态名词'!$J$1:$K$15,2,FALSE)))</f>
        <v/>
      </c>
      <c r="AA234" s="20">
        <v>1</v>
      </c>
      <c r="AB234" s="20">
        <v>4201</v>
      </c>
      <c r="AC234" s="20">
        <v>100</v>
      </c>
      <c r="AD234" s="20">
        <v>1</v>
      </c>
    </row>
    <row r="235" spans="1:30">
      <c r="A235" s="20">
        <v>4202</v>
      </c>
      <c r="B235" s="20" t="s">
        <v>4152</v>
      </c>
      <c r="C235" s="21" t="s">
        <v>6966</v>
      </c>
      <c r="F235" s="20" t="s">
        <v>4153</v>
      </c>
      <c r="H235" s="20">
        <v>20</v>
      </c>
      <c r="J235" s="19" t="s">
        <v>1498</v>
      </c>
      <c r="K235" s="20">
        <v>5</v>
      </c>
      <c r="L235" s="20">
        <v>8</v>
      </c>
      <c r="N235" s="20">
        <v>1</v>
      </c>
      <c r="O235" s="20">
        <v>1</v>
      </c>
      <c r="W235" s="20">
        <f>IF(Q235&lt;&gt;0,3,IF(K235="","",VLOOKUP(K235,'#状态名词'!$J$1:$K$15,2,FALSE)))</f>
        <v>1</v>
      </c>
    </row>
    <row r="236" spans="1:30">
      <c r="A236" s="20">
        <v>4203</v>
      </c>
      <c r="B236" s="20" t="s">
        <v>4154</v>
      </c>
      <c r="C236" s="21" t="s">
        <v>6718</v>
      </c>
      <c r="W236" s="20" t="str">
        <f>IF(Q236&lt;&gt;0,3,IF(K236="","",VLOOKUP(K236,'#状态名词'!$J$1:$K$15,2,FALSE)))</f>
        <v/>
      </c>
      <c r="AA236" s="20">
        <v>1</v>
      </c>
      <c r="AB236" s="20">
        <v>4202</v>
      </c>
      <c r="AC236" s="20">
        <v>100</v>
      </c>
      <c r="AD236" s="20">
        <v>1</v>
      </c>
    </row>
    <row r="237" spans="1:30">
      <c r="A237" s="20">
        <v>4204</v>
      </c>
      <c r="B237" s="20" t="s">
        <v>4155</v>
      </c>
      <c r="C237" s="21" t="s">
        <v>6463</v>
      </c>
      <c r="W237" s="20" t="str">
        <f>IF(Q237&lt;&gt;0,3,IF(K237="","",VLOOKUP(K237,'#状态名词'!$J$1:$K$15,2,FALSE)))</f>
        <v/>
      </c>
      <c r="AA237" s="20">
        <v>1</v>
      </c>
      <c r="AB237" s="20">
        <v>4203</v>
      </c>
      <c r="AC237" s="20" t="s">
        <v>4156</v>
      </c>
      <c r="AD237" s="20">
        <v>0</v>
      </c>
    </row>
    <row r="238" spans="1:30">
      <c r="A238" s="20">
        <v>4205</v>
      </c>
      <c r="B238" s="20" t="s">
        <v>4157</v>
      </c>
      <c r="C238" s="21" t="s">
        <v>6715</v>
      </c>
      <c r="W238" s="20" t="str">
        <f>IF(Q238&lt;&gt;0,3,IF(K238="","",VLOOKUP(K238,'#状态名词'!$J$1:$K$15,2,FALSE)))</f>
        <v/>
      </c>
      <c r="AA238" s="20">
        <v>1</v>
      </c>
      <c r="AB238" s="20">
        <v>4204</v>
      </c>
      <c r="AC238" s="20">
        <v>100</v>
      </c>
      <c r="AD238" s="20">
        <v>1</v>
      </c>
    </row>
    <row r="239" spans="1:30">
      <c r="A239" s="20">
        <v>4301</v>
      </c>
      <c r="B239" s="20" t="s">
        <v>4158</v>
      </c>
      <c r="C239" s="73" t="s">
        <v>9030</v>
      </c>
      <c r="E239" s="20" t="s">
        <v>1784</v>
      </c>
      <c r="W239" s="20" t="str">
        <f>IF(Q239&lt;&gt;0,3,IF(K239="","",VLOOKUP(K239,'#状态名词'!$J$1:$K$15,2,FALSE)))</f>
        <v/>
      </c>
      <c r="AA239" s="20">
        <v>1</v>
      </c>
      <c r="AB239" s="20">
        <v>4301</v>
      </c>
      <c r="AC239" s="20">
        <v>100</v>
      </c>
      <c r="AD239" s="20">
        <v>1</v>
      </c>
    </row>
    <row r="240" spans="1:30">
      <c r="A240" s="20">
        <v>4302</v>
      </c>
      <c r="B240" s="20" t="s">
        <v>4159</v>
      </c>
      <c r="C240" s="21" t="s">
        <v>6716</v>
      </c>
      <c r="E240" s="20" t="s">
        <v>1783</v>
      </c>
      <c r="P240" s="20">
        <v>4302</v>
      </c>
      <c r="W240" s="20" t="str">
        <f>IF(Q240&lt;&gt;0,3,IF(K240="","",VLOOKUP(K240,'#状态名词'!$J$1:$K$15,2,FALSE)))</f>
        <v/>
      </c>
    </row>
    <row r="241" spans="1:30" ht="27">
      <c r="A241" s="20">
        <v>4303</v>
      </c>
      <c r="B241" s="20" t="s">
        <v>4160</v>
      </c>
      <c r="C241" s="21" t="s">
        <v>7536</v>
      </c>
      <c r="E241" s="20" t="s">
        <v>1785</v>
      </c>
      <c r="W241" s="20" t="str">
        <f>IF(Q241&lt;&gt;0,3,IF(K241="","",VLOOKUP(K241,'#状态名词'!$J$1:$K$15,2,FALSE)))</f>
        <v/>
      </c>
      <c r="AA241" s="20">
        <v>1</v>
      </c>
      <c r="AB241" s="20">
        <v>4303</v>
      </c>
      <c r="AC241" s="20">
        <v>100</v>
      </c>
      <c r="AD241" s="20">
        <v>1</v>
      </c>
    </row>
    <row r="242" spans="1:30">
      <c r="A242" s="20">
        <v>4304</v>
      </c>
      <c r="B242" s="20" t="s">
        <v>4161</v>
      </c>
      <c r="C242" s="21" t="s">
        <v>6717</v>
      </c>
      <c r="E242" s="20" t="s">
        <v>1786</v>
      </c>
      <c r="W242" s="20" t="str">
        <f>IF(Q242&lt;&gt;0,3,IF(K242="","",VLOOKUP(K242,'#状态名词'!$J$1:$K$15,2,FALSE)))</f>
        <v/>
      </c>
      <c r="AA242" s="20">
        <v>1</v>
      </c>
      <c r="AB242" s="20">
        <v>4304</v>
      </c>
      <c r="AC242" s="20">
        <v>100</v>
      </c>
      <c r="AD242" s="20">
        <v>1</v>
      </c>
    </row>
    <row r="243" spans="1:30">
      <c r="A243" s="20">
        <v>4305</v>
      </c>
      <c r="B243" s="20" t="s">
        <v>4162</v>
      </c>
      <c r="C243" s="21" t="s">
        <v>7552</v>
      </c>
      <c r="E243" s="20" t="s">
        <v>1787</v>
      </c>
      <c r="W243" s="20" t="str">
        <f>IF(Q243&lt;&gt;0,3,IF(K243="","",VLOOKUP(K243,'#状态名词'!$J$1:$K$15,2,FALSE)))</f>
        <v/>
      </c>
      <c r="AA243" s="20">
        <v>1</v>
      </c>
      <c r="AB243" s="20">
        <v>4305</v>
      </c>
      <c r="AC243" s="20">
        <v>100</v>
      </c>
      <c r="AD243" s="20">
        <v>1</v>
      </c>
    </row>
    <row r="244" spans="1:30">
      <c r="A244" s="20">
        <v>4401</v>
      </c>
      <c r="B244" s="20" t="s">
        <v>4163</v>
      </c>
      <c r="C244" s="21" t="s">
        <v>7813</v>
      </c>
      <c r="K244" s="20">
        <v>10</v>
      </c>
      <c r="W244" s="20">
        <f>IF(Q244&lt;&gt;0,3,IF(K244="","",VLOOKUP(K244,'#状态名词'!$J$1:$K$15,2,FALSE)))</f>
        <v>3</v>
      </c>
      <c r="AA244" s="20">
        <v>1</v>
      </c>
      <c r="AB244" s="20">
        <v>4401</v>
      </c>
      <c r="AC244" s="20">
        <v>100</v>
      </c>
      <c r="AD244" s="20">
        <v>1</v>
      </c>
    </row>
    <row r="245" spans="1:30">
      <c r="A245" s="20">
        <v>4402</v>
      </c>
      <c r="B245" s="20" t="s">
        <v>4164</v>
      </c>
      <c r="C245" s="21" t="s">
        <v>4165</v>
      </c>
      <c r="F245" s="20" t="s">
        <v>4166</v>
      </c>
      <c r="H245" s="20">
        <v>10</v>
      </c>
      <c r="J245" s="19" t="s">
        <v>1502</v>
      </c>
      <c r="K245" s="20">
        <v>5</v>
      </c>
      <c r="O245" s="20">
        <v>1</v>
      </c>
      <c r="V245" s="20">
        <v>20</v>
      </c>
      <c r="W245" s="20">
        <f>IF(Q245&lt;&gt;0,3,IF(K245="","",VLOOKUP(K245,'#状态名词'!$J$1:$K$15,2,FALSE)))</f>
        <v>1</v>
      </c>
    </row>
    <row r="246" spans="1:30">
      <c r="A246" s="20">
        <v>4403</v>
      </c>
      <c r="B246" s="20" t="s">
        <v>4163</v>
      </c>
      <c r="C246" s="21" t="s">
        <v>4167</v>
      </c>
      <c r="W246" s="20" t="str">
        <f>IF(Q246&lt;&gt;0,3,IF(K246="","",VLOOKUP(K246,'#状态名词'!$J$1:$K$15,2,FALSE)))</f>
        <v/>
      </c>
      <c r="AA246" s="20">
        <v>1</v>
      </c>
      <c r="AB246" s="20">
        <v>4402</v>
      </c>
      <c r="AC246" s="20">
        <v>100</v>
      </c>
      <c r="AD246" s="20">
        <v>2</v>
      </c>
    </row>
    <row r="247" spans="1:30">
      <c r="A247" s="20">
        <v>4404</v>
      </c>
      <c r="B247" s="20" t="s">
        <v>4168</v>
      </c>
      <c r="C247" s="21" t="s">
        <v>6464</v>
      </c>
      <c r="W247" s="20" t="str">
        <f>IF(Q247&lt;&gt;0,3,IF(K247="","",VLOOKUP(K247,'#状态名词'!$J$1:$K$15,2,FALSE)))</f>
        <v/>
      </c>
      <c r="AA247" s="20">
        <v>1</v>
      </c>
      <c r="AB247" s="20">
        <v>4403</v>
      </c>
      <c r="AC247" s="20" t="s">
        <v>4169</v>
      </c>
      <c r="AD247" s="20">
        <v>0</v>
      </c>
    </row>
    <row r="248" spans="1:30">
      <c r="A248" s="20">
        <v>4405</v>
      </c>
      <c r="B248" s="20" t="s">
        <v>4170</v>
      </c>
      <c r="C248" s="21" t="s">
        <v>6719</v>
      </c>
      <c r="W248" s="20" t="str">
        <f>IF(Q248&lt;&gt;0,3,IF(K248="","",VLOOKUP(K248,'#状态名词'!$J$1:$K$15,2,FALSE)))</f>
        <v/>
      </c>
      <c r="AA248" s="20">
        <v>1</v>
      </c>
      <c r="AB248" s="20">
        <v>4404</v>
      </c>
      <c r="AC248" s="20">
        <v>100</v>
      </c>
      <c r="AD248" s="20">
        <v>1</v>
      </c>
    </row>
    <row r="249" spans="1:30" ht="27">
      <c r="A249" s="31">
        <v>4501</v>
      </c>
      <c r="B249" s="20" t="s">
        <v>4171</v>
      </c>
      <c r="C249" s="21" t="s">
        <v>7577</v>
      </c>
      <c r="E249" s="20" t="s">
        <v>7537</v>
      </c>
      <c r="F249" s="20" t="s">
        <v>7198</v>
      </c>
      <c r="H249" s="20">
        <v>45</v>
      </c>
      <c r="J249" s="19" t="s">
        <v>1503</v>
      </c>
      <c r="K249" s="20">
        <v>1</v>
      </c>
      <c r="L249" s="20">
        <v>8</v>
      </c>
      <c r="O249" s="20">
        <v>0</v>
      </c>
      <c r="W249" s="20">
        <f>IF(Q249&lt;&gt;0,3,IF(K249="","",VLOOKUP(K249,'#状态名词'!$J$1:$K$15,2,FALSE)))</f>
        <v>1</v>
      </c>
    </row>
    <row r="250" spans="1:30">
      <c r="A250" s="31">
        <v>4502</v>
      </c>
      <c r="B250" s="20" t="s">
        <v>4172</v>
      </c>
      <c r="C250" s="21" t="s">
        <v>7643</v>
      </c>
      <c r="E250" s="20" t="s">
        <v>7539</v>
      </c>
      <c r="G250" s="20">
        <v>1</v>
      </c>
      <c r="W250" s="20" t="str">
        <f>IF(Q250&lt;&gt;0,3,IF(K250="","",VLOOKUP(K250,'#状态名词'!$J$1:$K$15,2,FALSE)))</f>
        <v/>
      </c>
      <c r="AA250" s="20">
        <v>1</v>
      </c>
      <c r="AB250" s="20">
        <v>4501</v>
      </c>
      <c r="AC250" s="20" t="s">
        <v>7581</v>
      </c>
      <c r="AD250" s="20">
        <v>1</v>
      </c>
    </row>
    <row r="251" spans="1:30" ht="27">
      <c r="A251" s="31">
        <v>4503</v>
      </c>
      <c r="B251" s="20" t="s">
        <v>4173</v>
      </c>
      <c r="C251" s="21" t="s">
        <v>8085</v>
      </c>
      <c r="E251" s="20" t="s">
        <v>7538</v>
      </c>
      <c r="K251" s="20">
        <v>6</v>
      </c>
      <c r="W251" s="20">
        <f>IF(Q251&lt;&gt;0,3,IF(K251="","",VLOOKUP(K251,'#状态名词'!$J$1:$K$15,2,FALSE)))</f>
        <v>3</v>
      </c>
      <c r="AA251" s="20">
        <v>1</v>
      </c>
      <c r="AB251" s="20">
        <v>4502</v>
      </c>
      <c r="AC251" s="20">
        <v>100</v>
      </c>
      <c r="AD251" s="20">
        <v>1</v>
      </c>
    </row>
    <row r="252" spans="1:30">
      <c r="A252" s="31"/>
      <c r="W252" s="20" t="str">
        <f>IF(Q252&lt;&gt;0,3,IF(K252="","",VLOOKUP(K252,'#状态名词'!$J$1:$K$15,2,FALSE)))</f>
        <v/>
      </c>
      <c r="AA252" s="20">
        <v>1</v>
      </c>
      <c r="AB252" s="20">
        <v>4505</v>
      </c>
      <c r="AC252" s="20">
        <v>100</v>
      </c>
      <c r="AD252" s="20">
        <v>2</v>
      </c>
    </row>
    <row r="253" spans="1:30">
      <c r="A253" s="31">
        <v>4504</v>
      </c>
      <c r="B253" s="20" t="s">
        <v>4174</v>
      </c>
      <c r="C253" s="21" t="s">
        <v>6720</v>
      </c>
      <c r="E253" s="20" t="s">
        <v>7541</v>
      </c>
      <c r="W253" s="20" t="str">
        <f>IF(Q253&lt;&gt;0,3,IF(K253="","",VLOOKUP(K253,'#状态名词'!$J$1:$K$15,2,FALSE)))</f>
        <v/>
      </c>
      <c r="AA253" s="20">
        <v>1</v>
      </c>
      <c r="AB253" s="20">
        <v>4503</v>
      </c>
      <c r="AC253" s="20">
        <v>100</v>
      </c>
      <c r="AD253" s="20">
        <v>1</v>
      </c>
    </row>
    <row r="254" spans="1:30">
      <c r="A254" s="31">
        <v>4505</v>
      </c>
      <c r="B254" s="20" t="s">
        <v>7184</v>
      </c>
      <c r="C254" s="21" t="s">
        <v>7185</v>
      </c>
      <c r="E254" s="20" t="s">
        <v>7540</v>
      </c>
      <c r="W254" s="20" t="str">
        <f>IF(Q254&lt;&gt;0,3,IF(K254="","",VLOOKUP(K254,'#状态名词'!$J$1:$K$15,2,FALSE)))</f>
        <v/>
      </c>
      <c r="AA254" s="20">
        <v>1</v>
      </c>
      <c r="AB254" s="20">
        <v>4504</v>
      </c>
      <c r="AC254" s="20">
        <v>100</v>
      </c>
      <c r="AD254" s="20">
        <v>1</v>
      </c>
    </row>
    <row r="255" spans="1:30">
      <c r="A255" s="20">
        <v>4601</v>
      </c>
      <c r="B255" s="20" t="s">
        <v>611</v>
      </c>
      <c r="C255" s="21" t="s">
        <v>6721</v>
      </c>
      <c r="E255" s="20" t="s">
        <v>1724</v>
      </c>
      <c r="W255" s="20" t="str">
        <f>IF(Q255&lt;&gt;0,3,IF(K255="","",VLOOKUP(K255,'#状态名词'!$J$1:$K$15,2,FALSE)))</f>
        <v/>
      </c>
      <c r="AA255" s="20">
        <v>1</v>
      </c>
      <c r="AB255" s="20">
        <v>4601</v>
      </c>
      <c r="AC255" s="20">
        <v>100</v>
      </c>
      <c r="AD255" s="20">
        <v>1</v>
      </c>
    </row>
    <row r="256" spans="1:30">
      <c r="A256" s="20">
        <v>4602</v>
      </c>
      <c r="B256" s="20" t="s">
        <v>612</v>
      </c>
      <c r="C256" s="21" t="s">
        <v>6722</v>
      </c>
      <c r="E256" s="20" t="s">
        <v>1788</v>
      </c>
      <c r="K256" s="20">
        <v>6</v>
      </c>
      <c r="W256" s="20">
        <f>IF(Q256&lt;&gt;0,3,IF(K256="","",VLOOKUP(K256,'#状态名词'!$J$1:$K$15,2,FALSE)))</f>
        <v>3</v>
      </c>
      <c r="AA256" s="20">
        <v>1</v>
      </c>
      <c r="AB256" s="20">
        <v>4602</v>
      </c>
      <c r="AC256" s="20">
        <v>100</v>
      </c>
      <c r="AD256" s="20">
        <v>1</v>
      </c>
    </row>
    <row r="257" spans="1:31" ht="27">
      <c r="A257" s="20">
        <v>4603</v>
      </c>
      <c r="B257" s="20" t="s">
        <v>81</v>
      </c>
      <c r="C257" s="21" t="s">
        <v>6465</v>
      </c>
      <c r="E257" s="20" t="s">
        <v>1789</v>
      </c>
      <c r="F257" s="20" t="s">
        <v>4175</v>
      </c>
      <c r="H257" s="20">
        <v>20</v>
      </c>
      <c r="J257" s="19" t="s">
        <v>1504</v>
      </c>
      <c r="K257" s="20">
        <v>5</v>
      </c>
      <c r="L257" s="20">
        <v>15</v>
      </c>
      <c r="O257" s="20">
        <v>1</v>
      </c>
      <c r="W257" s="20">
        <f>IF(Q257&lt;&gt;0,3,IF(K257="","",VLOOKUP(K257,'#状态名词'!$J$1:$K$15,2,FALSE)))</f>
        <v>1</v>
      </c>
      <c r="AA257" s="20">
        <v>1</v>
      </c>
      <c r="AB257" s="20">
        <v>11</v>
      </c>
      <c r="AC257" s="20">
        <v>100</v>
      </c>
      <c r="AD257" s="20">
        <v>0</v>
      </c>
      <c r="AE257" s="20">
        <v>1</v>
      </c>
    </row>
    <row r="258" spans="1:31">
      <c r="A258" s="20">
        <v>4604</v>
      </c>
      <c r="B258" s="20" t="s">
        <v>80</v>
      </c>
      <c r="C258" s="21" t="s">
        <v>6723</v>
      </c>
      <c r="E258" s="20" t="s">
        <v>1790</v>
      </c>
      <c r="W258" s="20" t="str">
        <f>IF(Q258&lt;&gt;0,3,IF(K258="","",VLOOKUP(K258,'#状态名词'!$J$1:$K$15,2,FALSE)))</f>
        <v/>
      </c>
      <c r="AA258" s="20">
        <v>1</v>
      </c>
      <c r="AB258" s="20">
        <v>4603</v>
      </c>
      <c r="AC258" s="20">
        <v>100</v>
      </c>
      <c r="AD258" s="20">
        <v>1</v>
      </c>
    </row>
    <row r="259" spans="1:31">
      <c r="A259" s="20">
        <v>4605</v>
      </c>
      <c r="B259" s="20" t="s">
        <v>613</v>
      </c>
      <c r="C259" s="21" t="s">
        <v>6724</v>
      </c>
      <c r="E259" s="20" t="s">
        <v>1791</v>
      </c>
      <c r="W259" s="20" t="str">
        <f>IF(Q259&lt;&gt;0,3,IF(K259="","",VLOOKUP(K259,'#状态名词'!$J$1:$K$15,2,FALSE)))</f>
        <v/>
      </c>
      <c r="AA259" s="20">
        <v>1</v>
      </c>
      <c r="AB259" s="20">
        <v>4604</v>
      </c>
      <c r="AC259" s="20">
        <v>100</v>
      </c>
      <c r="AD259" s="20">
        <v>1</v>
      </c>
    </row>
    <row r="260" spans="1:31">
      <c r="A260" s="20">
        <v>4701</v>
      </c>
      <c r="B260" s="20" t="s">
        <v>614</v>
      </c>
      <c r="C260" s="21" t="s">
        <v>4176</v>
      </c>
      <c r="F260" s="20" t="s">
        <v>4177</v>
      </c>
      <c r="H260" s="20">
        <v>15</v>
      </c>
      <c r="J260" s="19" t="s">
        <v>118</v>
      </c>
      <c r="K260" s="20">
        <v>5</v>
      </c>
      <c r="L260" s="20">
        <v>8</v>
      </c>
      <c r="O260" s="20">
        <v>0</v>
      </c>
      <c r="W260" s="20">
        <f>IF(Q260&lt;&gt;0,3,IF(K260="","",VLOOKUP(K260,'#状态名词'!$J$1:$K$15,2,FALSE)))</f>
        <v>1</v>
      </c>
    </row>
    <row r="261" spans="1:31">
      <c r="A261" s="20">
        <v>4702</v>
      </c>
      <c r="B261" s="20" t="s">
        <v>615</v>
      </c>
      <c r="C261" s="21" t="s">
        <v>8086</v>
      </c>
      <c r="W261" s="20" t="str">
        <f>IF(Q261&lt;&gt;0,3,IF(K261="","",VLOOKUP(K261,'#状态名词'!$J$1:$K$15,2,FALSE)))</f>
        <v/>
      </c>
      <c r="AA261" s="20">
        <v>1</v>
      </c>
      <c r="AB261" s="20">
        <v>4701</v>
      </c>
      <c r="AC261" s="20">
        <v>100</v>
      </c>
      <c r="AD261" s="20">
        <v>2</v>
      </c>
    </row>
    <row r="262" spans="1:31">
      <c r="A262" s="20">
        <v>4703</v>
      </c>
      <c r="B262" s="20" t="s">
        <v>616</v>
      </c>
      <c r="C262" s="21" t="s">
        <v>6725</v>
      </c>
      <c r="W262" s="20" t="str">
        <f>IF(Q262&lt;&gt;0,3,IF(K262="","",VLOOKUP(K262,'#状态名词'!$J$1:$K$15,2,FALSE)))</f>
        <v/>
      </c>
      <c r="AA262" s="20">
        <v>1</v>
      </c>
      <c r="AB262" s="20">
        <v>4702</v>
      </c>
      <c r="AC262" s="20">
        <v>100</v>
      </c>
      <c r="AD262" s="20">
        <v>1</v>
      </c>
    </row>
    <row r="263" spans="1:31">
      <c r="A263" s="20">
        <v>4704</v>
      </c>
      <c r="B263" s="20" t="s">
        <v>617</v>
      </c>
      <c r="C263" s="21" t="s">
        <v>6726</v>
      </c>
      <c r="K263" s="20">
        <v>6</v>
      </c>
      <c r="W263" s="20">
        <f>IF(Q263&lt;&gt;0,3,IF(K263="","",VLOOKUP(K263,'#状态名词'!$J$1:$K$15,2,FALSE)))</f>
        <v>3</v>
      </c>
      <c r="AA263" s="20">
        <v>1</v>
      </c>
      <c r="AB263" s="20">
        <v>4703</v>
      </c>
      <c r="AC263" s="20">
        <v>100</v>
      </c>
      <c r="AD263" s="20">
        <v>1</v>
      </c>
    </row>
    <row r="264" spans="1:31">
      <c r="A264" s="20">
        <v>4705</v>
      </c>
      <c r="B264" s="20" t="s">
        <v>618</v>
      </c>
      <c r="C264" s="21" t="s">
        <v>6466</v>
      </c>
      <c r="K264" s="20">
        <v>9</v>
      </c>
      <c r="W264" s="20">
        <f>IF(Q264&lt;&gt;0,3,IF(K264="","",VLOOKUP(K264,'#状态名词'!$J$1:$K$15,2,FALSE)))</f>
        <v>3</v>
      </c>
      <c r="AA264" s="20">
        <v>1</v>
      </c>
      <c r="AB264" s="20">
        <v>4704</v>
      </c>
      <c r="AC264" s="20">
        <v>25</v>
      </c>
      <c r="AD264" s="20">
        <v>1</v>
      </c>
    </row>
    <row r="265" spans="1:31">
      <c r="A265" s="20">
        <v>4801</v>
      </c>
      <c r="B265" s="20" t="s">
        <v>4178</v>
      </c>
      <c r="C265" s="21" t="s">
        <v>6727</v>
      </c>
      <c r="E265" s="20" t="s">
        <v>1792</v>
      </c>
      <c r="W265" s="20" t="str">
        <f>IF(Q265&lt;&gt;0,3,IF(K265="","",VLOOKUP(K265,'#状态名词'!$J$1:$K$15,2,FALSE)))</f>
        <v/>
      </c>
      <c r="AA265" s="20">
        <v>1</v>
      </c>
      <c r="AB265" s="20">
        <v>4801</v>
      </c>
      <c r="AC265" s="20">
        <v>100</v>
      </c>
      <c r="AD265" s="20">
        <v>1</v>
      </c>
    </row>
    <row r="266" spans="1:31">
      <c r="A266" s="20">
        <v>4802</v>
      </c>
      <c r="B266" s="20" t="s">
        <v>4179</v>
      </c>
      <c r="C266" s="21" t="s">
        <v>4180</v>
      </c>
      <c r="E266" s="20" t="s">
        <v>1654</v>
      </c>
      <c r="F266" s="20" t="s">
        <v>4181</v>
      </c>
      <c r="H266" s="20">
        <v>10</v>
      </c>
      <c r="J266" s="19" t="s">
        <v>1505</v>
      </c>
      <c r="K266" s="20">
        <v>5</v>
      </c>
      <c r="L266" s="20">
        <v>10</v>
      </c>
      <c r="O266" s="20">
        <v>1</v>
      </c>
      <c r="W266" s="20">
        <f>IF(Q266&lt;&gt;0,3,IF(K266="","",VLOOKUP(K266,'#状态名词'!$J$1:$K$15,2,FALSE)))</f>
        <v>1</v>
      </c>
    </row>
    <row r="267" spans="1:31">
      <c r="A267" s="20">
        <v>4803</v>
      </c>
      <c r="B267" s="20" t="s">
        <v>4182</v>
      </c>
      <c r="C267" s="21" t="s">
        <v>6728</v>
      </c>
      <c r="E267" s="20" t="s">
        <v>1705</v>
      </c>
      <c r="W267" s="20" t="str">
        <f>IF(Q267&lt;&gt;0,3,IF(K267="","",VLOOKUP(K267,'#状态名词'!$J$1:$K$15,2,FALSE)))</f>
        <v/>
      </c>
      <c r="AA267" s="20">
        <v>1</v>
      </c>
      <c r="AB267" s="20">
        <v>4802</v>
      </c>
      <c r="AC267" s="20">
        <v>100</v>
      </c>
      <c r="AD267" s="20">
        <v>1</v>
      </c>
    </row>
    <row r="268" spans="1:31" ht="27">
      <c r="A268" s="20">
        <v>4804</v>
      </c>
      <c r="B268" s="20" t="s">
        <v>4183</v>
      </c>
      <c r="C268" s="21" t="s">
        <v>6729</v>
      </c>
      <c r="E268" s="20" t="s">
        <v>1793</v>
      </c>
      <c r="G268" s="20">
        <v>4802</v>
      </c>
      <c r="W268" s="20" t="str">
        <f>IF(Q268&lt;&gt;0,3,IF(K268="","",VLOOKUP(K268,'#状态名词'!$J$1:$K$15,2,FALSE)))</f>
        <v/>
      </c>
      <c r="AA268" s="20">
        <v>1</v>
      </c>
      <c r="AB268" s="20">
        <v>4803</v>
      </c>
      <c r="AC268" s="20">
        <v>100</v>
      </c>
      <c r="AD268" s="20">
        <v>2</v>
      </c>
    </row>
    <row r="269" spans="1:31">
      <c r="A269" s="20">
        <v>4805</v>
      </c>
      <c r="B269" s="20" t="s">
        <v>4184</v>
      </c>
      <c r="C269" s="21" t="s">
        <v>6621</v>
      </c>
      <c r="E269" s="20" t="s">
        <v>1794</v>
      </c>
      <c r="H269" s="20">
        <v>40</v>
      </c>
      <c r="J269" s="19" t="s">
        <v>1484</v>
      </c>
      <c r="K269" s="20">
        <v>11</v>
      </c>
      <c r="L269" s="20">
        <v>100</v>
      </c>
      <c r="W269" s="20">
        <f>IF(Q269&lt;&gt;0,3,IF(K269="","",VLOOKUP(K269,'#状态名词'!$J$1:$K$15,2,FALSE)))</f>
        <v>4</v>
      </c>
      <c r="AA269" s="20">
        <v>1</v>
      </c>
      <c r="AB269" s="20">
        <v>4804</v>
      </c>
      <c r="AC269" s="20">
        <v>100</v>
      </c>
      <c r="AD269" s="20">
        <v>1</v>
      </c>
    </row>
    <row r="270" spans="1:31" ht="27">
      <c r="A270" s="20">
        <v>4901</v>
      </c>
      <c r="B270" s="20" t="s">
        <v>4185</v>
      </c>
      <c r="C270" s="21" t="s">
        <v>6967</v>
      </c>
      <c r="F270" s="20" t="s">
        <v>4186</v>
      </c>
      <c r="H270" s="20">
        <v>25</v>
      </c>
      <c r="J270" s="19" t="s">
        <v>1483</v>
      </c>
      <c r="K270" s="20">
        <v>5</v>
      </c>
      <c r="L270" s="20">
        <v>10</v>
      </c>
      <c r="O270" s="20">
        <v>0</v>
      </c>
      <c r="W270" s="20">
        <f>IF(Q270&lt;&gt;0,3,IF(K270="","",VLOOKUP(K270,'#状态名词'!$J$1:$K$15,2,FALSE)))</f>
        <v>1</v>
      </c>
    </row>
    <row r="271" spans="1:31">
      <c r="A271" s="20">
        <v>4902</v>
      </c>
      <c r="B271" s="20" t="s">
        <v>4187</v>
      </c>
      <c r="C271" s="21" t="s">
        <v>7134</v>
      </c>
      <c r="W271" s="20" t="str">
        <f>IF(Q271&lt;&gt;0,3,IF(K271="","",VLOOKUP(K271,'#状态名词'!$J$1:$K$15,2,FALSE)))</f>
        <v/>
      </c>
      <c r="AA271" s="20">
        <v>1</v>
      </c>
      <c r="AB271" s="20">
        <v>4901</v>
      </c>
      <c r="AC271" s="20">
        <v>100</v>
      </c>
      <c r="AD271" s="20">
        <v>1</v>
      </c>
    </row>
    <row r="272" spans="1:31">
      <c r="A272" s="20">
        <v>4903</v>
      </c>
      <c r="B272" s="20" t="s">
        <v>4188</v>
      </c>
      <c r="C272" s="21" t="s">
        <v>6622</v>
      </c>
      <c r="W272" s="20" t="str">
        <f>IF(Q272&lt;&gt;0,3,IF(K272="","",VLOOKUP(K272,'#状态名词'!$J$1:$K$15,2,FALSE)))</f>
        <v/>
      </c>
      <c r="AA272" s="20">
        <v>1</v>
      </c>
      <c r="AB272" s="20">
        <v>4902</v>
      </c>
      <c r="AC272" s="20">
        <v>100</v>
      </c>
      <c r="AD272" s="20">
        <v>1</v>
      </c>
    </row>
    <row r="273" spans="1:30">
      <c r="A273" s="20">
        <v>4904</v>
      </c>
      <c r="B273" s="20" t="s">
        <v>4189</v>
      </c>
      <c r="C273" s="21" t="s">
        <v>7916</v>
      </c>
      <c r="W273" s="20" t="str">
        <f>IF(Q273&lt;&gt;0,3,IF(K273="","",VLOOKUP(K273,'#状态名词'!$J$1:$K$15,2,FALSE)))</f>
        <v/>
      </c>
      <c r="AA273" s="20">
        <v>1</v>
      </c>
      <c r="AB273" s="20">
        <v>4903</v>
      </c>
      <c r="AC273" s="20">
        <v>100</v>
      </c>
      <c r="AD273" s="20">
        <v>1</v>
      </c>
    </row>
    <row r="274" spans="1:30" ht="27">
      <c r="A274" s="20">
        <v>4905</v>
      </c>
      <c r="B274" s="20" t="s">
        <v>4190</v>
      </c>
      <c r="C274" s="21" t="s">
        <v>6730</v>
      </c>
      <c r="W274" s="20" t="str">
        <f>IF(Q274&lt;&gt;0,3,IF(K274="","",VLOOKUP(K274,'#状态名词'!$J$1:$K$15,2,FALSE)))</f>
        <v/>
      </c>
    </row>
    <row r="275" spans="1:30">
      <c r="A275" s="20">
        <v>5001</v>
      </c>
      <c r="B275" s="20" t="s">
        <v>4191</v>
      </c>
      <c r="C275" s="21" t="s">
        <v>4192</v>
      </c>
      <c r="E275" s="20" t="s">
        <v>1795</v>
      </c>
      <c r="F275" s="20" t="s">
        <v>4193</v>
      </c>
      <c r="H275" s="20">
        <v>13</v>
      </c>
      <c r="J275" s="19" t="s">
        <v>1506</v>
      </c>
      <c r="K275" s="20">
        <v>5</v>
      </c>
      <c r="L275" s="20">
        <v>8</v>
      </c>
      <c r="N275" s="20">
        <v>2</v>
      </c>
      <c r="O275" s="20">
        <v>1</v>
      </c>
      <c r="W275" s="20">
        <f>IF(Q275&lt;&gt;0,3,IF(K275="","",VLOOKUP(K275,'#状态名词'!$J$1:$K$15,2,FALSE)))</f>
        <v>1</v>
      </c>
    </row>
    <row r="276" spans="1:30">
      <c r="A276" s="20">
        <v>5002</v>
      </c>
      <c r="B276" s="20" t="s">
        <v>4194</v>
      </c>
      <c r="C276" s="21" t="s">
        <v>8087</v>
      </c>
      <c r="E276" s="20" t="s">
        <v>1786</v>
      </c>
      <c r="G276" s="20">
        <v>5001</v>
      </c>
      <c r="W276" s="20" t="str">
        <f>IF(Q276&lt;&gt;0,3,IF(K276="","",VLOOKUP(K276,'#状态名词'!$J$1:$K$15,2,FALSE)))</f>
        <v/>
      </c>
      <c r="AA276" s="20">
        <v>1</v>
      </c>
      <c r="AB276" s="20">
        <v>5001</v>
      </c>
      <c r="AC276" s="20">
        <v>100</v>
      </c>
      <c r="AD276" s="20">
        <v>2</v>
      </c>
    </row>
    <row r="277" spans="1:30">
      <c r="A277" s="20">
        <v>5003</v>
      </c>
      <c r="B277" s="20" t="s">
        <v>4195</v>
      </c>
      <c r="C277" s="21" t="s">
        <v>8828</v>
      </c>
      <c r="E277" s="20" t="s">
        <v>1639</v>
      </c>
      <c r="W277" s="20" t="str">
        <f>IF(Q277&lt;&gt;0,3,IF(K277="","",VLOOKUP(K277,'#状态名词'!$J$1:$K$15,2,FALSE)))</f>
        <v/>
      </c>
      <c r="AA277" s="20">
        <v>1</v>
      </c>
      <c r="AB277" s="20">
        <v>5002</v>
      </c>
      <c r="AC277" s="20">
        <v>100</v>
      </c>
      <c r="AD277" s="20">
        <v>1</v>
      </c>
    </row>
    <row r="278" spans="1:30">
      <c r="A278" s="20">
        <v>5004</v>
      </c>
      <c r="B278" s="20" t="s">
        <v>4196</v>
      </c>
      <c r="C278" s="21" t="s">
        <v>4197</v>
      </c>
      <c r="E278" s="20" t="s">
        <v>1796</v>
      </c>
      <c r="K278" s="20">
        <v>9</v>
      </c>
      <c r="W278" s="20">
        <f>IF(Q278&lt;&gt;0,3,IF(K278="","",VLOOKUP(K278,'#状态名词'!$J$1:$K$15,2,FALSE)))</f>
        <v>3</v>
      </c>
      <c r="AA278" s="20">
        <v>1</v>
      </c>
      <c r="AB278" s="20">
        <v>12</v>
      </c>
      <c r="AC278" s="20" t="s">
        <v>4198</v>
      </c>
      <c r="AD278" s="20">
        <v>0</v>
      </c>
    </row>
    <row r="279" spans="1:30">
      <c r="W279" s="20" t="str">
        <f>IF(Q279&lt;&gt;0,3,IF(K279="","",VLOOKUP(K279,'#状态名词'!$J$1:$K$15,2,FALSE)))</f>
        <v/>
      </c>
      <c r="AA279" s="20">
        <v>1</v>
      </c>
      <c r="AB279" s="20">
        <v>36</v>
      </c>
      <c r="AC279" s="20" t="s">
        <v>4198</v>
      </c>
      <c r="AD279" s="20">
        <v>1</v>
      </c>
    </row>
    <row r="280" spans="1:30">
      <c r="A280" s="20">
        <v>5005</v>
      </c>
      <c r="B280" s="20" t="s">
        <v>4199</v>
      </c>
      <c r="C280" s="73" t="s">
        <v>8998</v>
      </c>
      <c r="E280" s="20" t="s">
        <v>1797</v>
      </c>
      <c r="W280" s="20" t="str">
        <f>IF(Q280&lt;&gt;0,3,IF(K280="","",VLOOKUP(K280,'#状态名词'!$J$1:$K$15,2,FALSE)))</f>
        <v/>
      </c>
      <c r="AA280" s="20">
        <v>1</v>
      </c>
      <c r="AB280" s="20">
        <v>5004</v>
      </c>
      <c r="AC280" s="20">
        <v>100</v>
      </c>
      <c r="AD280" s="20">
        <v>1</v>
      </c>
    </row>
    <row r="281" spans="1:30">
      <c r="A281" s="31">
        <v>5101</v>
      </c>
      <c r="B281" s="20" t="s">
        <v>4200</v>
      </c>
      <c r="C281" s="21" t="s">
        <v>8059</v>
      </c>
      <c r="E281" s="20" t="s">
        <v>7542</v>
      </c>
      <c r="F281" s="20" t="s">
        <v>8060</v>
      </c>
      <c r="H281" s="20">
        <v>10</v>
      </c>
      <c r="J281" s="19" t="s">
        <v>1507</v>
      </c>
      <c r="K281" s="20">
        <v>5</v>
      </c>
      <c r="L281" s="20">
        <v>12</v>
      </c>
      <c r="N281" s="20">
        <v>4</v>
      </c>
      <c r="O281" s="20">
        <v>1</v>
      </c>
      <c r="W281" s="20">
        <f>IF(Q281&lt;&gt;0,3,IF(K281="","",VLOOKUP(K281,'#状态名词'!$J$1:$K$15,2,FALSE)))</f>
        <v>1</v>
      </c>
    </row>
    <row r="282" spans="1:30">
      <c r="A282" s="31">
        <v>5102</v>
      </c>
      <c r="B282" s="20" t="s">
        <v>4201</v>
      </c>
      <c r="C282" s="21" t="s">
        <v>7189</v>
      </c>
      <c r="E282" s="20" t="s">
        <v>7543</v>
      </c>
      <c r="G282" s="31">
        <v>5101</v>
      </c>
      <c r="W282" s="20" t="str">
        <f>IF(Q282&lt;&gt;0,3,IF(K282="","",VLOOKUP(K282,'#状态名词'!$J$1:$K$15,2,FALSE)))</f>
        <v/>
      </c>
      <c r="AA282" s="20">
        <v>1</v>
      </c>
      <c r="AB282" s="20">
        <v>5102</v>
      </c>
      <c r="AC282" s="20">
        <v>100</v>
      </c>
      <c r="AD282" s="20">
        <v>2</v>
      </c>
    </row>
    <row r="283" spans="1:30">
      <c r="A283" s="31">
        <v>5103</v>
      </c>
      <c r="B283" s="20" t="s">
        <v>4202</v>
      </c>
      <c r="C283" s="21" t="s">
        <v>8854</v>
      </c>
      <c r="E283" s="20" t="s">
        <v>7544</v>
      </c>
      <c r="K283" s="20">
        <v>9</v>
      </c>
      <c r="W283" s="20">
        <f>IF(Q283&lt;&gt;0,3,IF(K283="","",VLOOKUP(K283,'#状态名词'!$J$1:$K$15,2,FALSE)))</f>
        <v>3</v>
      </c>
      <c r="AA283" s="20">
        <v>1</v>
      </c>
      <c r="AB283" s="20">
        <v>5103</v>
      </c>
      <c r="AC283" s="20">
        <v>50</v>
      </c>
      <c r="AD283" s="20">
        <v>0</v>
      </c>
    </row>
    <row r="284" spans="1:30">
      <c r="A284" s="31">
        <v>5104</v>
      </c>
      <c r="B284" s="20" t="s">
        <v>4203</v>
      </c>
      <c r="C284" s="21" t="s">
        <v>7917</v>
      </c>
      <c r="E284" s="20" t="s">
        <v>7545</v>
      </c>
      <c r="W284" s="20" t="str">
        <f>IF(Q284&lt;&gt;0,3,IF(K284="","",VLOOKUP(K284,'#状态名词'!$J$1:$K$15,2,FALSE)))</f>
        <v/>
      </c>
      <c r="AA284" s="20">
        <v>1</v>
      </c>
      <c r="AB284" s="20">
        <v>5105</v>
      </c>
      <c r="AC284" s="20">
        <v>100</v>
      </c>
      <c r="AD284" s="20">
        <v>1</v>
      </c>
    </row>
    <row r="285" spans="1:30">
      <c r="A285" s="31">
        <v>5105</v>
      </c>
      <c r="B285" s="20" t="s">
        <v>4204</v>
      </c>
      <c r="C285" s="21" t="s">
        <v>8853</v>
      </c>
      <c r="E285" s="20" t="s">
        <v>7546</v>
      </c>
      <c r="K285" s="20">
        <v>9</v>
      </c>
      <c r="W285" s="20">
        <f>IF(Q285&lt;&gt;0,3,IF(K285="","",VLOOKUP(K285,'#状态名词'!$J$1:$K$15,2,FALSE)))</f>
        <v>3</v>
      </c>
      <c r="AA285" s="20">
        <v>1</v>
      </c>
      <c r="AB285" s="20">
        <v>5107</v>
      </c>
      <c r="AC285" s="20">
        <v>100</v>
      </c>
      <c r="AD285" s="20">
        <v>1</v>
      </c>
    </row>
    <row r="286" spans="1:30" ht="27">
      <c r="A286" s="31">
        <v>5201</v>
      </c>
      <c r="B286" s="20" t="s">
        <v>4205</v>
      </c>
      <c r="C286" s="21" t="s">
        <v>7918</v>
      </c>
      <c r="E286" s="20" t="s">
        <v>7547</v>
      </c>
      <c r="H286" s="20">
        <v>40</v>
      </c>
      <c r="J286" s="19" t="s">
        <v>1508</v>
      </c>
      <c r="K286" s="20">
        <v>11</v>
      </c>
      <c r="L286" s="20">
        <v>100</v>
      </c>
      <c r="W286" s="20">
        <f>IF(Q286&lt;&gt;0,3,IF(K286="","",VLOOKUP(K286,'#状态名词'!$J$1:$K$15,2,FALSE)))</f>
        <v>4</v>
      </c>
      <c r="AA286" s="20">
        <v>1</v>
      </c>
      <c r="AB286" s="20">
        <v>5201</v>
      </c>
      <c r="AC286" s="20">
        <v>100</v>
      </c>
      <c r="AD286" s="20">
        <v>1</v>
      </c>
    </row>
    <row r="287" spans="1:30">
      <c r="A287" s="31">
        <v>5202</v>
      </c>
      <c r="B287" s="20" t="s">
        <v>619</v>
      </c>
      <c r="C287" s="21" t="s">
        <v>7200</v>
      </c>
      <c r="E287" s="20" t="s">
        <v>7548</v>
      </c>
      <c r="W287" s="20" t="str">
        <f>IF(Q287&lt;&gt;0,3,IF(K287="","",VLOOKUP(K287,'#状态名词'!$J$1:$K$15,2,FALSE)))</f>
        <v/>
      </c>
      <c r="AA287" s="20">
        <v>1</v>
      </c>
      <c r="AB287" s="20">
        <v>5202</v>
      </c>
      <c r="AC287" s="20">
        <v>100</v>
      </c>
      <c r="AD287" s="20">
        <v>1</v>
      </c>
    </row>
    <row r="288" spans="1:30">
      <c r="A288" s="31">
        <v>5203</v>
      </c>
      <c r="B288" s="20" t="s">
        <v>620</v>
      </c>
      <c r="C288" s="21" t="s">
        <v>6732</v>
      </c>
      <c r="E288" s="20" t="s">
        <v>7549</v>
      </c>
      <c r="W288" s="20" t="str">
        <f>IF(Q288&lt;&gt;0,3,IF(K288="","",VLOOKUP(K288,'#状态名词'!$J$1:$K$15,2,FALSE)))</f>
        <v/>
      </c>
      <c r="AA288" s="20">
        <v>1</v>
      </c>
      <c r="AB288" s="20">
        <v>5203</v>
      </c>
      <c r="AC288" s="20">
        <v>100</v>
      </c>
      <c r="AD288" s="20">
        <v>1</v>
      </c>
    </row>
    <row r="289" spans="1:31" ht="27">
      <c r="A289" s="31">
        <v>5204</v>
      </c>
      <c r="B289" s="20" t="s">
        <v>621</v>
      </c>
      <c r="C289" s="21" t="s">
        <v>8016</v>
      </c>
      <c r="E289" s="20" t="s">
        <v>7550</v>
      </c>
      <c r="F289" s="20" t="s">
        <v>8015</v>
      </c>
      <c r="H289" s="20">
        <v>35</v>
      </c>
      <c r="J289" s="71" t="s">
        <v>7795</v>
      </c>
      <c r="K289" s="20">
        <v>5</v>
      </c>
      <c r="L289" s="20">
        <v>12</v>
      </c>
      <c r="N289" s="20">
        <v>1</v>
      </c>
      <c r="O289" s="20">
        <v>1</v>
      </c>
      <c r="W289" s="20">
        <f>IF(Q289&lt;&gt;0,3,IF(K289="","",VLOOKUP(K289,'#状态名词'!$J$1:$K$15,2,FALSE)))</f>
        <v>1</v>
      </c>
      <c r="AA289" s="20">
        <v>1</v>
      </c>
      <c r="AB289" s="20">
        <v>3</v>
      </c>
      <c r="AC289" s="20">
        <v>100</v>
      </c>
      <c r="AD289" s="20">
        <v>0</v>
      </c>
      <c r="AE289" s="20">
        <v>1</v>
      </c>
    </row>
    <row r="290" spans="1:31">
      <c r="A290" s="31">
        <v>5205</v>
      </c>
      <c r="B290" s="20" t="s">
        <v>622</v>
      </c>
      <c r="C290" s="21" t="s">
        <v>8013</v>
      </c>
      <c r="E290" s="20" t="s">
        <v>7551</v>
      </c>
      <c r="K290" s="20">
        <v>6</v>
      </c>
      <c r="W290" s="20">
        <f>IF(Q290&lt;&gt;0,3,IF(K290="","",VLOOKUP(K290,'#状态名词'!$J$1:$K$15,2,FALSE)))</f>
        <v>3</v>
      </c>
      <c r="AA290" s="20">
        <v>1</v>
      </c>
      <c r="AB290" s="20">
        <v>5205</v>
      </c>
      <c r="AC290" s="20">
        <v>100</v>
      </c>
      <c r="AD290" s="20">
        <v>1</v>
      </c>
    </row>
    <row r="291" spans="1:31">
      <c r="A291" s="20">
        <v>5301</v>
      </c>
      <c r="B291" s="20" t="s">
        <v>623</v>
      </c>
      <c r="C291" s="21" t="s">
        <v>6700</v>
      </c>
      <c r="E291" s="20" t="s">
        <v>1798</v>
      </c>
      <c r="W291" s="20" t="str">
        <f>IF(Q291&lt;&gt;0,3,IF(K291="","",VLOOKUP(K291,'#状态名词'!$J$1:$K$15,2,FALSE)))</f>
        <v/>
      </c>
      <c r="AA291" s="20">
        <v>1</v>
      </c>
      <c r="AB291" s="20">
        <v>5301</v>
      </c>
      <c r="AC291" s="20">
        <v>100</v>
      </c>
      <c r="AD291" s="20">
        <v>1</v>
      </c>
    </row>
    <row r="292" spans="1:31" ht="27">
      <c r="A292" s="20">
        <v>5302</v>
      </c>
      <c r="B292" s="20" t="s">
        <v>624</v>
      </c>
      <c r="C292" s="21" t="s">
        <v>6467</v>
      </c>
      <c r="E292" s="20" t="s">
        <v>1721</v>
      </c>
      <c r="F292" s="20" t="s">
        <v>4206</v>
      </c>
      <c r="H292" s="20">
        <v>13</v>
      </c>
      <c r="J292" s="19" t="s">
        <v>1509</v>
      </c>
      <c r="K292" s="20">
        <v>5</v>
      </c>
      <c r="L292" s="20">
        <v>12</v>
      </c>
      <c r="O292" s="20">
        <v>1</v>
      </c>
      <c r="W292" s="20">
        <f>IF(Q292&lt;&gt;0,3,IF(K292="","",VLOOKUP(K292,'#状态名词'!$J$1:$K$15,2,FALSE)))</f>
        <v>1</v>
      </c>
      <c r="AA292" s="20">
        <v>1</v>
      </c>
      <c r="AB292" s="20">
        <v>22</v>
      </c>
      <c r="AC292" s="20">
        <v>100</v>
      </c>
      <c r="AD292" s="20">
        <v>0</v>
      </c>
      <c r="AE292" s="20">
        <v>1</v>
      </c>
    </row>
    <row r="293" spans="1:31">
      <c r="A293" s="20">
        <v>5303</v>
      </c>
      <c r="B293" s="20" t="s">
        <v>625</v>
      </c>
      <c r="C293" s="21" t="s">
        <v>7919</v>
      </c>
      <c r="E293" s="20" t="s">
        <v>1799</v>
      </c>
      <c r="W293" s="20" t="str">
        <f>IF(Q293&lt;&gt;0,3,IF(K293="","",VLOOKUP(K293,'#状态名词'!$J$1:$K$15,2,FALSE)))</f>
        <v/>
      </c>
      <c r="AA293" s="20">
        <v>1</v>
      </c>
      <c r="AB293" s="20">
        <v>5302</v>
      </c>
      <c r="AC293" s="20">
        <v>100</v>
      </c>
      <c r="AD293" s="20">
        <v>1</v>
      </c>
    </row>
    <row r="294" spans="1:31">
      <c r="A294" s="20">
        <v>5304</v>
      </c>
      <c r="B294" s="20" t="s">
        <v>4207</v>
      </c>
      <c r="C294" s="21" t="s">
        <v>8088</v>
      </c>
      <c r="E294" s="20" t="s">
        <v>1685</v>
      </c>
      <c r="H294" s="20">
        <v>0</v>
      </c>
      <c r="J294" s="20" t="s">
        <v>116</v>
      </c>
      <c r="K294" s="20">
        <v>11</v>
      </c>
      <c r="L294" s="20">
        <v>100</v>
      </c>
      <c r="P294" s="20">
        <v>5304</v>
      </c>
      <c r="W294" s="20">
        <f>IF(Q294&lt;&gt;0,3,IF(K294="","",VLOOKUP(K294,'#状态名词'!$J$1:$K$15,2,FALSE)))</f>
        <v>4</v>
      </c>
    </row>
    <row r="295" spans="1:31">
      <c r="A295" s="20">
        <v>5305</v>
      </c>
      <c r="B295" s="20" t="s">
        <v>626</v>
      </c>
      <c r="C295" s="21" t="s">
        <v>6733</v>
      </c>
      <c r="E295" s="20" t="s">
        <v>1800</v>
      </c>
      <c r="W295" s="20" t="str">
        <f>IF(Q295&lt;&gt;0,3,IF(K295="","",VLOOKUP(K295,'#状态名词'!$J$1:$K$15,2,FALSE)))</f>
        <v/>
      </c>
      <c r="AA295" s="20">
        <v>1</v>
      </c>
      <c r="AB295" s="20">
        <v>5304</v>
      </c>
      <c r="AC295" s="20">
        <v>100</v>
      </c>
      <c r="AD295" s="20">
        <v>1</v>
      </c>
    </row>
    <row r="296" spans="1:31">
      <c r="A296" s="20">
        <v>5401</v>
      </c>
      <c r="B296" s="20" t="s">
        <v>4208</v>
      </c>
      <c r="C296" s="21" t="s">
        <v>6734</v>
      </c>
      <c r="E296" s="20" t="s">
        <v>1801</v>
      </c>
      <c r="W296" s="20" t="str">
        <f>IF(Q296&lt;&gt;0,3,IF(K296="","",VLOOKUP(K296,'#状态名词'!$J$1:$K$15,2,FALSE)))</f>
        <v/>
      </c>
      <c r="AA296" s="20">
        <v>1</v>
      </c>
      <c r="AB296" s="20">
        <v>5401</v>
      </c>
      <c r="AC296" s="20">
        <v>100</v>
      </c>
      <c r="AD296" s="20">
        <v>1</v>
      </c>
    </row>
    <row r="297" spans="1:31">
      <c r="A297" s="20">
        <v>5402</v>
      </c>
      <c r="B297" s="20" t="s">
        <v>4209</v>
      </c>
      <c r="C297" s="21" t="s">
        <v>4210</v>
      </c>
      <c r="E297" s="20" t="s">
        <v>1802</v>
      </c>
      <c r="F297" s="20" t="s">
        <v>4211</v>
      </c>
      <c r="H297" s="20">
        <v>35</v>
      </c>
      <c r="J297" s="19" t="s">
        <v>1494</v>
      </c>
      <c r="K297" s="20">
        <v>5</v>
      </c>
      <c r="L297" s="20">
        <v>12</v>
      </c>
      <c r="N297" s="20">
        <v>1</v>
      </c>
      <c r="O297" s="20">
        <v>0</v>
      </c>
      <c r="W297" s="20">
        <f>IF(Q297&lt;&gt;0,3,IF(K297="","",VLOOKUP(K297,'#状态名词'!$J$1:$K$15,2,FALSE)))</f>
        <v>1</v>
      </c>
    </row>
    <row r="298" spans="1:31">
      <c r="A298" s="20">
        <v>5403</v>
      </c>
      <c r="B298" s="20" t="s">
        <v>4212</v>
      </c>
      <c r="C298" s="21" t="s">
        <v>1203</v>
      </c>
      <c r="E298" s="20" t="s">
        <v>1803</v>
      </c>
      <c r="K298" s="20">
        <v>9</v>
      </c>
      <c r="W298" s="20">
        <f>IF(Q298&lt;&gt;0,3,IF(K298="","",VLOOKUP(K298,'#状态名词'!$J$1:$K$15,2,FALSE)))</f>
        <v>3</v>
      </c>
      <c r="AA298" s="20">
        <v>1</v>
      </c>
      <c r="AB298" s="20">
        <v>5402</v>
      </c>
      <c r="AC298" s="20">
        <v>8</v>
      </c>
      <c r="AD298" s="20">
        <v>1</v>
      </c>
    </row>
    <row r="299" spans="1:31">
      <c r="A299" s="20">
        <v>5404</v>
      </c>
      <c r="B299" s="20" t="s">
        <v>4213</v>
      </c>
      <c r="C299" s="21" t="s">
        <v>8999</v>
      </c>
      <c r="E299" s="20" t="s">
        <v>1713</v>
      </c>
      <c r="W299" s="20" t="str">
        <f>IF(Q299&lt;&gt;0,3,IF(K299="","",VLOOKUP(K299,'#状态名词'!$J$1:$K$15,2,FALSE)))</f>
        <v/>
      </c>
      <c r="AA299" s="20">
        <v>1</v>
      </c>
      <c r="AB299" s="20">
        <v>5403</v>
      </c>
      <c r="AC299" s="20">
        <v>100</v>
      </c>
      <c r="AD299" s="20">
        <v>2</v>
      </c>
    </row>
    <row r="300" spans="1:31">
      <c r="A300" s="20">
        <v>5405</v>
      </c>
      <c r="B300" s="20" t="s">
        <v>4214</v>
      </c>
      <c r="C300" s="21" t="s">
        <v>7135</v>
      </c>
      <c r="E300" s="20" t="s">
        <v>1804</v>
      </c>
      <c r="W300" s="20" t="str">
        <f>IF(Q300&lt;&gt;0,3,IF(K300="","",VLOOKUP(K300,'#状态名词'!$J$1:$K$15,2,FALSE)))</f>
        <v/>
      </c>
      <c r="AA300" s="20">
        <v>1</v>
      </c>
      <c r="AB300" s="20">
        <v>5404</v>
      </c>
      <c r="AC300" s="20">
        <v>100</v>
      </c>
      <c r="AD300" s="20">
        <v>1</v>
      </c>
    </row>
    <row r="301" spans="1:31">
      <c r="A301" s="20">
        <v>5501</v>
      </c>
      <c r="B301" s="20" t="s">
        <v>4215</v>
      </c>
      <c r="C301" s="21" t="s">
        <v>4216</v>
      </c>
      <c r="E301" s="20" t="s">
        <v>1713</v>
      </c>
      <c r="F301" s="20" t="s">
        <v>4217</v>
      </c>
      <c r="H301" s="20">
        <v>40</v>
      </c>
      <c r="J301" s="19" t="s">
        <v>1510</v>
      </c>
      <c r="K301" s="20">
        <v>5</v>
      </c>
      <c r="L301" s="20">
        <v>12</v>
      </c>
      <c r="O301" s="20">
        <v>0</v>
      </c>
      <c r="W301" s="20">
        <f>IF(Q301&lt;&gt;0,3,IF(K301="","",VLOOKUP(K301,'#状态名词'!$J$1:$K$15,2,FALSE)))</f>
        <v>1</v>
      </c>
    </row>
    <row r="302" spans="1:31">
      <c r="A302" s="20">
        <v>5502</v>
      </c>
      <c r="B302" s="20" t="s">
        <v>4218</v>
      </c>
      <c r="C302" s="21" t="s">
        <v>6627</v>
      </c>
      <c r="E302" s="20" t="s">
        <v>1805</v>
      </c>
      <c r="G302" s="20">
        <v>5501</v>
      </c>
      <c r="K302" s="20">
        <v>9</v>
      </c>
      <c r="W302" s="20">
        <f>IF(Q302&lt;&gt;0,3,IF(K302="","",VLOOKUP(K302,'#状态名词'!$J$1:$K$15,2,FALSE)))</f>
        <v>3</v>
      </c>
      <c r="AA302" s="20">
        <v>1</v>
      </c>
      <c r="AB302" s="20">
        <v>5501</v>
      </c>
      <c r="AC302" s="20">
        <v>100</v>
      </c>
      <c r="AD302" s="20">
        <v>0</v>
      </c>
    </row>
    <row r="303" spans="1:31">
      <c r="A303" s="20">
        <v>5503</v>
      </c>
      <c r="B303" s="20" t="s">
        <v>4219</v>
      </c>
      <c r="C303" s="21" t="s">
        <v>6735</v>
      </c>
      <c r="E303" s="20" t="s">
        <v>1806</v>
      </c>
      <c r="W303" s="20" t="str">
        <f>IF(Q303&lt;&gt;0,3,IF(K303="","",VLOOKUP(K303,'#状态名词'!$J$1:$K$15,2,FALSE)))</f>
        <v/>
      </c>
      <c r="AA303" s="20">
        <v>1</v>
      </c>
      <c r="AB303" s="20">
        <v>5502</v>
      </c>
      <c r="AC303" s="20">
        <v>100</v>
      </c>
      <c r="AD303" s="20">
        <v>1</v>
      </c>
    </row>
    <row r="304" spans="1:31">
      <c r="A304" s="20">
        <v>5504</v>
      </c>
      <c r="B304" s="20" t="s">
        <v>4220</v>
      </c>
      <c r="C304" s="21" t="s">
        <v>6736</v>
      </c>
      <c r="E304" s="20" t="s">
        <v>1807</v>
      </c>
      <c r="W304" s="20" t="str">
        <f>IF(Q304&lt;&gt;0,3,IF(K304="","",VLOOKUP(K304,'#状态名词'!$J$1:$K$15,2,FALSE)))</f>
        <v/>
      </c>
      <c r="AA304" s="20">
        <v>1</v>
      </c>
      <c r="AB304" s="20">
        <v>5503</v>
      </c>
      <c r="AC304" s="20">
        <v>100</v>
      </c>
      <c r="AD304" s="20">
        <v>1</v>
      </c>
    </row>
    <row r="305" spans="1:30">
      <c r="A305" s="20">
        <v>5505</v>
      </c>
      <c r="B305" s="20" t="s">
        <v>4221</v>
      </c>
      <c r="C305" s="21" t="s">
        <v>6737</v>
      </c>
      <c r="E305" s="20" t="s">
        <v>1808</v>
      </c>
      <c r="Q305" s="20">
        <v>2</v>
      </c>
      <c r="R305" s="20">
        <v>1</v>
      </c>
      <c r="S305" s="20">
        <v>20</v>
      </c>
      <c r="W305" s="20">
        <f>IF(Q305&lt;&gt;0,3,IF(K305="","",VLOOKUP(K305,'#状态名词'!$J$1:$K$15,2,FALSE)))</f>
        <v>3</v>
      </c>
      <c r="AA305" s="20">
        <v>1</v>
      </c>
      <c r="AB305" s="20">
        <v>5504</v>
      </c>
      <c r="AC305" s="20">
        <v>100</v>
      </c>
      <c r="AD305" s="20">
        <v>1</v>
      </c>
    </row>
    <row r="306" spans="1:30">
      <c r="A306" s="20">
        <v>5601</v>
      </c>
      <c r="B306" s="20">
        <v>1</v>
      </c>
      <c r="W306" s="20" t="str">
        <f>IF(Q306&lt;&gt;0,3,IF(K306="","",VLOOKUP(K306,'#状态名词'!$J$1:$K$15,2,FALSE)))</f>
        <v/>
      </c>
    </row>
    <row r="307" spans="1:30">
      <c r="A307" s="20">
        <v>5602</v>
      </c>
      <c r="B307" s="20">
        <v>2</v>
      </c>
      <c r="W307" s="20" t="str">
        <f>IF(Q307&lt;&gt;0,3,IF(K307="","",VLOOKUP(K307,'#状态名词'!$J$1:$K$15,2,FALSE)))</f>
        <v/>
      </c>
    </row>
    <row r="308" spans="1:30">
      <c r="A308" s="20">
        <v>5603</v>
      </c>
      <c r="B308" s="20">
        <v>3</v>
      </c>
      <c r="W308" s="20" t="str">
        <f>IF(Q308&lt;&gt;0,3,IF(K308="","",VLOOKUP(K308,'#状态名词'!$J$1:$K$15,2,FALSE)))</f>
        <v/>
      </c>
    </row>
    <row r="309" spans="1:30">
      <c r="A309" s="20">
        <v>5604</v>
      </c>
      <c r="B309" s="20">
        <v>4</v>
      </c>
      <c r="W309" s="20" t="str">
        <f>IF(Q309&lt;&gt;0,3,IF(K309="","",VLOOKUP(K309,'#状态名词'!$J$1:$K$15,2,FALSE)))</f>
        <v/>
      </c>
    </row>
    <row r="310" spans="1:30">
      <c r="A310" s="20">
        <v>5605</v>
      </c>
      <c r="B310" s="20">
        <v>5</v>
      </c>
      <c r="W310" s="20" t="str">
        <f>IF(Q310&lt;&gt;0,3,IF(K310="","",VLOOKUP(K310,'#状态名词'!$J$1:$K$15,2,FALSE)))</f>
        <v/>
      </c>
    </row>
    <row r="311" spans="1:30">
      <c r="A311" s="20">
        <v>5701</v>
      </c>
      <c r="B311" s="20" t="s">
        <v>4222</v>
      </c>
      <c r="C311" s="21" t="s">
        <v>6738</v>
      </c>
      <c r="E311" s="20" t="s">
        <v>1809</v>
      </c>
      <c r="W311" s="20" t="str">
        <f>IF(Q311&lt;&gt;0,3,IF(K311="","",VLOOKUP(K311,'#状态名词'!$J$1:$K$15,2,FALSE)))</f>
        <v/>
      </c>
      <c r="AA311" s="20">
        <v>1</v>
      </c>
      <c r="AB311" s="20">
        <v>5701</v>
      </c>
      <c r="AC311" s="20">
        <v>100</v>
      </c>
      <c r="AD311" s="20">
        <v>1</v>
      </c>
    </row>
    <row r="312" spans="1:30" ht="27">
      <c r="A312" s="20">
        <v>5702</v>
      </c>
      <c r="B312" s="20" t="s">
        <v>4223</v>
      </c>
      <c r="C312" s="21" t="s">
        <v>4224</v>
      </c>
      <c r="E312" s="20" t="s">
        <v>1810</v>
      </c>
      <c r="F312" s="20" t="s">
        <v>4225</v>
      </c>
      <c r="H312" s="20">
        <v>25</v>
      </c>
      <c r="J312" s="19" t="s">
        <v>1510</v>
      </c>
      <c r="K312" s="20">
        <v>5</v>
      </c>
      <c r="L312" s="20">
        <v>12</v>
      </c>
      <c r="N312" s="20">
        <v>1</v>
      </c>
      <c r="O312" s="20">
        <v>1</v>
      </c>
      <c r="W312" s="20">
        <f>IF(Q312&lt;&gt;0,3,IF(K312="","",VLOOKUP(K312,'#状态名词'!$J$1:$K$15,2,FALSE)))</f>
        <v>1</v>
      </c>
    </row>
    <row r="313" spans="1:30" ht="27">
      <c r="A313" s="20">
        <v>5703</v>
      </c>
      <c r="B313" s="20" t="s">
        <v>4226</v>
      </c>
      <c r="C313" s="21" t="s">
        <v>6996</v>
      </c>
      <c r="E313" s="20" t="s">
        <v>1697</v>
      </c>
      <c r="K313" s="20">
        <v>9</v>
      </c>
      <c r="W313" s="20">
        <f>IF(Q313&lt;&gt;0,3,IF(K313="","",VLOOKUP(K313,'#状态名词'!$J$1:$K$15,2,FALSE)))</f>
        <v>3</v>
      </c>
      <c r="AA313" s="20">
        <v>1</v>
      </c>
      <c r="AB313" s="20">
        <v>5702</v>
      </c>
      <c r="AC313" s="20" t="s">
        <v>603</v>
      </c>
      <c r="AD313" s="20">
        <v>1</v>
      </c>
    </row>
    <row r="314" spans="1:30">
      <c r="W314" s="20" t="str">
        <f>IF(Q314&lt;&gt;0,3,IF(K314="","",VLOOKUP(K314,'#状态名词'!$J$1:$K$15,2,FALSE)))</f>
        <v/>
      </c>
      <c r="AA314" s="20">
        <v>1</v>
      </c>
      <c r="AB314" s="20">
        <v>35</v>
      </c>
      <c r="AC314" s="20" t="s">
        <v>603</v>
      </c>
      <c r="AD314" s="20">
        <v>1</v>
      </c>
    </row>
    <row r="315" spans="1:30">
      <c r="A315" s="20">
        <v>5704</v>
      </c>
      <c r="B315" s="20" t="s">
        <v>4227</v>
      </c>
      <c r="C315" s="21" t="s">
        <v>9110</v>
      </c>
      <c r="E315" s="20" t="s">
        <v>1811</v>
      </c>
      <c r="F315" s="20" t="s">
        <v>4228</v>
      </c>
      <c r="H315" s="20">
        <v>35</v>
      </c>
      <c r="J315" s="19" t="s">
        <v>1511</v>
      </c>
      <c r="K315" s="20">
        <v>5</v>
      </c>
      <c r="L315" s="20">
        <v>15</v>
      </c>
      <c r="N315" s="20">
        <v>2</v>
      </c>
      <c r="O315" s="20">
        <v>0</v>
      </c>
      <c r="W315" s="20">
        <f>IF(Q315&lt;&gt;0,3,IF(K315="","",VLOOKUP(K315,'#状态名词'!$J$1:$K$15,2,FALSE)))</f>
        <v>1</v>
      </c>
    </row>
    <row r="316" spans="1:30" ht="27">
      <c r="A316" s="20">
        <v>5705</v>
      </c>
      <c r="B316" s="20" t="s">
        <v>4229</v>
      </c>
      <c r="C316" s="21" t="s">
        <v>8089</v>
      </c>
      <c r="E316" s="20" t="s">
        <v>1812</v>
      </c>
      <c r="H316" s="20">
        <v>20</v>
      </c>
      <c r="J316" s="19" t="s">
        <v>1512</v>
      </c>
      <c r="K316" s="20">
        <v>11</v>
      </c>
      <c r="P316" s="20">
        <v>5705</v>
      </c>
      <c r="W316" s="20">
        <f>IF(Q316&lt;&gt;0,3,IF(K316="","",VLOOKUP(K316,'#状态名词'!$J$1:$K$15,2,FALSE)))</f>
        <v>4</v>
      </c>
    </row>
    <row r="317" spans="1:30">
      <c r="A317" s="20">
        <v>5801</v>
      </c>
      <c r="B317" s="20" t="s">
        <v>4230</v>
      </c>
      <c r="C317" s="21" t="s">
        <v>6739</v>
      </c>
      <c r="W317" s="20" t="str">
        <f>IF(Q317&lt;&gt;0,3,IF(K317="","",VLOOKUP(K317,'#状态名词'!$J$1:$K$15,2,FALSE)))</f>
        <v/>
      </c>
      <c r="AA317" s="20">
        <v>1</v>
      </c>
      <c r="AB317" s="20">
        <v>5801</v>
      </c>
      <c r="AC317" s="20">
        <v>100</v>
      </c>
      <c r="AD317" s="20">
        <v>1</v>
      </c>
    </row>
    <row r="318" spans="1:30" ht="27">
      <c r="A318" s="20">
        <v>5802</v>
      </c>
      <c r="B318" s="20" t="s">
        <v>4231</v>
      </c>
      <c r="C318" s="21" t="s">
        <v>6468</v>
      </c>
      <c r="F318" s="20" t="s">
        <v>4232</v>
      </c>
      <c r="H318" s="20">
        <v>16</v>
      </c>
      <c r="J318" s="19" t="s">
        <v>113</v>
      </c>
      <c r="K318" s="20">
        <v>5</v>
      </c>
      <c r="L318" s="20">
        <v>8</v>
      </c>
      <c r="T318" s="20">
        <v>15</v>
      </c>
      <c r="W318" s="20">
        <f>IF(Q318&lt;&gt;0,3,IF(K318="","",VLOOKUP(K318,'#状态名词'!$J$1:$K$15,2,FALSE)))</f>
        <v>1</v>
      </c>
      <c r="AA318" s="20">
        <v>1</v>
      </c>
      <c r="AB318" s="20">
        <v>3</v>
      </c>
      <c r="AC318" s="20">
        <v>100</v>
      </c>
      <c r="AD318" s="20">
        <v>0</v>
      </c>
    </row>
    <row r="319" spans="1:30">
      <c r="A319" s="20">
        <v>5803</v>
      </c>
      <c r="B319" s="20" t="s">
        <v>4233</v>
      </c>
      <c r="C319" s="21" t="s">
        <v>6629</v>
      </c>
      <c r="W319" s="20" t="str">
        <f>IF(Q319&lt;&gt;0,3,IF(K319="","",VLOOKUP(K319,'#状态名词'!$J$1:$K$15,2,FALSE)))</f>
        <v/>
      </c>
    </row>
    <row r="320" spans="1:30">
      <c r="A320" s="20">
        <v>5804</v>
      </c>
      <c r="B320" s="20" t="s">
        <v>4234</v>
      </c>
      <c r="C320" s="21" t="s">
        <v>6740</v>
      </c>
      <c r="W320" s="20" t="str">
        <f>IF(Q320&lt;&gt;0,3,IF(K320="","",VLOOKUP(K320,'#状态名词'!$J$1:$K$15,2,FALSE)))</f>
        <v/>
      </c>
      <c r="AA320" s="20">
        <v>1</v>
      </c>
      <c r="AB320" s="20">
        <v>5802</v>
      </c>
      <c r="AC320" s="20">
        <v>100</v>
      </c>
      <c r="AD320" s="20">
        <v>1</v>
      </c>
    </row>
    <row r="321" spans="1:31">
      <c r="A321" s="20">
        <v>5805</v>
      </c>
      <c r="B321" s="20" t="s">
        <v>4235</v>
      </c>
      <c r="C321" s="21" t="s">
        <v>8090</v>
      </c>
      <c r="G321" s="20">
        <v>5802</v>
      </c>
      <c r="W321" s="20" t="str">
        <f>IF(Q321&lt;&gt;0,3,IF(K321="","",VLOOKUP(K321,'#状态名词'!$J$1:$K$15,2,FALSE)))</f>
        <v/>
      </c>
      <c r="AA321" s="20">
        <v>1</v>
      </c>
      <c r="AB321" s="20">
        <v>5803</v>
      </c>
      <c r="AC321" s="20">
        <v>100</v>
      </c>
      <c r="AD321" s="20">
        <v>1</v>
      </c>
    </row>
    <row r="322" spans="1:31">
      <c r="A322" s="20">
        <v>5901</v>
      </c>
      <c r="B322" s="20" t="s">
        <v>3843</v>
      </c>
      <c r="C322" s="21" t="s">
        <v>6741</v>
      </c>
      <c r="W322" s="20" t="str">
        <f>IF(Q322&lt;&gt;0,3,IF(K322="","",VLOOKUP(K322,'#状态名词'!$J$1:$K$15,2,FALSE)))</f>
        <v/>
      </c>
      <c r="AA322" s="20">
        <v>1</v>
      </c>
      <c r="AB322" s="20">
        <v>5901</v>
      </c>
      <c r="AC322" s="20">
        <v>100</v>
      </c>
      <c r="AD322" s="20">
        <v>1</v>
      </c>
    </row>
    <row r="323" spans="1:31">
      <c r="A323" s="20">
        <v>5902</v>
      </c>
      <c r="B323" s="20" t="s">
        <v>4236</v>
      </c>
      <c r="C323" s="21" t="s">
        <v>6469</v>
      </c>
      <c r="F323" s="20" t="s">
        <v>4237</v>
      </c>
      <c r="H323" s="20">
        <v>40</v>
      </c>
      <c r="J323" s="19" t="s">
        <v>1475</v>
      </c>
      <c r="K323" s="20">
        <v>3</v>
      </c>
      <c r="L323" s="20">
        <v>100</v>
      </c>
      <c r="O323" s="20">
        <v>0</v>
      </c>
      <c r="T323" s="20">
        <v>45</v>
      </c>
      <c r="W323" s="20">
        <f>IF(Q323&lt;&gt;0,3,IF(K323="","",VLOOKUP(K323,'#状态名词'!$J$1:$K$15,2,FALSE)))</f>
        <v>3</v>
      </c>
    </row>
    <row r="324" spans="1:31">
      <c r="A324" s="20">
        <v>5903</v>
      </c>
      <c r="B324" s="20" t="s">
        <v>4238</v>
      </c>
      <c r="C324" s="21" t="s">
        <v>6628</v>
      </c>
      <c r="W324" s="20" t="str">
        <f>IF(Q324&lt;&gt;0,3,IF(K324="","",VLOOKUP(K324,'#状态名词'!$J$1:$K$15,2,FALSE)))</f>
        <v/>
      </c>
      <c r="AA324" s="20">
        <v>1</v>
      </c>
      <c r="AB324" s="20">
        <v>5902</v>
      </c>
      <c r="AC324" s="20">
        <v>100</v>
      </c>
      <c r="AD324" s="20">
        <v>0</v>
      </c>
    </row>
    <row r="325" spans="1:31">
      <c r="A325" s="20">
        <v>5904</v>
      </c>
      <c r="B325" s="20" t="s">
        <v>405</v>
      </c>
      <c r="C325" s="21" t="s">
        <v>6743</v>
      </c>
      <c r="W325" s="20" t="str">
        <f>IF(Q325&lt;&gt;0,3,IF(K325="","",VLOOKUP(K325,'#状态名词'!$J$1:$K$15,2,FALSE)))</f>
        <v/>
      </c>
      <c r="AA325" s="20">
        <v>1</v>
      </c>
      <c r="AB325" s="20">
        <v>5903</v>
      </c>
      <c r="AC325" s="20">
        <v>100</v>
      </c>
      <c r="AD325" s="20">
        <v>1</v>
      </c>
    </row>
    <row r="326" spans="1:31">
      <c r="A326" s="20">
        <v>5905</v>
      </c>
      <c r="B326" s="20" t="s">
        <v>4239</v>
      </c>
      <c r="C326" s="21" t="s">
        <v>6470</v>
      </c>
      <c r="K326" s="20">
        <v>9</v>
      </c>
      <c r="W326" s="20">
        <f>IF(Q326&lt;&gt;0,3,IF(K326="","",VLOOKUP(K326,'#状态名词'!$J$1:$K$15,2,FALSE)))</f>
        <v>3</v>
      </c>
      <c r="AA326" s="20">
        <v>1</v>
      </c>
      <c r="AB326" s="20">
        <v>12</v>
      </c>
      <c r="AC326" s="20" t="s">
        <v>530</v>
      </c>
      <c r="AD326" s="20">
        <v>0</v>
      </c>
    </row>
    <row r="327" spans="1:31">
      <c r="A327" s="20">
        <v>6001</v>
      </c>
      <c r="B327" s="20" t="s">
        <v>4240</v>
      </c>
      <c r="C327" s="21" t="s">
        <v>6742</v>
      </c>
      <c r="E327" s="20" t="s">
        <v>1813</v>
      </c>
      <c r="W327" s="20" t="str">
        <f>IF(Q327&lt;&gt;0,3,IF(K327="","",VLOOKUP(K327,'#状态名词'!$J$1:$K$15,2,FALSE)))</f>
        <v/>
      </c>
      <c r="AA327" s="20">
        <v>1</v>
      </c>
      <c r="AB327" s="20">
        <v>6001</v>
      </c>
      <c r="AC327" s="20">
        <v>100</v>
      </c>
      <c r="AD327" s="20">
        <v>1</v>
      </c>
    </row>
    <row r="328" spans="1:31">
      <c r="A328" s="20">
        <v>6002</v>
      </c>
      <c r="B328" s="20" t="s">
        <v>4241</v>
      </c>
      <c r="C328" s="21" t="s">
        <v>4242</v>
      </c>
      <c r="E328" s="20" t="s">
        <v>1784</v>
      </c>
      <c r="F328" s="20" t="s">
        <v>4243</v>
      </c>
      <c r="H328" s="20">
        <v>10</v>
      </c>
      <c r="J328" s="19" t="s">
        <v>1513</v>
      </c>
      <c r="K328" s="20">
        <v>5</v>
      </c>
      <c r="L328" s="20">
        <v>15</v>
      </c>
      <c r="O328" s="20">
        <v>3</v>
      </c>
      <c r="W328" s="20">
        <f>IF(Q328&lt;&gt;0,3,IF(K328="","",VLOOKUP(K328,'#状态名词'!$J$1:$K$15,2,FALSE)))</f>
        <v>1</v>
      </c>
    </row>
    <row r="329" spans="1:31">
      <c r="A329" s="20">
        <v>6003</v>
      </c>
      <c r="B329" s="20" t="s">
        <v>4244</v>
      </c>
      <c r="C329" s="21" t="s">
        <v>6471</v>
      </c>
      <c r="E329" s="20" t="s">
        <v>1814</v>
      </c>
      <c r="K329" s="20">
        <v>6</v>
      </c>
      <c r="W329" s="20">
        <f>IF(Q329&lt;&gt;0,3,IF(K329="","",VLOOKUP(K329,'#状态名词'!$J$1:$K$15,2,FALSE)))</f>
        <v>3</v>
      </c>
      <c r="AA329" s="20">
        <v>1</v>
      </c>
      <c r="AB329" s="20">
        <v>51</v>
      </c>
      <c r="AC329" s="20" t="s">
        <v>4245</v>
      </c>
      <c r="AD329" s="20">
        <v>1</v>
      </c>
      <c r="AE329" s="20">
        <v>1</v>
      </c>
    </row>
    <row r="330" spans="1:31">
      <c r="A330" s="20">
        <v>6004</v>
      </c>
      <c r="B330" s="20" t="s">
        <v>4246</v>
      </c>
      <c r="C330" s="21" t="s">
        <v>6472</v>
      </c>
      <c r="E330" s="20" t="s">
        <v>1738</v>
      </c>
      <c r="K330" s="20">
        <v>9</v>
      </c>
      <c r="W330" s="20">
        <f>IF(Q330&lt;&gt;0,3,IF(K330="","",VLOOKUP(K330,'#状态名词'!$J$1:$K$15,2,FALSE)))</f>
        <v>3</v>
      </c>
      <c r="AA330" s="20">
        <v>1</v>
      </c>
      <c r="AB330" s="20">
        <v>6002</v>
      </c>
      <c r="AC330" s="20">
        <v>100</v>
      </c>
      <c r="AD330" s="20">
        <v>1</v>
      </c>
    </row>
    <row r="331" spans="1:31">
      <c r="A331" s="20">
        <v>6005</v>
      </c>
      <c r="B331" s="20" t="s">
        <v>4247</v>
      </c>
      <c r="C331" s="21" t="s">
        <v>6744</v>
      </c>
      <c r="E331" s="20" t="s">
        <v>1815</v>
      </c>
      <c r="W331" s="20" t="str">
        <f>IF(Q331&lt;&gt;0,3,IF(K331="","",VLOOKUP(K331,'#状态名词'!$J$1:$K$15,2,FALSE)))</f>
        <v/>
      </c>
      <c r="AA331" s="20">
        <v>1</v>
      </c>
      <c r="AB331" s="20">
        <v>6003</v>
      </c>
      <c r="AC331" s="20">
        <v>100</v>
      </c>
      <c r="AD331" s="20">
        <v>1</v>
      </c>
    </row>
    <row r="332" spans="1:31">
      <c r="A332" s="20">
        <v>6101</v>
      </c>
      <c r="B332" s="20" t="s">
        <v>4230</v>
      </c>
      <c r="C332" s="21" t="s">
        <v>6681</v>
      </c>
      <c r="W332" s="20" t="str">
        <f>IF(Q332&lt;&gt;0,3,IF(K332="","",VLOOKUP(K332,'#状态名词'!$J$1:$K$15,2,FALSE)))</f>
        <v/>
      </c>
      <c r="AA332" s="20">
        <v>1</v>
      </c>
      <c r="AB332" s="20">
        <v>6101</v>
      </c>
      <c r="AC332" s="20">
        <v>100</v>
      </c>
      <c r="AD332" s="20">
        <v>1</v>
      </c>
    </row>
    <row r="333" spans="1:31" ht="27">
      <c r="A333" s="20">
        <v>6102</v>
      </c>
      <c r="B333" s="20" t="s">
        <v>4248</v>
      </c>
      <c r="C333" s="21" t="s">
        <v>4249</v>
      </c>
      <c r="F333" s="20" t="s">
        <v>4250</v>
      </c>
      <c r="H333" s="20">
        <v>20</v>
      </c>
      <c r="J333" s="19" t="s">
        <v>1514</v>
      </c>
      <c r="K333" s="20">
        <v>1</v>
      </c>
      <c r="L333" s="20">
        <v>15</v>
      </c>
      <c r="W333" s="20">
        <f>IF(Q333&lt;&gt;0,3,IF(K333="","",VLOOKUP(K333,'#状态名词'!$J$1:$K$15,2,FALSE)))</f>
        <v>1</v>
      </c>
    </row>
    <row r="334" spans="1:31">
      <c r="A334" s="20">
        <v>6103</v>
      </c>
      <c r="B334" s="20" t="s">
        <v>627</v>
      </c>
      <c r="C334" s="21" t="s">
        <v>6473</v>
      </c>
      <c r="K334" s="20">
        <v>9</v>
      </c>
      <c r="W334" s="20">
        <f>IF(Q334&lt;&gt;0,3,IF(K334="","",VLOOKUP(K334,'#状态名词'!$J$1:$K$15,2,FALSE)))</f>
        <v>3</v>
      </c>
      <c r="AA334" s="20">
        <v>1</v>
      </c>
      <c r="AB334" s="20">
        <v>6102</v>
      </c>
      <c r="AC334" s="20">
        <v>100</v>
      </c>
      <c r="AD334" s="20">
        <v>1</v>
      </c>
    </row>
    <row r="335" spans="1:31">
      <c r="A335" s="20">
        <v>6104</v>
      </c>
      <c r="B335" s="20" t="s">
        <v>628</v>
      </c>
      <c r="C335" s="21" t="s">
        <v>6745</v>
      </c>
      <c r="W335" s="20" t="str">
        <f>IF(Q335&lt;&gt;0,3,IF(K335="","",VLOOKUP(K335,'#状态名词'!$J$1:$K$15,2,FALSE)))</f>
        <v/>
      </c>
      <c r="AA335" s="20">
        <v>1</v>
      </c>
      <c r="AB335" s="20">
        <v>6103</v>
      </c>
      <c r="AC335" s="20">
        <v>100</v>
      </c>
      <c r="AD335" s="20">
        <v>1</v>
      </c>
    </row>
    <row r="336" spans="1:31">
      <c r="A336" s="20">
        <v>6105</v>
      </c>
      <c r="B336" s="20" t="s">
        <v>629</v>
      </c>
      <c r="C336" s="21" t="s">
        <v>8091</v>
      </c>
      <c r="W336" s="20" t="str">
        <f>IF(Q336&lt;&gt;0,3,IF(K336="","",VLOOKUP(K336,'#状态名词'!$J$1:$K$15,2,FALSE)))</f>
        <v/>
      </c>
      <c r="AA336" s="20">
        <v>1</v>
      </c>
      <c r="AB336" s="20">
        <v>6104</v>
      </c>
      <c r="AC336" s="20">
        <v>100</v>
      </c>
      <c r="AD336" s="20">
        <v>1</v>
      </c>
    </row>
    <row r="337" spans="1:30">
      <c r="A337" s="20">
        <v>6201</v>
      </c>
      <c r="B337" s="20" t="s">
        <v>630</v>
      </c>
      <c r="C337" s="21" t="s">
        <v>4251</v>
      </c>
      <c r="E337" s="20" t="s">
        <v>1816</v>
      </c>
      <c r="F337" s="20" t="s">
        <v>4252</v>
      </c>
      <c r="H337" s="20">
        <v>15</v>
      </c>
      <c r="J337" s="19" t="s">
        <v>1515</v>
      </c>
      <c r="K337" s="20">
        <v>5</v>
      </c>
      <c r="L337" s="20">
        <v>12</v>
      </c>
      <c r="O337" s="20">
        <v>0</v>
      </c>
      <c r="W337" s="20">
        <f>IF(Q337&lt;&gt;0,3,IF(K337="","",VLOOKUP(K337,'#状态名词'!$J$1:$K$15,2,FALSE)))</f>
        <v>1</v>
      </c>
    </row>
    <row r="338" spans="1:30">
      <c r="A338" s="20">
        <v>6202</v>
      </c>
      <c r="B338" s="20" t="s">
        <v>4253</v>
      </c>
      <c r="C338" s="21" t="s">
        <v>6474</v>
      </c>
      <c r="E338" s="20" t="s">
        <v>1715</v>
      </c>
      <c r="W338" s="20" t="str">
        <f>IF(Q338&lt;&gt;0,3,IF(K338="","",VLOOKUP(K338,'#状态名词'!$J$1:$K$15,2,FALSE)))</f>
        <v/>
      </c>
      <c r="Y338" s="20">
        <v>10</v>
      </c>
      <c r="Z338" s="20">
        <v>6206</v>
      </c>
      <c r="AA338" s="20">
        <v>1</v>
      </c>
      <c r="AB338" s="20">
        <v>6201</v>
      </c>
      <c r="AC338" s="20">
        <v>100</v>
      </c>
      <c r="AD338" s="20">
        <v>2</v>
      </c>
    </row>
    <row r="339" spans="1:30">
      <c r="A339" s="20">
        <v>6203</v>
      </c>
      <c r="B339" s="20" t="s">
        <v>631</v>
      </c>
      <c r="C339" s="21" t="s">
        <v>6746</v>
      </c>
      <c r="E339" s="20" t="s">
        <v>1817</v>
      </c>
      <c r="W339" s="20" t="str">
        <f>IF(Q339&lt;&gt;0,3,IF(K339="","",VLOOKUP(K339,'#状态名词'!$J$1:$K$15,2,FALSE)))</f>
        <v/>
      </c>
      <c r="AA339" s="20">
        <v>1</v>
      </c>
      <c r="AB339" s="20">
        <v>6202</v>
      </c>
      <c r="AC339" s="20">
        <v>100</v>
      </c>
      <c r="AD339" s="20">
        <v>1</v>
      </c>
    </row>
    <row r="340" spans="1:30">
      <c r="A340" s="20">
        <v>6204</v>
      </c>
      <c r="B340" s="20" t="s">
        <v>4254</v>
      </c>
      <c r="C340" s="21" t="s">
        <v>6747</v>
      </c>
      <c r="E340" s="20" t="s">
        <v>1818</v>
      </c>
      <c r="Q340" s="20">
        <v>3</v>
      </c>
      <c r="R340" s="20">
        <v>1</v>
      </c>
      <c r="S340" s="20">
        <v>30</v>
      </c>
      <c r="W340" s="20">
        <f>IF(Q340&lt;&gt;0,3,IF(K340="","",VLOOKUP(K340,'#状态名词'!$J$1:$K$15,2,FALSE)))</f>
        <v>3</v>
      </c>
      <c r="AA340" s="20">
        <v>1</v>
      </c>
      <c r="AB340" s="20">
        <v>6203</v>
      </c>
      <c r="AC340" s="20">
        <v>100</v>
      </c>
      <c r="AD340" s="20">
        <v>1</v>
      </c>
    </row>
    <row r="341" spans="1:30">
      <c r="A341" s="20">
        <v>6205</v>
      </c>
      <c r="B341" s="20" t="s">
        <v>632</v>
      </c>
      <c r="C341" s="21" t="s">
        <v>6748</v>
      </c>
      <c r="E341" s="20" t="s">
        <v>1819</v>
      </c>
      <c r="K341" s="20">
        <v>9</v>
      </c>
      <c r="W341" s="20">
        <f>IF(Q341&lt;&gt;0,3,IF(K341="","",VLOOKUP(K341,'#状态名词'!$J$1:$K$15,2,FALSE)))</f>
        <v>3</v>
      </c>
      <c r="AA341" s="20">
        <v>1</v>
      </c>
      <c r="AB341" s="20">
        <v>6204</v>
      </c>
      <c r="AC341" s="20">
        <v>100</v>
      </c>
      <c r="AD341" s="20">
        <v>1</v>
      </c>
    </row>
    <row r="342" spans="1:30">
      <c r="A342" s="20">
        <v>6206</v>
      </c>
      <c r="B342" s="20" t="s">
        <v>4255</v>
      </c>
      <c r="C342" s="21" t="s">
        <v>6630</v>
      </c>
      <c r="G342" s="20">
        <v>6201</v>
      </c>
      <c r="K342" s="20">
        <v>9</v>
      </c>
      <c r="W342" s="20">
        <f>IF(Q342&lt;&gt;0,3,IF(K342="","",VLOOKUP(K342,'#状态名词'!$J$1:$K$15,2,FALSE)))</f>
        <v>3</v>
      </c>
      <c r="AA342" s="20">
        <v>1</v>
      </c>
      <c r="AB342" s="20">
        <v>44</v>
      </c>
      <c r="AC342" s="20">
        <v>100</v>
      </c>
      <c r="AD342" s="20">
        <v>1</v>
      </c>
    </row>
    <row r="343" spans="1:30">
      <c r="A343" s="20">
        <v>6301</v>
      </c>
      <c r="B343" s="20" t="s">
        <v>3988</v>
      </c>
      <c r="C343" s="21" t="s">
        <v>6749</v>
      </c>
      <c r="E343" s="20" t="s">
        <v>1820</v>
      </c>
      <c r="W343" s="20" t="str">
        <f>IF(Q343&lt;&gt;0,3,IF(K343="","",VLOOKUP(K343,'#状态名词'!$J$1:$K$15,2,FALSE)))</f>
        <v/>
      </c>
      <c r="AA343" s="20">
        <v>1</v>
      </c>
      <c r="AB343" s="20">
        <v>6301</v>
      </c>
      <c r="AC343" s="20">
        <v>100</v>
      </c>
      <c r="AD343" s="20">
        <v>1</v>
      </c>
    </row>
    <row r="344" spans="1:30">
      <c r="A344" s="20">
        <v>6302</v>
      </c>
      <c r="B344" s="20" t="s">
        <v>4256</v>
      </c>
      <c r="C344" s="21" t="s">
        <v>6750</v>
      </c>
      <c r="E344" s="20" t="s">
        <v>1821</v>
      </c>
      <c r="W344" s="20" t="str">
        <f>IF(Q344&lt;&gt;0,3,IF(K344="","",VLOOKUP(K344,'#状态名词'!$J$1:$K$15,2,FALSE)))</f>
        <v/>
      </c>
      <c r="AA344" s="20">
        <v>1</v>
      </c>
      <c r="AB344" s="20">
        <v>6302</v>
      </c>
      <c r="AC344" s="20">
        <v>100</v>
      </c>
      <c r="AD344" s="20">
        <v>1</v>
      </c>
    </row>
    <row r="345" spans="1:30">
      <c r="A345" s="20">
        <v>6303</v>
      </c>
      <c r="B345" s="20" t="s">
        <v>4257</v>
      </c>
      <c r="C345" s="21" t="s">
        <v>6751</v>
      </c>
      <c r="E345" s="20" t="s">
        <v>1822</v>
      </c>
      <c r="W345" s="20" t="str">
        <f>IF(Q345&lt;&gt;0,3,IF(K345="","",VLOOKUP(K345,'#状态名词'!$J$1:$K$15,2,FALSE)))</f>
        <v/>
      </c>
      <c r="AA345" s="20">
        <v>1</v>
      </c>
      <c r="AB345" s="20">
        <v>6303</v>
      </c>
      <c r="AC345" s="20">
        <v>100</v>
      </c>
      <c r="AD345" s="20">
        <v>1</v>
      </c>
    </row>
    <row r="346" spans="1:30">
      <c r="A346" s="20">
        <v>6304</v>
      </c>
      <c r="B346" s="20" t="s">
        <v>4258</v>
      </c>
      <c r="C346" s="21" t="s">
        <v>6752</v>
      </c>
      <c r="E346" s="20" t="s">
        <v>1672</v>
      </c>
      <c r="W346" s="20" t="str">
        <f>IF(Q346&lt;&gt;0,3,IF(K346="","",VLOOKUP(K346,'#状态名词'!$J$1:$K$15,2,FALSE)))</f>
        <v/>
      </c>
      <c r="AA346" s="20">
        <v>1</v>
      </c>
      <c r="AB346" s="20">
        <v>6304</v>
      </c>
      <c r="AC346" s="20">
        <v>100</v>
      </c>
      <c r="AD346" s="20">
        <v>1</v>
      </c>
    </row>
    <row r="347" spans="1:30">
      <c r="A347" s="20">
        <v>6305</v>
      </c>
      <c r="B347" s="20" t="s">
        <v>4259</v>
      </c>
      <c r="C347" s="21" t="s">
        <v>6753</v>
      </c>
      <c r="E347" s="20" t="s">
        <v>1823</v>
      </c>
      <c r="W347" s="20" t="str">
        <f>IF(Q347&lt;&gt;0,3,IF(K347="","",VLOOKUP(K347,'#状态名词'!$J$1:$K$15,2,FALSE)))</f>
        <v/>
      </c>
      <c r="AA347" s="20">
        <v>1</v>
      </c>
      <c r="AB347" s="20">
        <v>6305</v>
      </c>
      <c r="AC347" s="20">
        <v>100</v>
      </c>
      <c r="AD347" s="20">
        <v>1</v>
      </c>
    </row>
    <row r="348" spans="1:30">
      <c r="A348" s="20">
        <v>6401</v>
      </c>
      <c r="B348" s="20" t="s">
        <v>4260</v>
      </c>
      <c r="C348" s="21" t="s">
        <v>6754</v>
      </c>
      <c r="W348" s="20" t="str">
        <f>IF(Q348&lt;&gt;0,3,IF(K348="","",VLOOKUP(K348,'#状态名词'!$J$1:$K$15,2,FALSE)))</f>
        <v/>
      </c>
      <c r="AA348" s="20">
        <v>1</v>
      </c>
      <c r="AB348" s="20">
        <v>6401</v>
      </c>
      <c r="AC348" s="20">
        <v>100</v>
      </c>
      <c r="AD348" s="20">
        <v>1</v>
      </c>
    </row>
    <row r="349" spans="1:30">
      <c r="A349" s="20">
        <v>6402</v>
      </c>
      <c r="B349" s="20" t="s">
        <v>4261</v>
      </c>
      <c r="C349" s="21" t="s">
        <v>6755</v>
      </c>
      <c r="W349" s="20" t="str">
        <f>IF(Q349&lt;&gt;0,3,IF(K349="","",VLOOKUP(K349,'#状态名词'!$J$1:$K$15,2,FALSE)))</f>
        <v/>
      </c>
      <c r="AA349" s="20">
        <v>1</v>
      </c>
      <c r="AB349" s="20">
        <v>6402</v>
      </c>
      <c r="AC349" s="20">
        <v>100</v>
      </c>
      <c r="AD349" s="20">
        <v>1</v>
      </c>
    </row>
    <row r="350" spans="1:30" ht="27">
      <c r="A350" s="20">
        <v>6403</v>
      </c>
      <c r="B350" s="20" t="s">
        <v>4262</v>
      </c>
      <c r="C350" s="21" t="s">
        <v>9109</v>
      </c>
      <c r="F350" s="20" t="s">
        <v>4263</v>
      </c>
      <c r="H350" s="20">
        <v>25</v>
      </c>
      <c r="J350" s="19" t="s">
        <v>1495</v>
      </c>
      <c r="K350" s="20">
        <v>5</v>
      </c>
      <c r="L350" s="20">
        <v>5</v>
      </c>
      <c r="N350" s="20">
        <v>3</v>
      </c>
      <c r="O350" s="20">
        <v>0</v>
      </c>
      <c r="W350" s="20">
        <f>IF(Q350&lt;&gt;0,3,IF(K350="","",VLOOKUP(K350,'#状态名词'!$J$1:$K$15,2,FALSE)))</f>
        <v>1</v>
      </c>
    </row>
    <row r="351" spans="1:30">
      <c r="A351" s="20">
        <v>6404</v>
      </c>
      <c r="B351" s="20" t="s">
        <v>4264</v>
      </c>
      <c r="C351" s="21" t="s">
        <v>6756</v>
      </c>
      <c r="W351" s="20" t="str">
        <f>IF(Q351&lt;&gt;0,3,IF(K351="","",VLOOKUP(K351,'#状态名词'!$J$1:$K$15,2,FALSE)))</f>
        <v/>
      </c>
      <c r="AA351" s="20">
        <v>1</v>
      </c>
      <c r="AB351" s="20">
        <v>6403</v>
      </c>
      <c r="AC351" s="20">
        <v>100</v>
      </c>
      <c r="AD351" s="20">
        <v>1</v>
      </c>
    </row>
    <row r="352" spans="1:30">
      <c r="A352" s="20">
        <v>6405</v>
      </c>
      <c r="B352" s="20" t="s">
        <v>4265</v>
      </c>
      <c r="C352" s="21" t="s">
        <v>7920</v>
      </c>
      <c r="K352" s="20">
        <v>9</v>
      </c>
      <c r="W352" s="20">
        <f>IF(Q352&lt;&gt;0,3,IF(K352="","",VLOOKUP(K352,'#状态名词'!$J$1:$K$15,2,FALSE)))</f>
        <v>3</v>
      </c>
      <c r="AA352" s="20">
        <v>1</v>
      </c>
      <c r="AB352" s="20">
        <v>6404</v>
      </c>
      <c r="AC352" s="20">
        <v>100</v>
      </c>
      <c r="AD352" s="20">
        <v>0</v>
      </c>
    </row>
    <row r="353" spans="1:31">
      <c r="A353" s="39">
        <v>6501</v>
      </c>
      <c r="B353" s="75" t="s">
        <v>9083</v>
      </c>
      <c r="C353" s="21" t="s">
        <v>9094</v>
      </c>
      <c r="E353" s="20" t="s">
        <v>1720</v>
      </c>
      <c r="W353" s="20" t="str">
        <f>IF(Q353&lt;&gt;0,3,IF(K353="","",VLOOKUP(K353,'#状态名词'!$J$1:$K$15,2,FALSE)))</f>
        <v/>
      </c>
      <c r="AA353" s="20">
        <v>1</v>
      </c>
      <c r="AB353" s="20">
        <v>6501</v>
      </c>
      <c r="AC353" s="20">
        <v>100</v>
      </c>
      <c r="AD353" s="20">
        <v>1</v>
      </c>
    </row>
    <row r="354" spans="1:31">
      <c r="A354" s="39">
        <v>6502</v>
      </c>
      <c r="B354" s="75" t="s">
        <v>9266</v>
      </c>
      <c r="C354" s="20" t="s">
        <v>9095</v>
      </c>
      <c r="E354" s="20" t="s">
        <v>9151</v>
      </c>
      <c r="W354" s="20" t="str">
        <f>IF(Q354&lt;&gt;0,3,IF(K354="","",VLOOKUP(K354,'#状态名词'!$J$1:$K$15,2,FALSE)))</f>
        <v/>
      </c>
      <c r="AA354" s="20">
        <v>1</v>
      </c>
      <c r="AB354" s="20">
        <v>6502</v>
      </c>
      <c r="AC354" s="20">
        <v>100</v>
      </c>
      <c r="AD354" s="20">
        <v>1</v>
      </c>
    </row>
    <row r="355" spans="1:31">
      <c r="A355" s="39">
        <v>6503</v>
      </c>
      <c r="B355" s="75" t="s">
        <v>9080</v>
      </c>
      <c r="C355" s="21" t="s">
        <v>9114</v>
      </c>
      <c r="E355" s="20" t="s">
        <v>9153</v>
      </c>
      <c r="W355" s="20" t="str">
        <f>IF(Q355&lt;&gt;0,3,IF(K355="","",VLOOKUP(K355,'#状态名词'!$J$1:$K$15,2,FALSE)))</f>
        <v/>
      </c>
      <c r="AA355" s="20">
        <v>1</v>
      </c>
      <c r="AB355" s="20">
        <v>6503</v>
      </c>
      <c r="AC355" s="20">
        <v>100</v>
      </c>
      <c r="AD355" s="20">
        <v>1</v>
      </c>
    </row>
    <row r="356" spans="1:31">
      <c r="A356" s="39">
        <v>6504</v>
      </c>
      <c r="B356" s="75" t="s">
        <v>9079</v>
      </c>
      <c r="C356" s="21" t="s">
        <v>9088</v>
      </c>
      <c r="E356" s="20" t="s">
        <v>9152</v>
      </c>
      <c r="K356" s="20">
        <v>9</v>
      </c>
      <c r="W356" s="20">
        <f>IF(Q356&lt;&gt;0,3,IF(K356="","",VLOOKUP(K356,'#状态名词'!$J$1:$K$15,2,FALSE)))</f>
        <v>3</v>
      </c>
      <c r="AA356" s="20">
        <v>1</v>
      </c>
      <c r="AB356" s="20">
        <v>6504</v>
      </c>
      <c r="AC356" s="20">
        <v>100</v>
      </c>
      <c r="AD356" s="20">
        <v>1</v>
      </c>
    </row>
    <row r="357" spans="1:31" ht="27">
      <c r="A357" s="39">
        <v>6505</v>
      </c>
      <c r="B357" s="20" t="s">
        <v>9082</v>
      </c>
      <c r="C357" s="21" t="s">
        <v>9267</v>
      </c>
      <c r="E357" s="20" t="s">
        <v>1921</v>
      </c>
      <c r="F357" s="20" t="s">
        <v>9105</v>
      </c>
      <c r="H357" s="20">
        <v>25</v>
      </c>
      <c r="J357" t="s">
        <v>1517</v>
      </c>
      <c r="K357" s="20">
        <v>5</v>
      </c>
      <c r="L357" s="20">
        <v>15</v>
      </c>
      <c r="O357" s="20">
        <v>1</v>
      </c>
      <c r="W357" s="20">
        <f>IF(Q357&lt;&gt;0,3,IF(K357="","",VLOOKUP(K357,'#状态名词'!$J$1:$K$15,2,FALSE)))</f>
        <v>1</v>
      </c>
      <c r="AA357" s="20">
        <v>1</v>
      </c>
      <c r="AB357" s="20">
        <v>6505</v>
      </c>
      <c r="AC357" s="20">
        <v>100</v>
      </c>
      <c r="AD357" s="20">
        <v>1</v>
      </c>
    </row>
    <row r="358" spans="1:31">
      <c r="A358" s="39">
        <v>6601</v>
      </c>
      <c r="B358" s="75" t="s">
        <v>9066</v>
      </c>
      <c r="C358" s="21" t="s">
        <v>9111</v>
      </c>
      <c r="E358" s="20" t="s">
        <v>1779</v>
      </c>
      <c r="F358" s="20" t="s">
        <v>9106</v>
      </c>
      <c r="H358" s="20">
        <v>25</v>
      </c>
      <c r="J358" t="s">
        <v>9268</v>
      </c>
      <c r="K358" s="20">
        <v>5</v>
      </c>
      <c r="L358" s="20">
        <v>15</v>
      </c>
      <c r="O358" s="20">
        <v>0</v>
      </c>
      <c r="W358" s="20">
        <f>IF(Q358&lt;&gt;0,3,IF(K358="","",VLOOKUP(K358,'#状态名词'!$J$1:$K$15,2,FALSE)))</f>
        <v>1</v>
      </c>
      <c r="AA358" s="20">
        <v>1</v>
      </c>
      <c r="AB358" s="20">
        <v>3</v>
      </c>
      <c r="AC358" s="20">
        <v>100</v>
      </c>
      <c r="AD358" s="20">
        <v>0</v>
      </c>
      <c r="AE358" s="20">
        <v>3</v>
      </c>
    </row>
    <row r="359" spans="1:31">
      <c r="A359" s="39">
        <v>6602</v>
      </c>
      <c r="B359" s="75" t="s">
        <v>9067</v>
      </c>
      <c r="C359" s="20" t="s">
        <v>9096</v>
      </c>
      <c r="E359" s="20" t="s">
        <v>9155</v>
      </c>
      <c r="W359" s="20" t="str">
        <f>IF(Q359&lt;&gt;0,3,IF(K359="","",VLOOKUP(K359,'#状态名词'!$J$1:$K$15,2,FALSE)))</f>
        <v/>
      </c>
      <c r="AA359" s="20">
        <v>1</v>
      </c>
      <c r="AB359" s="20">
        <v>6602</v>
      </c>
      <c r="AC359" s="20">
        <v>100</v>
      </c>
      <c r="AD359" s="20">
        <v>2</v>
      </c>
    </row>
    <row r="360" spans="1:31">
      <c r="A360" s="39">
        <v>6603</v>
      </c>
      <c r="B360" s="75" t="s">
        <v>9065</v>
      </c>
      <c r="C360" s="21" t="s">
        <v>9097</v>
      </c>
      <c r="E360" s="20" t="s">
        <v>9154</v>
      </c>
      <c r="W360" s="20" t="str">
        <f>IF(Q360&lt;&gt;0,3,IF(K360="","",VLOOKUP(K360,'#状态名词'!$J$1:$K$15,2,FALSE)))</f>
        <v/>
      </c>
      <c r="AA360" s="20">
        <v>1</v>
      </c>
      <c r="AB360" s="20">
        <v>6603</v>
      </c>
      <c r="AC360" s="20">
        <v>100</v>
      </c>
      <c r="AD360" s="20">
        <v>1</v>
      </c>
    </row>
    <row r="361" spans="1:31">
      <c r="A361" s="39">
        <v>6604</v>
      </c>
      <c r="B361" s="75" t="s">
        <v>9090</v>
      </c>
      <c r="C361" s="21" t="s">
        <v>9098</v>
      </c>
      <c r="E361" s="20" t="s">
        <v>9156</v>
      </c>
      <c r="W361" s="20" t="str">
        <f>IF(Q361&lt;&gt;0,3,IF(K361="","",VLOOKUP(K361,'#状态名词'!$J$1:$K$15,2,FALSE)))</f>
        <v/>
      </c>
      <c r="AA361" s="20">
        <v>1</v>
      </c>
      <c r="AB361" s="20">
        <v>6604</v>
      </c>
      <c r="AC361" s="20">
        <v>100</v>
      </c>
      <c r="AD361" s="20">
        <v>2</v>
      </c>
    </row>
    <row r="362" spans="1:31">
      <c r="A362" s="39">
        <v>6605</v>
      </c>
      <c r="B362" s="75" t="s">
        <v>9064</v>
      </c>
      <c r="C362" s="21" t="s">
        <v>9272</v>
      </c>
      <c r="E362" s="20" t="s">
        <v>9157</v>
      </c>
      <c r="K362" s="20">
        <v>9</v>
      </c>
      <c r="W362" s="20">
        <f>IF(Q362&lt;&gt;0,3,IF(K362="","",VLOOKUP(K362,'#状态名词'!$J$1:$K$15,2,FALSE)))</f>
        <v>3</v>
      </c>
      <c r="AA362" s="20">
        <v>1</v>
      </c>
      <c r="AB362" s="20">
        <v>6605</v>
      </c>
      <c r="AC362" s="20">
        <v>100</v>
      </c>
      <c r="AD362" s="20">
        <v>1</v>
      </c>
    </row>
    <row r="363" spans="1:31">
      <c r="A363" s="39">
        <v>6701</v>
      </c>
      <c r="B363" s="20" t="s">
        <v>9089</v>
      </c>
      <c r="C363" s="21" t="s">
        <v>9100</v>
      </c>
      <c r="E363" s="20" t="s">
        <v>9158</v>
      </c>
      <c r="W363" s="20" t="str">
        <f>IF(Q363&lt;&gt;0,3,IF(K363="","",VLOOKUP(K363,'#状态名词'!$J$1:$K$15,2,FALSE)))</f>
        <v/>
      </c>
      <c r="AA363" s="20">
        <v>1</v>
      </c>
      <c r="AB363" s="20">
        <v>6701</v>
      </c>
      <c r="AC363" s="20">
        <v>100</v>
      </c>
      <c r="AD363" s="20">
        <v>1</v>
      </c>
    </row>
    <row r="364" spans="1:31">
      <c r="A364" s="39">
        <v>6702</v>
      </c>
      <c r="B364" s="75" t="s">
        <v>9068</v>
      </c>
      <c r="C364" s="21" t="s">
        <v>9112</v>
      </c>
      <c r="E364" s="20" t="s">
        <v>1653</v>
      </c>
      <c r="F364" s="20" t="s">
        <v>9107</v>
      </c>
      <c r="H364" s="20">
        <v>25</v>
      </c>
      <c r="J364" t="s">
        <v>9269</v>
      </c>
      <c r="K364" s="20">
        <v>5</v>
      </c>
      <c r="L364" s="20">
        <v>15</v>
      </c>
      <c r="O364" s="20">
        <v>1</v>
      </c>
      <c r="W364" s="20">
        <f>IF(Q364&lt;&gt;0,3,IF(K364="","",VLOOKUP(K364,'#状态名词'!$J$1:$K$15,2,FALSE)))</f>
        <v>1</v>
      </c>
    </row>
    <row r="365" spans="1:31">
      <c r="A365" s="39">
        <v>6703</v>
      </c>
      <c r="B365" s="75" t="s">
        <v>9084</v>
      </c>
      <c r="C365" s="21" t="s">
        <v>9265</v>
      </c>
      <c r="E365" s="20" t="s">
        <v>1968</v>
      </c>
      <c r="K365" s="20">
        <v>9</v>
      </c>
      <c r="W365" s="20">
        <f>IF(Q365&lt;&gt;0,3,IF(K365="","",VLOOKUP(K365,'#状态名词'!$J$1:$K$15,2,FALSE)))</f>
        <v>3</v>
      </c>
      <c r="AA365" s="20">
        <v>1</v>
      </c>
      <c r="AB365" s="20">
        <v>6702</v>
      </c>
      <c r="AC365" s="20">
        <v>100</v>
      </c>
      <c r="AD365" s="20">
        <v>2</v>
      </c>
    </row>
    <row r="366" spans="1:31">
      <c r="A366" s="39"/>
      <c r="B366" s="75"/>
      <c r="AA366" s="20">
        <v>1</v>
      </c>
      <c r="AB366" s="20">
        <v>4</v>
      </c>
      <c r="AC366" s="20">
        <v>100</v>
      </c>
      <c r="AD366" s="20">
        <v>0</v>
      </c>
      <c r="AE366" s="20">
        <v>3</v>
      </c>
    </row>
    <row r="367" spans="1:31">
      <c r="A367" s="39"/>
      <c r="B367" s="75"/>
      <c r="AA367" s="20">
        <v>1</v>
      </c>
      <c r="AB367" s="20">
        <v>21</v>
      </c>
      <c r="AC367" s="20">
        <v>20</v>
      </c>
      <c r="AD367" s="20">
        <v>0</v>
      </c>
      <c r="AE367" s="20">
        <v>1</v>
      </c>
    </row>
    <row r="368" spans="1:31" ht="27">
      <c r="A368" s="39">
        <v>6704</v>
      </c>
      <c r="B368" s="75" t="s">
        <v>9085</v>
      </c>
      <c r="C368" s="21" t="s">
        <v>9117</v>
      </c>
      <c r="E368" s="20" t="s">
        <v>1790</v>
      </c>
      <c r="K368" s="20">
        <v>6</v>
      </c>
      <c r="W368" s="20">
        <f>IF(Q368&lt;&gt;0,3,IF(K368="","",VLOOKUP(K368,'#状态名词'!$J$1:$K$15,2,FALSE)))</f>
        <v>3</v>
      </c>
      <c r="Y368" s="20">
        <v>5</v>
      </c>
      <c r="Z368" s="20">
        <v>6706</v>
      </c>
      <c r="AA368" s="20">
        <v>1</v>
      </c>
      <c r="AB368" s="20">
        <v>6704</v>
      </c>
      <c r="AC368" s="20">
        <v>100</v>
      </c>
      <c r="AD368" s="20">
        <v>1</v>
      </c>
    </row>
    <row r="369" spans="1:31">
      <c r="A369" s="39">
        <v>6705</v>
      </c>
      <c r="B369" s="75" t="s">
        <v>9069</v>
      </c>
      <c r="C369" s="21" t="s">
        <v>9101</v>
      </c>
      <c r="E369" s="20" t="s">
        <v>9159</v>
      </c>
      <c r="W369" s="20" t="str">
        <f>IF(Q369&lt;&gt;0,3,IF(K369="","",VLOOKUP(K369,'#状态名词'!$J$1:$K$15,2,FALSE)))</f>
        <v/>
      </c>
      <c r="AA369" s="20">
        <v>1</v>
      </c>
      <c r="AB369" s="20">
        <v>6705</v>
      </c>
      <c r="AC369" s="20">
        <v>100</v>
      </c>
      <c r="AD369" s="20">
        <v>0</v>
      </c>
    </row>
    <row r="370" spans="1:31">
      <c r="A370" s="39">
        <v>6706</v>
      </c>
      <c r="B370" s="75" t="s">
        <v>9115</v>
      </c>
      <c r="C370" s="21" t="s">
        <v>9163</v>
      </c>
      <c r="L370" s="20">
        <v>100</v>
      </c>
      <c r="P370" s="20">
        <v>6706</v>
      </c>
      <c r="W370" s="20" t="str">
        <f>IF(Q370&lt;&gt;0,3,IF(K370="","",VLOOKUP(K370,'#状态名词'!$J$1:$K$15,2,FALSE)))</f>
        <v/>
      </c>
    </row>
    <row r="371" spans="1:31">
      <c r="A371" s="39">
        <v>6801</v>
      </c>
      <c r="B371" s="75" t="s">
        <v>9086</v>
      </c>
      <c r="C371" s="21" t="s">
        <v>9113</v>
      </c>
      <c r="E371" s="20" t="s">
        <v>9160</v>
      </c>
      <c r="F371" s="20" t="s">
        <v>9108</v>
      </c>
      <c r="H371" s="20">
        <v>25</v>
      </c>
      <c r="J371" t="s">
        <v>1473</v>
      </c>
      <c r="K371" s="20">
        <v>5</v>
      </c>
      <c r="L371" s="20">
        <v>15</v>
      </c>
      <c r="O371" s="20">
        <v>0</v>
      </c>
      <c r="W371" s="20">
        <f>IF(Q371&lt;&gt;0,3,IF(K371="","",VLOOKUP(K371,'#状态名词'!$J$1:$K$15,2,FALSE)))</f>
        <v>1</v>
      </c>
    </row>
    <row r="372" spans="1:31">
      <c r="A372" s="39">
        <v>6802</v>
      </c>
      <c r="B372" s="75" t="s">
        <v>9071</v>
      </c>
      <c r="C372" s="21" t="s">
        <v>9102</v>
      </c>
      <c r="E372" s="20" t="s">
        <v>9161</v>
      </c>
      <c r="K372" s="20">
        <v>9</v>
      </c>
      <c r="W372" s="20">
        <f>IF(Q372&lt;&gt;0,3,IF(K372="","",VLOOKUP(K372,'#状态名词'!$J$1:$K$15,2,FALSE)))</f>
        <v>3</v>
      </c>
      <c r="AA372" s="20">
        <v>1</v>
      </c>
      <c r="AB372" s="20">
        <v>6801</v>
      </c>
      <c r="AC372" s="20">
        <v>100</v>
      </c>
      <c r="AD372" s="20">
        <v>2</v>
      </c>
    </row>
    <row r="373" spans="1:31">
      <c r="A373" s="39"/>
      <c r="B373" s="75"/>
      <c r="AA373" s="20">
        <v>1</v>
      </c>
      <c r="AB373" s="20">
        <v>6802</v>
      </c>
      <c r="AC373" s="20">
        <v>100</v>
      </c>
      <c r="AD373" s="20">
        <v>1</v>
      </c>
    </row>
    <row r="374" spans="1:31">
      <c r="A374" s="39">
        <v>6803</v>
      </c>
      <c r="B374" s="75" t="s">
        <v>9070</v>
      </c>
      <c r="C374" s="20" t="s">
        <v>9273</v>
      </c>
      <c r="E374" s="20" t="s">
        <v>1745</v>
      </c>
      <c r="K374" s="20">
        <v>9</v>
      </c>
      <c r="W374" s="20">
        <f>IF(Q374&lt;&gt;0,3,IF(K374="","",VLOOKUP(K374,'#状态名词'!$J$1:$K$15,2,FALSE)))</f>
        <v>3</v>
      </c>
      <c r="AA374" s="20">
        <v>1</v>
      </c>
      <c r="AB374" s="20">
        <v>6803</v>
      </c>
      <c r="AC374" s="20">
        <v>100</v>
      </c>
      <c r="AD374" s="20">
        <v>1</v>
      </c>
    </row>
    <row r="375" spans="1:31">
      <c r="A375" s="39">
        <v>6804</v>
      </c>
      <c r="B375" s="75" t="s">
        <v>9072</v>
      </c>
      <c r="C375" s="21" t="s">
        <v>9103</v>
      </c>
      <c r="E375" s="20" t="s">
        <v>1817</v>
      </c>
      <c r="K375" s="20">
        <v>6</v>
      </c>
      <c r="W375" s="20">
        <f>IF(Q375&lt;&gt;0,3,IF(K375="","",VLOOKUP(K375,'#状态名词'!$J$1:$K$15,2,FALSE)))</f>
        <v>3</v>
      </c>
      <c r="AA375" s="20">
        <v>1</v>
      </c>
      <c r="AB375" s="20">
        <v>6804</v>
      </c>
      <c r="AC375" s="20">
        <v>100</v>
      </c>
      <c r="AD375" s="20">
        <v>0</v>
      </c>
    </row>
    <row r="376" spans="1:31">
      <c r="A376" s="39"/>
      <c r="B376" s="75"/>
      <c r="AA376" s="20">
        <v>1</v>
      </c>
      <c r="AB376" s="20">
        <v>6805</v>
      </c>
      <c r="AC376" s="20">
        <v>100</v>
      </c>
      <c r="AD376" s="20">
        <v>1</v>
      </c>
    </row>
    <row r="377" spans="1:31">
      <c r="A377" s="39">
        <v>6805</v>
      </c>
      <c r="B377" s="75" t="s">
        <v>9087</v>
      </c>
      <c r="C377" s="21" t="s">
        <v>9104</v>
      </c>
      <c r="E377" s="20" t="s">
        <v>9162</v>
      </c>
      <c r="W377" s="20" t="str">
        <f>IF(Q377&lt;&gt;0,3,IF(K377="","",VLOOKUP(K377,'#状态名词'!$J$1:$K$15,2,FALSE)))</f>
        <v/>
      </c>
      <c r="AA377" s="20">
        <v>1</v>
      </c>
      <c r="AB377" s="20">
        <v>6806</v>
      </c>
      <c r="AC377" s="20">
        <v>100</v>
      </c>
      <c r="AD377" s="20">
        <v>1</v>
      </c>
    </row>
    <row r="378" spans="1:31">
      <c r="A378" s="20">
        <v>10001</v>
      </c>
      <c r="B378" s="20" t="s">
        <v>9091</v>
      </c>
      <c r="C378" s="21" t="s">
        <v>4266</v>
      </c>
      <c r="E378" s="20" t="s">
        <v>1824</v>
      </c>
      <c r="F378" s="20" t="s">
        <v>4267</v>
      </c>
      <c r="H378" s="20">
        <v>30</v>
      </c>
      <c r="J378" s="20" t="s">
        <v>115</v>
      </c>
      <c r="K378" s="20">
        <v>5</v>
      </c>
      <c r="L378" s="20">
        <v>100</v>
      </c>
      <c r="O378" s="20">
        <v>0</v>
      </c>
      <c r="T378" s="20">
        <v>0</v>
      </c>
      <c r="W378" s="20">
        <f>IF(Q378&lt;&gt;0,3,IF(K378="","",VLOOKUP(K378,'#状态名词'!$J$1:$K$15,2,FALSE)))</f>
        <v>1</v>
      </c>
    </row>
    <row r="379" spans="1:31">
      <c r="A379" s="20">
        <v>10002</v>
      </c>
      <c r="B379" s="20" t="s">
        <v>9092</v>
      </c>
      <c r="C379" s="21" t="s">
        <v>6757</v>
      </c>
      <c r="K379" s="20">
        <v>0</v>
      </c>
      <c r="L379" s="20">
        <v>100</v>
      </c>
      <c r="W379" s="20">
        <f>IF(Q379&lt;&gt;0,3,IF(K379="","",VLOOKUP(K379,'#状态名词'!$J$1:$K$15,2,FALSE)))</f>
        <v>0</v>
      </c>
      <c r="AA379" s="20">
        <v>1</v>
      </c>
      <c r="AB379" s="20">
        <v>10002</v>
      </c>
      <c r="AC379" s="20">
        <v>100</v>
      </c>
      <c r="AD379" s="20">
        <v>1</v>
      </c>
    </row>
    <row r="380" spans="1:31">
      <c r="A380" s="20">
        <v>10003</v>
      </c>
      <c r="B380" s="20" t="s">
        <v>4269</v>
      </c>
      <c r="C380" s="21" t="s">
        <v>6758</v>
      </c>
      <c r="K380" s="20">
        <v>0</v>
      </c>
      <c r="L380" s="20">
        <v>100</v>
      </c>
      <c r="W380" s="20">
        <f>IF(Q380&lt;&gt;0,3,IF(K380="","",VLOOKUP(K380,'#状态名词'!$J$1:$K$15,2,FALSE)))</f>
        <v>0</v>
      </c>
      <c r="AA380" s="20">
        <v>1</v>
      </c>
      <c r="AB380" s="20">
        <v>10003</v>
      </c>
      <c r="AC380" s="20">
        <v>100</v>
      </c>
      <c r="AD380" s="20">
        <v>1</v>
      </c>
    </row>
    <row r="381" spans="1:31">
      <c r="A381" s="20">
        <v>10004</v>
      </c>
      <c r="B381" s="31" t="s">
        <v>7163</v>
      </c>
      <c r="C381" s="21" t="s">
        <v>7171</v>
      </c>
      <c r="J381" s="19"/>
      <c r="K381" s="20">
        <v>9</v>
      </c>
      <c r="W381" s="20">
        <f>IF(Q381&lt;&gt;0,3,IF(K381="","",VLOOKUP(K381,'#状态名词'!$J$1:$K$15,2,FALSE)))</f>
        <v>3</v>
      </c>
      <c r="AA381" s="20">
        <v>1</v>
      </c>
      <c r="AB381" s="20">
        <v>2</v>
      </c>
      <c r="AC381" s="20">
        <v>1</v>
      </c>
      <c r="AD381" s="20">
        <v>0</v>
      </c>
      <c r="AE381" s="20">
        <v>1</v>
      </c>
    </row>
    <row r="382" spans="1:31">
      <c r="J382" s="19"/>
      <c r="W382" s="20" t="str">
        <f>IF(Q382&lt;&gt;0,3,IF(K382="","",VLOOKUP(K382,'#状态名词'!$J$1:$K$15,2,FALSE)))</f>
        <v/>
      </c>
      <c r="AB382" s="20">
        <v>3</v>
      </c>
      <c r="AC382" s="20">
        <v>1</v>
      </c>
      <c r="AD382" s="20">
        <v>0</v>
      </c>
      <c r="AE382" s="20">
        <v>1</v>
      </c>
    </row>
    <row r="383" spans="1:31">
      <c r="J383" s="19"/>
      <c r="W383" s="20" t="str">
        <f>IF(Q383&lt;&gt;0,3,IF(K383="","",VLOOKUP(K383,'#状态名词'!$J$1:$K$15,2,FALSE)))</f>
        <v/>
      </c>
      <c r="AB383" s="20">
        <v>4</v>
      </c>
      <c r="AC383" s="20">
        <v>1</v>
      </c>
      <c r="AD383" s="20">
        <v>0</v>
      </c>
      <c r="AE383" s="20">
        <v>1</v>
      </c>
    </row>
    <row r="384" spans="1:31">
      <c r="A384" s="20">
        <v>10005</v>
      </c>
      <c r="B384" s="31" t="s">
        <v>7164</v>
      </c>
      <c r="C384" s="21" t="s">
        <v>7170</v>
      </c>
      <c r="J384" s="19"/>
      <c r="K384" s="20">
        <v>9</v>
      </c>
      <c r="W384" s="20">
        <f>IF(Q384&lt;&gt;0,3,IF(K384="","",VLOOKUP(K384,'#状态名词'!$J$1:$K$15,2,FALSE)))</f>
        <v>3</v>
      </c>
      <c r="AA384" s="20">
        <v>1</v>
      </c>
      <c r="AB384" s="20">
        <v>22</v>
      </c>
      <c r="AC384" s="20">
        <v>3</v>
      </c>
      <c r="AD384" s="20">
        <v>0</v>
      </c>
      <c r="AE384" s="20">
        <v>1</v>
      </c>
    </row>
    <row r="385" spans="1:30">
      <c r="A385" s="20">
        <v>10006</v>
      </c>
      <c r="B385" s="31" t="s">
        <v>7165</v>
      </c>
      <c r="C385" s="21" t="s">
        <v>7168</v>
      </c>
      <c r="J385" s="19"/>
      <c r="K385" s="20">
        <v>9</v>
      </c>
      <c r="W385" s="20">
        <f>IF(Q385&lt;&gt;0,3,IF(K385="","",VLOOKUP(K385,'#状态名词'!$J$1:$K$15,2,FALSE)))</f>
        <v>3</v>
      </c>
      <c r="AA385" s="20">
        <v>1</v>
      </c>
      <c r="AB385" s="20">
        <v>10006</v>
      </c>
      <c r="AC385" s="20">
        <v>3</v>
      </c>
      <c r="AD385" s="20">
        <v>0</v>
      </c>
    </row>
    <row r="386" spans="1:30">
      <c r="A386" s="20">
        <v>10007</v>
      </c>
      <c r="B386" s="31" t="s">
        <v>7166</v>
      </c>
      <c r="C386" s="21" t="s">
        <v>7169</v>
      </c>
      <c r="J386" s="19"/>
      <c r="K386" s="20">
        <v>6</v>
      </c>
      <c r="W386" s="20">
        <f>IF(Q386&lt;&gt;0,3,IF(K386="","",VLOOKUP(K386,'#状态名词'!$J$1:$K$15,2,FALSE)))</f>
        <v>3</v>
      </c>
      <c r="AA386" s="20">
        <v>1</v>
      </c>
      <c r="AB386" s="20">
        <v>10006</v>
      </c>
      <c r="AC386" s="20">
        <v>3</v>
      </c>
      <c r="AD386" s="20">
        <v>0</v>
      </c>
    </row>
    <row r="387" spans="1:30">
      <c r="A387" s="20">
        <v>10008</v>
      </c>
      <c r="B387" s="31" t="s">
        <v>7167</v>
      </c>
      <c r="C387" s="21" t="s">
        <v>7921</v>
      </c>
      <c r="J387" s="19"/>
      <c r="K387" s="20">
        <v>6</v>
      </c>
      <c r="W387" s="20">
        <f>IF(Q387&lt;&gt;0,3,IF(K387="","",VLOOKUP(K387,'#状态名词'!$J$1:$K$15,2,FALSE)))</f>
        <v>3</v>
      </c>
      <c r="AA387" s="20">
        <v>1</v>
      </c>
      <c r="AB387" s="20">
        <v>10007</v>
      </c>
      <c r="AC387" s="20">
        <v>3</v>
      </c>
      <c r="AD387" s="20">
        <v>0</v>
      </c>
    </row>
    <row r="388" spans="1:30">
      <c r="A388" s="20">
        <v>20101</v>
      </c>
      <c r="B388" s="20" t="s">
        <v>4270</v>
      </c>
      <c r="C388" s="21" t="s">
        <v>4271</v>
      </c>
      <c r="E388" s="20" t="s">
        <v>1825</v>
      </c>
      <c r="F388" s="20" t="s">
        <v>4272</v>
      </c>
      <c r="H388" s="20">
        <v>20</v>
      </c>
      <c r="J388" s="20" t="s">
        <v>115</v>
      </c>
      <c r="K388" s="20">
        <v>5</v>
      </c>
      <c r="L388" s="20">
        <v>17</v>
      </c>
      <c r="O388" s="20">
        <v>0</v>
      </c>
      <c r="W388" s="20">
        <f>IF(Q388&lt;&gt;0,3,IF(K388="","",VLOOKUP(K388,'#状态名词'!$J$1:$K$15,2,FALSE)))</f>
        <v>1</v>
      </c>
      <c r="AA388" s="20">
        <v>1</v>
      </c>
      <c r="AB388" s="20">
        <v>12</v>
      </c>
      <c r="AC388" s="20">
        <v>50</v>
      </c>
      <c r="AD388" s="20">
        <v>0</v>
      </c>
    </row>
    <row r="389" spans="1:30">
      <c r="A389" s="20">
        <v>20102</v>
      </c>
      <c r="B389" s="20" t="s">
        <v>4273</v>
      </c>
      <c r="C389" s="21" t="s">
        <v>4274</v>
      </c>
      <c r="E389" s="20" t="s">
        <v>1826</v>
      </c>
      <c r="F389" s="20" t="s">
        <v>4275</v>
      </c>
      <c r="H389" s="20">
        <v>20</v>
      </c>
      <c r="K389" s="20">
        <v>3</v>
      </c>
      <c r="L389" s="20">
        <v>33</v>
      </c>
      <c r="O389" s="20">
        <v>0</v>
      </c>
      <c r="W389" s="20">
        <f>IF(Q389&lt;&gt;0,3,IF(K389="","",VLOOKUP(K389,'#状态名词'!$J$1:$K$15,2,FALSE)))</f>
        <v>3</v>
      </c>
    </row>
    <row r="390" spans="1:30">
      <c r="A390" s="20">
        <v>20103</v>
      </c>
      <c r="B390" s="20" t="s">
        <v>4276</v>
      </c>
      <c r="C390" s="21" t="s">
        <v>6759</v>
      </c>
      <c r="E390" s="20" t="s">
        <v>1827</v>
      </c>
      <c r="K390" s="20">
        <v>0</v>
      </c>
      <c r="L390" s="20">
        <v>100</v>
      </c>
      <c r="W390" s="20">
        <f>IF(Q390&lt;&gt;0,3,IF(K390="","",VLOOKUP(K390,'#状态名词'!$J$1:$K$15,2,FALSE)))</f>
        <v>0</v>
      </c>
      <c r="AA390" s="20">
        <v>1</v>
      </c>
      <c r="AB390" s="20">
        <v>20101</v>
      </c>
      <c r="AC390" s="20">
        <v>100</v>
      </c>
      <c r="AD390" s="20">
        <v>1</v>
      </c>
    </row>
    <row r="391" spans="1:30">
      <c r="A391" s="20">
        <v>20104</v>
      </c>
      <c r="B391" s="20" t="s">
        <v>4277</v>
      </c>
      <c r="C391" s="21" t="s">
        <v>6760</v>
      </c>
      <c r="E391" s="20" t="s">
        <v>1692</v>
      </c>
      <c r="K391" s="20">
        <v>0</v>
      </c>
      <c r="L391" s="20">
        <v>100</v>
      </c>
      <c r="W391" s="20">
        <f>IF(Q391&lt;&gt;0,3,IF(K391="","",VLOOKUP(K391,'#状态名词'!$J$1:$K$15,2,FALSE)))</f>
        <v>0</v>
      </c>
      <c r="AA391" s="20">
        <v>1</v>
      </c>
      <c r="AB391" s="20">
        <v>20102</v>
      </c>
      <c r="AC391" s="20">
        <v>100</v>
      </c>
      <c r="AD391" s="20">
        <v>1</v>
      </c>
    </row>
    <row r="392" spans="1:30">
      <c r="A392" s="20">
        <v>20105</v>
      </c>
      <c r="B392" s="20" t="s">
        <v>4278</v>
      </c>
      <c r="C392" s="21" t="s">
        <v>6761</v>
      </c>
      <c r="E392" s="20" t="s">
        <v>1692</v>
      </c>
      <c r="K392" s="20">
        <v>0</v>
      </c>
      <c r="L392" s="20">
        <v>100</v>
      </c>
      <c r="W392" s="20">
        <f>IF(Q392&lt;&gt;0,3,IF(K392="","",VLOOKUP(K392,'#状态名词'!$J$1:$K$15,2,FALSE)))</f>
        <v>0</v>
      </c>
      <c r="AA392" s="20">
        <v>1</v>
      </c>
      <c r="AB392" s="20">
        <v>20103</v>
      </c>
      <c r="AC392" s="20">
        <v>100</v>
      </c>
      <c r="AD392" s="20">
        <v>1</v>
      </c>
    </row>
    <row r="393" spans="1:30">
      <c r="A393" s="20">
        <v>20106</v>
      </c>
      <c r="B393" s="20" t="s">
        <v>4279</v>
      </c>
      <c r="C393" s="21" t="s">
        <v>6762</v>
      </c>
      <c r="E393" s="20" t="s">
        <v>1827</v>
      </c>
      <c r="K393" s="20">
        <v>0</v>
      </c>
      <c r="L393" s="20">
        <v>100</v>
      </c>
      <c r="W393" s="20">
        <f>IF(Q393&lt;&gt;0,3,IF(K393="","",VLOOKUP(K393,'#状态名词'!$J$1:$K$15,2,FALSE)))</f>
        <v>0</v>
      </c>
      <c r="AA393" s="20">
        <v>1</v>
      </c>
      <c r="AB393" s="20">
        <v>20104</v>
      </c>
      <c r="AC393" s="20">
        <v>100</v>
      </c>
      <c r="AD393" s="20">
        <v>1</v>
      </c>
    </row>
    <row r="394" spans="1:30">
      <c r="A394" s="20">
        <v>20107</v>
      </c>
      <c r="B394" s="20" t="s">
        <v>4280</v>
      </c>
      <c r="C394" s="21" t="s">
        <v>6763</v>
      </c>
      <c r="E394" s="20" t="s">
        <v>1827</v>
      </c>
      <c r="K394" s="20">
        <v>0</v>
      </c>
      <c r="L394" s="20">
        <v>100</v>
      </c>
      <c r="W394" s="20">
        <f>IF(Q394&lt;&gt;0,3,IF(K394="","",VLOOKUP(K394,'#状态名词'!$J$1:$K$15,2,FALSE)))</f>
        <v>0</v>
      </c>
      <c r="AA394" s="20">
        <v>1</v>
      </c>
      <c r="AB394" s="20">
        <v>20105</v>
      </c>
      <c r="AC394" s="20">
        <v>100</v>
      </c>
      <c r="AD394" s="20">
        <v>1</v>
      </c>
    </row>
    <row r="395" spans="1:30">
      <c r="A395" s="20">
        <v>20108</v>
      </c>
      <c r="B395" s="20" t="s">
        <v>4281</v>
      </c>
      <c r="C395" s="21" t="s">
        <v>6764</v>
      </c>
      <c r="E395" s="20" t="s">
        <v>1692</v>
      </c>
      <c r="K395" s="20">
        <v>0</v>
      </c>
      <c r="L395" s="20">
        <v>100</v>
      </c>
      <c r="W395" s="20">
        <f>IF(Q395&lt;&gt;0,3,IF(K395="","",VLOOKUP(K395,'#状态名词'!$J$1:$K$15,2,FALSE)))</f>
        <v>0</v>
      </c>
      <c r="AA395" s="20">
        <v>1</v>
      </c>
      <c r="AB395" s="20">
        <v>20106</v>
      </c>
      <c r="AC395" s="20">
        <v>100</v>
      </c>
      <c r="AD395" s="20">
        <v>1</v>
      </c>
    </row>
    <row r="396" spans="1:30">
      <c r="A396" s="20">
        <v>20109</v>
      </c>
      <c r="B396" s="20" t="s">
        <v>4282</v>
      </c>
      <c r="C396" s="21" t="s">
        <v>6765</v>
      </c>
      <c r="E396" s="20" t="s">
        <v>1692</v>
      </c>
      <c r="K396" s="20">
        <v>0</v>
      </c>
      <c r="L396" s="20">
        <v>100</v>
      </c>
      <c r="W396" s="20">
        <f>IF(Q396&lt;&gt;0,3,IF(K396="","",VLOOKUP(K396,'#状态名词'!$J$1:$K$15,2,FALSE)))</f>
        <v>0</v>
      </c>
      <c r="AA396" s="20">
        <v>1</v>
      </c>
      <c r="AB396" s="20">
        <v>20107</v>
      </c>
      <c r="AC396" s="20">
        <v>100</v>
      </c>
      <c r="AD396" s="20">
        <v>1</v>
      </c>
    </row>
    <row r="397" spans="1:30">
      <c r="A397" s="20">
        <v>20110</v>
      </c>
      <c r="B397" s="20" t="s">
        <v>4283</v>
      </c>
      <c r="C397" s="21" t="s">
        <v>6766</v>
      </c>
      <c r="E397" s="20" t="s">
        <v>1692</v>
      </c>
      <c r="K397" s="20">
        <v>0</v>
      </c>
      <c r="L397" s="20">
        <v>100</v>
      </c>
      <c r="W397" s="20">
        <f>IF(Q397&lt;&gt;0,3,IF(K397="","",VLOOKUP(K397,'#状态名词'!$J$1:$K$15,2,FALSE)))</f>
        <v>0</v>
      </c>
      <c r="AA397" s="20">
        <v>1</v>
      </c>
      <c r="AB397" s="20">
        <v>20108</v>
      </c>
      <c r="AC397" s="20">
        <v>100</v>
      </c>
      <c r="AD397" s="20">
        <v>1</v>
      </c>
    </row>
    <row r="398" spans="1:30">
      <c r="A398" s="20">
        <v>20111</v>
      </c>
      <c r="B398" s="20" t="s">
        <v>4284</v>
      </c>
      <c r="C398" s="21" t="s">
        <v>6767</v>
      </c>
      <c r="E398" s="20" t="s">
        <v>1692</v>
      </c>
      <c r="K398" s="20">
        <v>0</v>
      </c>
      <c r="L398" s="20">
        <v>100</v>
      </c>
      <c r="W398" s="20">
        <f>IF(Q398&lt;&gt;0,3,IF(K398="","",VLOOKUP(K398,'#状态名词'!$J$1:$K$15,2,FALSE)))</f>
        <v>0</v>
      </c>
      <c r="AA398" s="20">
        <v>1</v>
      </c>
      <c r="AB398" s="20">
        <v>20109</v>
      </c>
      <c r="AC398" s="20">
        <v>100</v>
      </c>
      <c r="AD398" s="20">
        <v>1</v>
      </c>
    </row>
    <row r="399" spans="1:30" ht="27">
      <c r="A399" s="20">
        <v>20112</v>
      </c>
      <c r="B399" s="20" t="s">
        <v>4285</v>
      </c>
      <c r="C399" s="21" t="s">
        <v>4286</v>
      </c>
      <c r="E399" s="20" t="s">
        <v>1825</v>
      </c>
      <c r="F399" s="20" t="s">
        <v>4287</v>
      </c>
      <c r="H399" s="20">
        <v>20</v>
      </c>
      <c r="J399" s="20" t="s">
        <v>115</v>
      </c>
      <c r="K399" s="20">
        <v>5</v>
      </c>
      <c r="L399" s="20">
        <v>17</v>
      </c>
      <c r="O399" s="20">
        <v>0</v>
      </c>
      <c r="W399" s="20">
        <f>IF(Q399&lt;&gt;0,3,IF(K399="","",VLOOKUP(K399,'#状态名词'!$J$1:$K$15,2,FALSE)))</f>
        <v>1</v>
      </c>
      <c r="AA399" s="20">
        <v>1</v>
      </c>
      <c r="AB399" s="20">
        <v>4</v>
      </c>
      <c r="AC399" s="20">
        <v>50</v>
      </c>
      <c r="AD399" s="20">
        <v>0</v>
      </c>
    </row>
    <row r="400" spans="1:30">
      <c r="A400" s="20">
        <v>20113</v>
      </c>
      <c r="B400" s="20" t="s">
        <v>4288</v>
      </c>
      <c r="C400" s="21" t="s">
        <v>4289</v>
      </c>
      <c r="E400" s="20" t="s">
        <v>1825</v>
      </c>
      <c r="F400" s="20" t="s">
        <v>4290</v>
      </c>
      <c r="H400" s="20">
        <v>20</v>
      </c>
      <c r="J400" s="20" t="s">
        <v>115</v>
      </c>
      <c r="K400" s="20">
        <v>5</v>
      </c>
      <c r="L400" s="20">
        <v>17</v>
      </c>
      <c r="O400" s="20">
        <v>0</v>
      </c>
      <c r="W400" s="20">
        <f>IF(Q400&lt;&gt;0,3,IF(K400="","",VLOOKUP(K400,'#状态名词'!$J$1:$K$15,2,FALSE)))</f>
        <v>1</v>
      </c>
      <c r="AA400" s="20">
        <v>1</v>
      </c>
      <c r="AB400" s="20">
        <v>3</v>
      </c>
      <c r="AC400" s="20">
        <v>50</v>
      </c>
      <c r="AD400" s="20">
        <v>0</v>
      </c>
    </row>
    <row r="401" spans="1:30">
      <c r="A401" s="20">
        <v>20114</v>
      </c>
      <c r="B401" s="20" t="s">
        <v>472</v>
      </c>
      <c r="C401" s="21" t="s">
        <v>4291</v>
      </c>
      <c r="E401" s="20" t="s">
        <v>1746</v>
      </c>
      <c r="F401" s="20" t="s">
        <v>4292</v>
      </c>
      <c r="H401" s="20">
        <v>20</v>
      </c>
      <c r="K401" s="20">
        <v>3</v>
      </c>
      <c r="L401" s="20">
        <v>33</v>
      </c>
      <c r="O401" s="20">
        <v>0</v>
      </c>
      <c r="W401" s="20">
        <f>IF(Q401&lt;&gt;0,3,IF(K401="","",VLOOKUP(K401,'#状态名词'!$J$1:$K$15,2,FALSE)))</f>
        <v>3</v>
      </c>
    </row>
    <row r="402" spans="1:30">
      <c r="A402" s="20">
        <v>20115</v>
      </c>
      <c r="B402" s="20" t="s">
        <v>4293</v>
      </c>
      <c r="C402" s="21" t="s">
        <v>4294</v>
      </c>
      <c r="E402" s="20" t="s">
        <v>1746</v>
      </c>
      <c r="F402" s="20" t="s">
        <v>4295</v>
      </c>
      <c r="H402" s="20">
        <v>20</v>
      </c>
      <c r="K402" s="20">
        <v>3</v>
      </c>
      <c r="L402" s="20">
        <v>33</v>
      </c>
      <c r="O402" s="20">
        <v>0</v>
      </c>
      <c r="W402" s="20">
        <f>IF(Q402&lt;&gt;0,3,IF(K402="","",VLOOKUP(K402,'#状态名词'!$J$1:$K$15,2,FALSE)))</f>
        <v>3</v>
      </c>
    </row>
    <row r="403" spans="1:30">
      <c r="A403" s="20">
        <v>20116</v>
      </c>
      <c r="B403" s="20" t="s">
        <v>4296</v>
      </c>
      <c r="C403" s="73" t="s">
        <v>9010</v>
      </c>
      <c r="E403" s="20" t="s">
        <v>1828</v>
      </c>
      <c r="K403" s="20">
        <v>0</v>
      </c>
      <c r="L403" s="20">
        <v>100</v>
      </c>
      <c r="W403" s="20">
        <f>IF(Q403&lt;&gt;0,3,IF(K403="","",VLOOKUP(K403,'#状态名词'!$J$1:$K$15,2,FALSE)))</f>
        <v>0</v>
      </c>
      <c r="AA403" s="20">
        <v>1</v>
      </c>
      <c r="AB403" s="20">
        <v>20110</v>
      </c>
      <c r="AC403" s="20">
        <v>100</v>
      </c>
      <c r="AD403" s="20">
        <v>1</v>
      </c>
    </row>
    <row r="404" spans="1:30">
      <c r="A404" s="20">
        <v>20117</v>
      </c>
      <c r="B404" s="20" t="s">
        <v>4297</v>
      </c>
      <c r="C404" s="73" t="s">
        <v>9009</v>
      </c>
      <c r="E404" s="20" t="s">
        <v>1828</v>
      </c>
      <c r="K404" s="20">
        <v>0</v>
      </c>
      <c r="L404" s="20">
        <v>100</v>
      </c>
      <c r="W404" s="20">
        <f>IF(Q404&lt;&gt;0,3,IF(K404="","",VLOOKUP(K404,'#状态名词'!$J$1:$K$15,2,FALSE)))</f>
        <v>0</v>
      </c>
      <c r="AA404" s="20">
        <v>1</v>
      </c>
      <c r="AB404" s="20">
        <v>20111</v>
      </c>
      <c r="AC404" s="20">
        <v>100</v>
      </c>
      <c r="AD404" s="20">
        <v>1</v>
      </c>
    </row>
    <row r="405" spans="1:30">
      <c r="A405" s="20">
        <v>20118</v>
      </c>
      <c r="B405" s="20" t="s">
        <v>4298</v>
      </c>
      <c r="C405" s="73" t="s">
        <v>9008</v>
      </c>
      <c r="E405" s="20" t="s">
        <v>1828</v>
      </c>
      <c r="K405" s="20">
        <v>0</v>
      </c>
      <c r="L405" s="20">
        <v>100</v>
      </c>
      <c r="W405" s="20">
        <f>IF(Q405&lt;&gt;0,3,IF(K405="","",VLOOKUP(K405,'#状态名词'!$J$1:$K$15,2,FALSE)))</f>
        <v>0</v>
      </c>
      <c r="AA405" s="20">
        <v>1</v>
      </c>
      <c r="AB405" s="20">
        <v>20112</v>
      </c>
      <c r="AC405" s="20">
        <v>100</v>
      </c>
      <c r="AD405" s="20">
        <v>1</v>
      </c>
    </row>
    <row r="406" spans="1:30">
      <c r="A406" s="20">
        <v>20119</v>
      </c>
      <c r="B406" s="20" t="s">
        <v>4299</v>
      </c>
      <c r="C406" s="73" t="s">
        <v>9011</v>
      </c>
      <c r="E406" s="20" t="s">
        <v>1829</v>
      </c>
      <c r="K406" s="20">
        <v>0</v>
      </c>
      <c r="L406" s="20">
        <v>100</v>
      </c>
      <c r="W406" s="20">
        <f>IF(Q406&lt;&gt;0,3,IF(K406="","",VLOOKUP(K406,'#状态名词'!$J$1:$K$15,2,FALSE)))</f>
        <v>0</v>
      </c>
      <c r="AA406" s="20">
        <v>1</v>
      </c>
      <c r="AB406" s="20">
        <v>20113</v>
      </c>
      <c r="AC406" s="20">
        <v>100</v>
      </c>
      <c r="AD406" s="20">
        <v>1</v>
      </c>
    </row>
    <row r="407" spans="1:30">
      <c r="A407" s="20">
        <v>20120</v>
      </c>
      <c r="B407" s="20" t="s">
        <v>4300</v>
      </c>
      <c r="C407" s="73" t="s">
        <v>9012</v>
      </c>
      <c r="E407" s="20" t="s">
        <v>1829</v>
      </c>
      <c r="K407" s="20">
        <v>0</v>
      </c>
      <c r="L407" s="20">
        <v>100</v>
      </c>
      <c r="W407" s="20">
        <f>IF(Q407&lt;&gt;0,3,IF(K407="","",VLOOKUP(K407,'#状态名词'!$J$1:$K$15,2,FALSE)))</f>
        <v>0</v>
      </c>
      <c r="AA407" s="20">
        <v>1</v>
      </c>
      <c r="AB407" s="20">
        <v>20114</v>
      </c>
      <c r="AC407" s="20">
        <v>100</v>
      </c>
      <c r="AD407" s="20">
        <v>1</v>
      </c>
    </row>
    <row r="408" spans="1:30">
      <c r="A408" s="20">
        <v>20121</v>
      </c>
      <c r="B408" s="20" t="s">
        <v>4301</v>
      </c>
      <c r="C408" s="73" t="s">
        <v>6781</v>
      </c>
      <c r="E408" s="20" t="s">
        <v>1829</v>
      </c>
      <c r="K408" s="20">
        <v>0</v>
      </c>
      <c r="L408" s="20">
        <v>100</v>
      </c>
      <c r="W408" s="20">
        <f>IF(Q408&lt;&gt;0,3,IF(K408="","",VLOOKUP(K408,'#状态名词'!$J$1:$K$15,2,FALSE)))</f>
        <v>0</v>
      </c>
      <c r="AA408" s="20">
        <v>1</v>
      </c>
      <c r="AB408" s="20">
        <v>20115</v>
      </c>
      <c r="AC408" s="20">
        <v>100</v>
      </c>
      <c r="AD408" s="20">
        <v>1</v>
      </c>
    </row>
    <row r="409" spans="1:30">
      <c r="A409" s="20">
        <v>20122</v>
      </c>
      <c r="B409" s="20" t="s">
        <v>4302</v>
      </c>
      <c r="C409" s="21" t="s">
        <v>6768</v>
      </c>
      <c r="E409" s="20" t="s">
        <v>1830</v>
      </c>
      <c r="K409" s="20">
        <v>0</v>
      </c>
      <c r="L409" s="20">
        <v>100</v>
      </c>
      <c r="W409" s="20">
        <f>IF(Q409&lt;&gt;0,3,IF(K409="","",VLOOKUP(K409,'#状态名词'!$J$1:$K$15,2,FALSE)))</f>
        <v>0</v>
      </c>
      <c r="AA409" s="20">
        <v>1</v>
      </c>
      <c r="AB409" s="20">
        <v>20116</v>
      </c>
      <c r="AC409" s="20">
        <v>100</v>
      </c>
      <c r="AD409" s="20">
        <v>1</v>
      </c>
    </row>
    <row r="410" spans="1:30">
      <c r="A410" s="20">
        <v>20123</v>
      </c>
      <c r="B410" s="20" t="s">
        <v>4303</v>
      </c>
      <c r="C410" s="21" t="s">
        <v>6769</v>
      </c>
      <c r="E410" s="20" t="s">
        <v>1830</v>
      </c>
      <c r="K410" s="20">
        <v>0</v>
      </c>
      <c r="L410" s="20">
        <v>100</v>
      </c>
      <c r="W410" s="20">
        <f>IF(Q410&lt;&gt;0,3,IF(K410="","",VLOOKUP(K410,'#状态名词'!$J$1:$K$15,2,FALSE)))</f>
        <v>0</v>
      </c>
      <c r="AA410" s="20">
        <v>1</v>
      </c>
      <c r="AB410" s="20">
        <v>20117</v>
      </c>
      <c r="AC410" s="20">
        <v>100</v>
      </c>
      <c r="AD410" s="20">
        <v>1</v>
      </c>
    </row>
    <row r="411" spans="1:30">
      <c r="A411" s="20">
        <v>20124</v>
      </c>
      <c r="B411" s="20" t="s">
        <v>4304</v>
      </c>
      <c r="C411" s="21" t="s">
        <v>6770</v>
      </c>
      <c r="E411" s="20" t="s">
        <v>1830</v>
      </c>
      <c r="K411" s="20">
        <v>0</v>
      </c>
      <c r="L411" s="20">
        <v>100</v>
      </c>
      <c r="W411" s="20">
        <f>IF(Q411&lt;&gt;0,3,IF(K411="","",VLOOKUP(K411,'#状态名词'!$J$1:$K$15,2,FALSE)))</f>
        <v>0</v>
      </c>
      <c r="AA411" s="20">
        <v>1</v>
      </c>
      <c r="AB411" s="20">
        <v>20118</v>
      </c>
      <c r="AC411" s="20">
        <v>100</v>
      </c>
      <c r="AD411" s="20">
        <v>1</v>
      </c>
    </row>
    <row r="412" spans="1:30">
      <c r="A412" s="20">
        <v>20125</v>
      </c>
      <c r="B412" s="20" t="s">
        <v>3986</v>
      </c>
      <c r="C412" s="21" t="s">
        <v>6771</v>
      </c>
      <c r="E412" s="20" t="s">
        <v>1831</v>
      </c>
      <c r="K412" s="20">
        <v>0</v>
      </c>
      <c r="L412" s="20">
        <v>100</v>
      </c>
      <c r="W412" s="20">
        <f>IF(Q412&lt;&gt;0,3,IF(K412="","",VLOOKUP(K412,'#状态名词'!$J$1:$K$15,2,FALSE)))</f>
        <v>0</v>
      </c>
      <c r="AA412" s="20">
        <v>1</v>
      </c>
      <c r="AB412" s="20">
        <v>20119</v>
      </c>
      <c r="AC412" s="20">
        <v>100</v>
      </c>
      <c r="AD412" s="20">
        <v>1</v>
      </c>
    </row>
    <row r="413" spans="1:30">
      <c r="A413" s="20">
        <v>20126</v>
      </c>
      <c r="B413" s="20" t="s">
        <v>4305</v>
      </c>
      <c r="C413" s="21" t="s">
        <v>6772</v>
      </c>
      <c r="E413" s="20" t="s">
        <v>1831</v>
      </c>
      <c r="K413" s="20">
        <v>0</v>
      </c>
      <c r="L413" s="20">
        <v>100</v>
      </c>
      <c r="W413" s="20">
        <f>IF(Q413&lt;&gt;0,3,IF(K413="","",VLOOKUP(K413,'#状态名词'!$J$1:$K$15,2,FALSE)))</f>
        <v>0</v>
      </c>
      <c r="AA413" s="20">
        <v>1</v>
      </c>
      <c r="AB413" s="20">
        <v>20120</v>
      </c>
      <c r="AC413" s="20">
        <v>100</v>
      </c>
      <c r="AD413" s="20">
        <v>1</v>
      </c>
    </row>
    <row r="414" spans="1:30">
      <c r="A414" s="20">
        <v>20127</v>
      </c>
      <c r="B414" s="20" t="s">
        <v>4306</v>
      </c>
      <c r="C414" s="21" t="s">
        <v>6773</v>
      </c>
      <c r="E414" s="20" t="s">
        <v>1831</v>
      </c>
      <c r="K414" s="20">
        <v>0</v>
      </c>
      <c r="L414" s="20">
        <v>100</v>
      </c>
      <c r="W414" s="20">
        <f>IF(Q414&lt;&gt;0,3,IF(K414="","",VLOOKUP(K414,'#状态名词'!$J$1:$K$15,2,FALSE)))</f>
        <v>0</v>
      </c>
      <c r="AA414" s="20">
        <v>1</v>
      </c>
      <c r="AB414" s="20">
        <v>20121</v>
      </c>
      <c r="AC414" s="20">
        <v>100</v>
      </c>
      <c r="AD414" s="20">
        <v>1</v>
      </c>
    </row>
    <row r="415" spans="1:30">
      <c r="A415" s="20">
        <v>20128</v>
      </c>
      <c r="B415" s="20" t="s">
        <v>4307</v>
      </c>
      <c r="C415" s="21" t="s">
        <v>6774</v>
      </c>
      <c r="E415" s="20" t="s">
        <v>1832</v>
      </c>
      <c r="K415" s="20">
        <v>0</v>
      </c>
      <c r="L415" s="20">
        <v>100</v>
      </c>
      <c r="W415" s="20">
        <f>IF(Q415&lt;&gt;0,3,IF(K415="","",VLOOKUP(K415,'#状态名词'!$J$1:$K$15,2,FALSE)))</f>
        <v>0</v>
      </c>
      <c r="AA415" s="20">
        <v>1</v>
      </c>
      <c r="AB415" s="20">
        <v>20122</v>
      </c>
      <c r="AC415" s="20">
        <v>100</v>
      </c>
      <c r="AD415" s="20">
        <v>1</v>
      </c>
    </row>
    <row r="416" spans="1:30">
      <c r="A416" s="20">
        <v>20129</v>
      </c>
      <c r="B416" s="20" t="s">
        <v>4308</v>
      </c>
      <c r="C416" s="21" t="s">
        <v>6775</v>
      </c>
      <c r="E416" s="20" t="s">
        <v>1832</v>
      </c>
      <c r="K416" s="20">
        <v>0</v>
      </c>
      <c r="L416" s="20">
        <v>100</v>
      </c>
      <c r="W416" s="20">
        <f>IF(Q416&lt;&gt;0,3,IF(K416="","",VLOOKUP(K416,'#状态名词'!$J$1:$K$15,2,FALSE)))</f>
        <v>0</v>
      </c>
      <c r="AA416" s="20">
        <v>1</v>
      </c>
      <c r="AB416" s="20">
        <v>20123</v>
      </c>
      <c r="AC416" s="20">
        <v>100</v>
      </c>
      <c r="AD416" s="20">
        <v>1</v>
      </c>
    </row>
    <row r="417" spans="1:30">
      <c r="A417" s="20">
        <v>20130</v>
      </c>
      <c r="B417" s="20" t="s">
        <v>4309</v>
      </c>
      <c r="C417" s="21" t="s">
        <v>6776</v>
      </c>
      <c r="E417" s="20" t="s">
        <v>1832</v>
      </c>
      <c r="K417" s="20">
        <v>0</v>
      </c>
      <c r="L417" s="20">
        <v>100</v>
      </c>
      <c r="W417" s="20">
        <f>IF(Q417&lt;&gt;0,3,IF(K417="","",VLOOKUP(K417,'#状态名词'!$J$1:$K$15,2,FALSE)))</f>
        <v>0</v>
      </c>
      <c r="AA417" s="20">
        <v>1</v>
      </c>
      <c r="AB417" s="20">
        <v>20124</v>
      </c>
      <c r="AC417" s="20">
        <v>100</v>
      </c>
      <c r="AD417" s="20">
        <v>1</v>
      </c>
    </row>
    <row r="418" spans="1:30">
      <c r="A418" s="20">
        <v>20131</v>
      </c>
      <c r="B418" s="20" t="s">
        <v>4310</v>
      </c>
      <c r="C418" s="21" t="s">
        <v>6777</v>
      </c>
      <c r="E418" s="20" t="s">
        <v>1833</v>
      </c>
      <c r="K418" s="20">
        <v>0</v>
      </c>
      <c r="L418" s="20">
        <v>100</v>
      </c>
      <c r="W418" s="20">
        <f>IF(Q418&lt;&gt;0,3,IF(K418="","",VLOOKUP(K418,'#状态名词'!$J$1:$K$15,2,FALSE)))</f>
        <v>0</v>
      </c>
      <c r="AA418" s="20">
        <v>1</v>
      </c>
      <c r="AB418" s="20">
        <v>20125</v>
      </c>
      <c r="AC418" s="20">
        <v>100</v>
      </c>
      <c r="AD418" s="20">
        <v>1</v>
      </c>
    </row>
    <row r="419" spans="1:30">
      <c r="A419" s="20">
        <v>20132</v>
      </c>
      <c r="B419" s="20" t="s">
        <v>4311</v>
      </c>
      <c r="C419" s="21" t="s">
        <v>6778</v>
      </c>
      <c r="E419" s="20" t="s">
        <v>1833</v>
      </c>
      <c r="K419" s="20">
        <v>0</v>
      </c>
      <c r="L419" s="20">
        <v>100</v>
      </c>
      <c r="W419" s="20">
        <f>IF(Q419&lt;&gt;0,3,IF(K419="","",VLOOKUP(K419,'#状态名词'!$J$1:$K$15,2,FALSE)))</f>
        <v>0</v>
      </c>
      <c r="AA419" s="20">
        <v>1</v>
      </c>
      <c r="AB419" s="20">
        <v>20126</v>
      </c>
      <c r="AC419" s="20">
        <v>100</v>
      </c>
      <c r="AD419" s="20">
        <v>1</v>
      </c>
    </row>
    <row r="420" spans="1:30">
      <c r="A420" s="20">
        <v>20133</v>
      </c>
      <c r="B420" s="20" t="s">
        <v>4312</v>
      </c>
      <c r="C420" s="21" t="s">
        <v>6779</v>
      </c>
      <c r="E420" s="20" t="s">
        <v>1833</v>
      </c>
      <c r="K420" s="20">
        <v>0</v>
      </c>
      <c r="L420" s="20">
        <v>100</v>
      </c>
      <c r="W420" s="20">
        <f>IF(Q420&lt;&gt;0,3,IF(K420="","",VLOOKUP(K420,'#状态名词'!$J$1:$K$15,2,FALSE)))</f>
        <v>0</v>
      </c>
      <c r="AA420" s="20">
        <v>1</v>
      </c>
      <c r="AB420" s="20">
        <v>20127</v>
      </c>
      <c r="AC420" s="20">
        <v>100</v>
      </c>
      <c r="AD420" s="20">
        <v>1</v>
      </c>
    </row>
    <row r="421" spans="1:30" ht="27">
      <c r="A421" s="20">
        <v>20134</v>
      </c>
      <c r="B421" s="20" t="s">
        <v>4313</v>
      </c>
      <c r="C421" s="21" t="s">
        <v>4314</v>
      </c>
      <c r="E421" s="20" t="s">
        <v>1735</v>
      </c>
      <c r="F421" s="20" t="s">
        <v>176</v>
      </c>
      <c r="H421" s="20">
        <v>20</v>
      </c>
      <c r="J421" s="20" t="s">
        <v>115</v>
      </c>
      <c r="K421" s="20">
        <v>5</v>
      </c>
      <c r="L421" s="20">
        <v>17</v>
      </c>
      <c r="O421" s="20">
        <v>1</v>
      </c>
      <c r="W421" s="20">
        <f>IF(Q421&lt;&gt;0,3,IF(K421="","",VLOOKUP(K421,'#状态名词'!$J$1:$K$15,2,FALSE)))</f>
        <v>1</v>
      </c>
      <c r="AA421" s="20">
        <v>1</v>
      </c>
      <c r="AB421" s="20">
        <v>13</v>
      </c>
      <c r="AC421" s="20">
        <v>50</v>
      </c>
      <c r="AD421" s="20">
        <v>0</v>
      </c>
    </row>
    <row r="422" spans="1:30" ht="27">
      <c r="A422" s="20">
        <v>20135</v>
      </c>
      <c r="B422" s="20" t="s">
        <v>4315</v>
      </c>
      <c r="C422" s="21" t="s">
        <v>4316</v>
      </c>
      <c r="E422" s="20" t="s">
        <v>1735</v>
      </c>
      <c r="F422" s="20" t="s">
        <v>177</v>
      </c>
      <c r="H422" s="20">
        <v>20</v>
      </c>
      <c r="J422" s="20" t="s">
        <v>115</v>
      </c>
      <c r="K422" s="20">
        <v>5</v>
      </c>
      <c r="L422" s="20">
        <v>17</v>
      </c>
      <c r="O422" s="20">
        <v>1</v>
      </c>
      <c r="W422" s="20">
        <f>IF(Q422&lt;&gt;0,3,IF(K422="","",VLOOKUP(K422,'#状态名词'!$J$1:$K$15,2,FALSE)))</f>
        <v>1</v>
      </c>
      <c r="AA422" s="20">
        <v>1</v>
      </c>
      <c r="AB422" s="20">
        <v>12</v>
      </c>
      <c r="AC422" s="20">
        <v>50</v>
      </c>
      <c r="AD422" s="20">
        <v>0</v>
      </c>
    </row>
    <row r="423" spans="1:30" ht="27">
      <c r="A423" s="20">
        <v>20136</v>
      </c>
      <c r="B423" s="20" t="s">
        <v>4317</v>
      </c>
      <c r="C423" s="21" t="s">
        <v>4318</v>
      </c>
      <c r="E423" s="20" t="s">
        <v>1735</v>
      </c>
      <c r="F423" s="20" t="s">
        <v>178</v>
      </c>
      <c r="H423" s="20">
        <v>20</v>
      </c>
      <c r="J423" s="20" t="s">
        <v>115</v>
      </c>
      <c r="K423" s="20">
        <v>5</v>
      </c>
      <c r="L423" s="20">
        <v>17</v>
      </c>
      <c r="O423" s="20">
        <v>1</v>
      </c>
      <c r="W423" s="20">
        <f>IF(Q423&lt;&gt;0,3,IF(K423="","",VLOOKUP(K423,'#状态名词'!$J$1:$K$15,2,FALSE)))</f>
        <v>1</v>
      </c>
      <c r="AA423" s="20">
        <v>1</v>
      </c>
      <c r="AB423" s="20">
        <v>13</v>
      </c>
      <c r="AC423" s="20">
        <v>50</v>
      </c>
      <c r="AD423" s="20">
        <v>0</v>
      </c>
    </row>
    <row r="424" spans="1:30">
      <c r="A424" s="20">
        <v>20137</v>
      </c>
      <c r="B424" s="20" t="s">
        <v>4319</v>
      </c>
      <c r="C424" s="21" t="s">
        <v>4320</v>
      </c>
      <c r="E424" s="20" t="s">
        <v>1735</v>
      </c>
      <c r="F424" s="20" t="s">
        <v>179</v>
      </c>
      <c r="H424" s="20">
        <v>15</v>
      </c>
      <c r="J424" s="19" t="s">
        <v>1488</v>
      </c>
      <c r="K424" s="20">
        <v>3</v>
      </c>
      <c r="L424" s="20">
        <v>33</v>
      </c>
      <c r="O424" s="20">
        <v>1</v>
      </c>
      <c r="W424" s="20">
        <f>IF(Q424&lt;&gt;0,3,IF(K424="","",VLOOKUP(K424,'#状态名词'!$J$1:$K$15,2,FALSE)))</f>
        <v>3</v>
      </c>
    </row>
    <row r="425" spans="1:30">
      <c r="A425" s="20">
        <v>20138</v>
      </c>
      <c r="B425" s="20" t="s">
        <v>4321</v>
      </c>
      <c r="C425" s="21" t="s">
        <v>7140</v>
      </c>
      <c r="E425" s="20" t="s">
        <v>1735</v>
      </c>
      <c r="F425" s="20" t="s">
        <v>180</v>
      </c>
      <c r="H425" s="20">
        <v>15</v>
      </c>
      <c r="J425" s="19" t="s">
        <v>1488</v>
      </c>
      <c r="K425" s="20">
        <v>3</v>
      </c>
      <c r="L425" s="20">
        <v>33</v>
      </c>
      <c r="O425" s="20">
        <v>1</v>
      </c>
      <c r="W425" s="20">
        <f>IF(Q425&lt;&gt;0,3,IF(K425="","",VLOOKUP(K425,'#状态名词'!$J$1:$K$15,2,FALSE)))</f>
        <v>3</v>
      </c>
    </row>
    <row r="426" spans="1:30">
      <c r="A426" s="20">
        <v>20139</v>
      </c>
      <c r="B426" s="20" t="s">
        <v>4322</v>
      </c>
      <c r="C426" s="21" t="s">
        <v>4323</v>
      </c>
      <c r="E426" s="20" t="s">
        <v>1735</v>
      </c>
      <c r="F426" s="20" t="s">
        <v>181</v>
      </c>
      <c r="H426" s="20">
        <v>15</v>
      </c>
      <c r="J426" s="19" t="s">
        <v>1488</v>
      </c>
      <c r="K426" s="20">
        <v>3</v>
      </c>
      <c r="L426" s="20">
        <v>33</v>
      </c>
      <c r="O426" s="20">
        <v>1</v>
      </c>
      <c r="W426" s="20">
        <f>IF(Q426&lt;&gt;0,3,IF(K426="","",VLOOKUP(K426,'#状态名词'!$J$1:$K$15,2,FALSE)))</f>
        <v>3</v>
      </c>
    </row>
    <row r="427" spans="1:30">
      <c r="A427" s="20">
        <v>20140</v>
      </c>
      <c r="B427" s="20" t="s">
        <v>4324</v>
      </c>
      <c r="C427" s="21" t="s">
        <v>4325</v>
      </c>
      <c r="E427" s="20" t="s">
        <v>1834</v>
      </c>
      <c r="F427" s="20" t="s">
        <v>4290</v>
      </c>
      <c r="H427" s="20">
        <v>20</v>
      </c>
      <c r="J427" s="19" t="s">
        <v>1488</v>
      </c>
      <c r="K427" s="20">
        <v>1</v>
      </c>
      <c r="L427" s="20">
        <v>17</v>
      </c>
      <c r="O427" s="20">
        <v>0</v>
      </c>
      <c r="W427" s="20">
        <f>IF(Q427&lt;&gt;0,3,IF(K427="","",VLOOKUP(K427,'#状态名词'!$J$1:$K$15,2,FALSE)))</f>
        <v>1</v>
      </c>
    </row>
    <row r="428" spans="1:30">
      <c r="A428" s="20">
        <v>20141</v>
      </c>
      <c r="B428" s="20" t="s">
        <v>4326</v>
      </c>
      <c r="C428" s="21" t="s">
        <v>4327</v>
      </c>
      <c r="E428" s="20" t="s">
        <v>1735</v>
      </c>
      <c r="F428" s="20" t="s">
        <v>4287</v>
      </c>
      <c r="H428" s="20">
        <v>20</v>
      </c>
      <c r="J428" s="19" t="s">
        <v>1488</v>
      </c>
      <c r="K428" s="20">
        <v>1</v>
      </c>
      <c r="L428" s="20">
        <v>17</v>
      </c>
      <c r="O428" s="20">
        <v>0</v>
      </c>
      <c r="W428" s="20">
        <f>IF(Q428&lt;&gt;0,3,IF(K428="","",VLOOKUP(K428,'#状态名词'!$J$1:$K$15,2,FALSE)))</f>
        <v>1</v>
      </c>
    </row>
    <row r="429" spans="1:30">
      <c r="A429" s="20">
        <v>20142</v>
      </c>
      <c r="B429" s="20" t="s">
        <v>4328</v>
      </c>
      <c r="C429" s="21" t="s">
        <v>4329</v>
      </c>
      <c r="E429" s="20" t="s">
        <v>1674</v>
      </c>
      <c r="F429" s="20" t="s">
        <v>4272</v>
      </c>
      <c r="H429" s="20">
        <v>20</v>
      </c>
      <c r="J429" s="19" t="s">
        <v>1488</v>
      </c>
      <c r="K429" s="20">
        <v>1</v>
      </c>
      <c r="L429" s="20">
        <v>17</v>
      </c>
      <c r="O429" s="20">
        <v>0</v>
      </c>
      <c r="W429" s="20">
        <f>IF(Q429&lt;&gt;0,3,IF(K429="","",VLOOKUP(K429,'#状态名词'!$J$1:$K$15,2,FALSE)))</f>
        <v>1</v>
      </c>
    </row>
    <row r="430" spans="1:30">
      <c r="A430" s="20">
        <v>20143</v>
      </c>
      <c r="B430" s="20" t="s">
        <v>4330</v>
      </c>
      <c r="C430" s="21" t="s">
        <v>8092</v>
      </c>
      <c r="E430" s="20" t="s">
        <v>1835</v>
      </c>
      <c r="G430" s="20">
        <v>20140</v>
      </c>
      <c r="K430" s="20">
        <v>0</v>
      </c>
      <c r="L430" s="20">
        <v>100</v>
      </c>
      <c r="W430" s="20">
        <f>IF(Q430&lt;&gt;0,3,IF(K430="","",VLOOKUP(K430,'#状态名词'!$J$1:$K$15,2,FALSE)))</f>
        <v>0</v>
      </c>
      <c r="AA430" s="20">
        <v>1</v>
      </c>
      <c r="AB430" s="20">
        <v>20128</v>
      </c>
      <c r="AC430" s="20">
        <v>100</v>
      </c>
      <c r="AD430" s="20">
        <v>1</v>
      </c>
    </row>
    <row r="431" spans="1:30">
      <c r="A431" s="20">
        <v>20144</v>
      </c>
      <c r="B431" s="20" t="s">
        <v>4331</v>
      </c>
      <c r="C431" s="21" t="s">
        <v>8093</v>
      </c>
      <c r="E431" s="20" t="s">
        <v>1836</v>
      </c>
      <c r="G431" s="20">
        <v>20141</v>
      </c>
      <c r="K431" s="20">
        <v>0</v>
      </c>
      <c r="L431" s="20">
        <v>100</v>
      </c>
      <c r="W431" s="20">
        <f>IF(Q431&lt;&gt;0,3,IF(K431="","",VLOOKUP(K431,'#状态名词'!$J$1:$K$15,2,FALSE)))</f>
        <v>0</v>
      </c>
      <c r="AA431" s="20">
        <v>1</v>
      </c>
      <c r="AB431" s="20">
        <v>20129</v>
      </c>
      <c r="AC431" s="20">
        <v>100</v>
      </c>
      <c r="AD431" s="20">
        <v>1</v>
      </c>
    </row>
    <row r="432" spans="1:30">
      <c r="A432" s="20">
        <v>20145</v>
      </c>
      <c r="B432" s="20" t="s">
        <v>4332</v>
      </c>
      <c r="C432" s="21" t="s">
        <v>8094</v>
      </c>
      <c r="E432" s="20" t="s">
        <v>1837</v>
      </c>
      <c r="G432" s="20">
        <v>20142</v>
      </c>
      <c r="K432" s="20">
        <v>0</v>
      </c>
      <c r="L432" s="20">
        <v>100</v>
      </c>
      <c r="W432" s="20">
        <f>IF(Q432&lt;&gt;0,3,IF(K432="","",VLOOKUP(K432,'#状态名词'!$J$1:$K$15,2,FALSE)))</f>
        <v>0</v>
      </c>
      <c r="AA432" s="20">
        <v>1</v>
      </c>
      <c r="AB432" s="20">
        <v>20130</v>
      </c>
      <c r="AC432" s="20">
        <v>100</v>
      </c>
      <c r="AD432" s="20">
        <v>1</v>
      </c>
    </row>
    <row r="433" spans="1:30">
      <c r="A433" s="20">
        <v>20146</v>
      </c>
      <c r="B433" s="20" t="s">
        <v>4333</v>
      </c>
      <c r="C433" s="21" t="s">
        <v>4334</v>
      </c>
      <c r="E433" s="20" t="s">
        <v>1838</v>
      </c>
      <c r="F433" s="20" t="s">
        <v>4335</v>
      </c>
      <c r="H433" s="20">
        <v>25</v>
      </c>
      <c r="J433" s="20" t="s">
        <v>115</v>
      </c>
      <c r="K433" s="20">
        <v>8</v>
      </c>
      <c r="L433" s="20">
        <v>17</v>
      </c>
      <c r="O433" s="20">
        <v>0</v>
      </c>
      <c r="W433" s="20">
        <f>IF(Q433&lt;&gt;0,3,IF(K433="","",VLOOKUP(K433,'#状态名词'!$J$1:$K$15,2,FALSE)))</f>
        <v>2</v>
      </c>
    </row>
    <row r="434" spans="1:30">
      <c r="A434" s="20">
        <v>20147</v>
      </c>
      <c r="B434" s="20" t="s">
        <v>4336</v>
      </c>
      <c r="C434" s="21" t="s">
        <v>4337</v>
      </c>
      <c r="E434" s="20" t="s">
        <v>1839</v>
      </c>
      <c r="F434" s="20" t="s">
        <v>4338</v>
      </c>
      <c r="H434" s="20">
        <v>25</v>
      </c>
      <c r="J434" s="20" t="s">
        <v>115</v>
      </c>
      <c r="K434" s="20">
        <v>8</v>
      </c>
      <c r="L434" s="20">
        <v>17</v>
      </c>
      <c r="O434" s="20">
        <v>0</v>
      </c>
      <c r="W434" s="20">
        <f>IF(Q434&lt;&gt;0,3,IF(K434="","",VLOOKUP(K434,'#状态名词'!$J$1:$K$15,2,FALSE)))</f>
        <v>2</v>
      </c>
    </row>
    <row r="435" spans="1:30">
      <c r="A435" s="20">
        <v>20148</v>
      </c>
      <c r="B435" s="20" t="s">
        <v>4339</v>
      </c>
      <c r="C435" s="21" t="s">
        <v>4340</v>
      </c>
      <c r="E435" s="20" t="s">
        <v>1815</v>
      </c>
      <c r="F435" s="20" t="s">
        <v>4341</v>
      </c>
      <c r="H435" s="20">
        <v>25</v>
      </c>
      <c r="J435" s="20" t="s">
        <v>115</v>
      </c>
      <c r="K435" s="20">
        <v>8</v>
      </c>
      <c r="L435" s="20">
        <v>17</v>
      </c>
      <c r="O435" s="20">
        <v>0</v>
      </c>
      <c r="W435" s="20">
        <f>IF(Q435&lt;&gt;0,3,IF(K435="","",VLOOKUP(K435,'#状态名词'!$J$1:$K$15,2,FALSE)))</f>
        <v>2</v>
      </c>
    </row>
    <row r="436" spans="1:30">
      <c r="A436" s="20">
        <v>20149</v>
      </c>
      <c r="B436" s="20" t="s">
        <v>182</v>
      </c>
      <c r="C436" s="21" t="s">
        <v>4342</v>
      </c>
      <c r="E436" s="20" t="s">
        <v>1757</v>
      </c>
      <c r="F436" s="20" t="s">
        <v>176</v>
      </c>
      <c r="H436" s="20">
        <v>20</v>
      </c>
      <c r="J436" s="20" t="s">
        <v>109</v>
      </c>
      <c r="K436" s="20">
        <v>5</v>
      </c>
      <c r="L436" s="20">
        <v>17</v>
      </c>
      <c r="O436" s="20">
        <v>1</v>
      </c>
      <c r="W436" s="20">
        <f>IF(Q436&lt;&gt;0,3,IF(K436="","",VLOOKUP(K436,'#状态名词'!$J$1:$K$15,2,FALSE)))</f>
        <v>1</v>
      </c>
      <c r="AA436" s="20">
        <v>1</v>
      </c>
      <c r="AB436" s="20">
        <v>13</v>
      </c>
      <c r="AC436" s="20">
        <v>50</v>
      </c>
      <c r="AD436" s="20">
        <v>0</v>
      </c>
    </row>
    <row r="437" spans="1:30">
      <c r="A437" s="20">
        <v>20150</v>
      </c>
      <c r="B437" s="20" t="s">
        <v>174</v>
      </c>
      <c r="C437" s="21" t="s">
        <v>4343</v>
      </c>
      <c r="E437" s="20" t="s">
        <v>1757</v>
      </c>
      <c r="F437" s="20" t="s">
        <v>177</v>
      </c>
      <c r="H437" s="20">
        <v>20</v>
      </c>
      <c r="J437" s="20" t="s">
        <v>109</v>
      </c>
      <c r="K437" s="20">
        <v>5</v>
      </c>
      <c r="L437" s="20">
        <v>17</v>
      </c>
      <c r="O437" s="20">
        <v>1</v>
      </c>
      <c r="W437" s="20">
        <f>IF(Q437&lt;&gt;0,3,IF(K437="","",VLOOKUP(K437,'#状态名词'!$J$1:$K$15,2,FALSE)))</f>
        <v>1</v>
      </c>
      <c r="AA437" s="20">
        <v>1</v>
      </c>
      <c r="AB437" s="20">
        <v>12</v>
      </c>
      <c r="AC437" s="20">
        <v>50</v>
      </c>
      <c r="AD437" s="20">
        <v>0</v>
      </c>
    </row>
    <row r="438" spans="1:30">
      <c r="A438" s="20">
        <v>20151</v>
      </c>
      <c r="B438" s="20" t="s">
        <v>173</v>
      </c>
      <c r="C438" s="21" t="s">
        <v>4344</v>
      </c>
      <c r="E438" s="20" t="s">
        <v>1757</v>
      </c>
      <c r="F438" s="20" t="s">
        <v>178</v>
      </c>
      <c r="H438" s="20">
        <v>20</v>
      </c>
      <c r="J438" s="20" t="s">
        <v>109</v>
      </c>
      <c r="K438" s="20">
        <v>5</v>
      </c>
      <c r="L438" s="20">
        <v>17</v>
      </c>
      <c r="O438" s="20">
        <v>1</v>
      </c>
      <c r="W438" s="20">
        <f>IF(Q438&lt;&gt;0,3,IF(K438="","",VLOOKUP(K438,'#状态名词'!$J$1:$K$15,2,FALSE)))</f>
        <v>1</v>
      </c>
      <c r="AA438" s="20">
        <v>1</v>
      </c>
      <c r="AB438" s="20">
        <v>13</v>
      </c>
      <c r="AC438" s="20">
        <v>50</v>
      </c>
      <c r="AD438" s="20">
        <v>0</v>
      </c>
    </row>
    <row r="439" spans="1:30" ht="27">
      <c r="A439" s="20">
        <v>20152</v>
      </c>
      <c r="B439" s="20" t="s">
        <v>4345</v>
      </c>
      <c r="C439" s="21" t="s">
        <v>4346</v>
      </c>
      <c r="E439" s="20" t="s">
        <v>1774</v>
      </c>
      <c r="K439" s="20">
        <v>0</v>
      </c>
      <c r="L439" s="20">
        <v>100</v>
      </c>
      <c r="W439" s="20">
        <f>IF(Q439&lt;&gt;0,3,IF(K439="","",VLOOKUP(K439,'#状态名词'!$J$1:$K$15,2,FALSE)))</f>
        <v>0</v>
      </c>
      <c r="AA439" s="20">
        <v>1</v>
      </c>
      <c r="AB439" s="20">
        <v>20152</v>
      </c>
      <c r="AC439" s="20">
        <v>100</v>
      </c>
      <c r="AD439" s="20">
        <v>1</v>
      </c>
    </row>
    <row r="440" spans="1:30">
      <c r="A440" s="20">
        <v>20153</v>
      </c>
      <c r="B440" s="20" t="s">
        <v>4347</v>
      </c>
      <c r="C440" s="21" t="s">
        <v>8095</v>
      </c>
      <c r="E440" s="20" t="s">
        <v>1840</v>
      </c>
      <c r="H440" s="20">
        <v>0</v>
      </c>
      <c r="J440" s="20" t="s">
        <v>116</v>
      </c>
      <c r="K440" s="20">
        <v>11</v>
      </c>
      <c r="L440" s="20">
        <v>100</v>
      </c>
      <c r="P440" s="20">
        <v>20153</v>
      </c>
      <c r="W440" s="20">
        <f>IF(Q440&lt;&gt;0,3,IF(K440="","",VLOOKUP(K440,'#状态名词'!$J$1:$K$15,2,FALSE)))</f>
        <v>4</v>
      </c>
    </row>
    <row r="441" spans="1:30" ht="27">
      <c r="A441" s="20">
        <v>20154</v>
      </c>
      <c r="B441" s="20" t="s">
        <v>4348</v>
      </c>
      <c r="C441" s="21" t="s">
        <v>9045</v>
      </c>
      <c r="E441" s="20" t="s">
        <v>1841</v>
      </c>
      <c r="G441" s="20">
        <v>20142</v>
      </c>
      <c r="K441" s="20">
        <v>0</v>
      </c>
      <c r="L441" s="20">
        <v>100</v>
      </c>
      <c r="W441" s="20">
        <f>IF(Q441&lt;&gt;0,3,IF(K441="","",VLOOKUP(K441,'#状态名词'!$J$1:$K$15,2,FALSE)))</f>
        <v>0</v>
      </c>
      <c r="AA441" s="20">
        <v>1</v>
      </c>
      <c r="AB441" s="20">
        <v>20154</v>
      </c>
      <c r="AC441" s="20">
        <v>100</v>
      </c>
      <c r="AD441" s="20">
        <v>1</v>
      </c>
    </row>
    <row r="442" spans="1:30" ht="27">
      <c r="A442" s="20">
        <v>20155</v>
      </c>
      <c r="B442" s="20" t="s">
        <v>1460</v>
      </c>
      <c r="C442" s="21" t="s">
        <v>1461</v>
      </c>
      <c r="E442" s="20" t="s">
        <v>1842</v>
      </c>
      <c r="K442" s="20">
        <v>0</v>
      </c>
      <c r="L442" s="20">
        <v>10</v>
      </c>
      <c r="P442" s="20">
        <v>20155</v>
      </c>
      <c r="W442" s="20">
        <f>IF(Q442&lt;&gt;0,3,IF(K442="","",VLOOKUP(K442,'#状态名词'!$J$1:$K$15,2,FALSE)))</f>
        <v>0</v>
      </c>
    </row>
    <row r="443" spans="1:30">
      <c r="A443" s="20">
        <v>20156</v>
      </c>
      <c r="B443" s="20" t="s">
        <v>4349</v>
      </c>
      <c r="C443" s="21" t="s">
        <v>4350</v>
      </c>
      <c r="E443" s="20" t="s">
        <v>1731</v>
      </c>
      <c r="K443" s="20">
        <v>0</v>
      </c>
      <c r="L443" s="20">
        <v>100</v>
      </c>
      <c r="W443" s="20">
        <f>IF(Q443&lt;&gt;0,3,IF(K443="","",VLOOKUP(K443,'#状态名词'!$J$1:$K$15,2,FALSE)))</f>
        <v>0</v>
      </c>
      <c r="AA443" s="20">
        <v>1</v>
      </c>
      <c r="AB443" s="20">
        <v>20156</v>
      </c>
      <c r="AC443" s="20">
        <v>100</v>
      </c>
      <c r="AD443" s="20">
        <v>1</v>
      </c>
    </row>
    <row r="444" spans="1:30" ht="27">
      <c r="A444" s="20">
        <v>20157</v>
      </c>
      <c r="B444" s="20" t="s">
        <v>4351</v>
      </c>
      <c r="C444" s="21" t="s">
        <v>4352</v>
      </c>
      <c r="E444" s="20" t="s">
        <v>1843</v>
      </c>
      <c r="F444" s="20" t="s">
        <v>4353</v>
      </c>
      <c r="H444" s="20">
        <v>10</v>
      </c>
      <c r="J444" s="20" t="s">
        <v>115</v>
      </c>
      <c r="K444" s="20">
        <v>5</v>
      </c>
      <c r="L444" s="20">
        <v>12</v>
      </c>
      <c r="O444" s="20">
        <v>1</v>
      </c>
      <c r="W444" s="20">
        <f>IF(Q444&lt;&gt;0,3,IF(K444="","",VLOOKUP(K444,'#状态名词'!$J$1:$K$15,2,FALSE)))</f>
        <v>1</v>
      </c>
      <c r="AA444" s="20">
        <v>1</v>
      </c>
      <c r="AB444" s="20">
        <v>20157</v>
      </c>
      <c r="AC444" s="20">
        <v>100</v>
      </c>
      <c r="AD444" s="20">
        <v>1</v>
      </c>
    </row>
    <row r="445" spans="1:30">
      <c r="W445" s="20" t="str">
        <f>IF(Q445&lt;&gt;0,3,IF(K445="","",VLOOKUP(K445,'#状态名词'!$J$1:$K$15,2,FALSE)))</f>
        <v/>
      </c>
      <c r="AA445" s="20">
        <v>1</v>
      </c>
      <c r="AB445" s="20">
        <v>13</v>
      </c>
      <c r="AC445" s="20">
        <v>50</v>
      </c>
      <c r="AD445" s="20">
        <v>0</v>
      </c>
    </row>
    <row r="446" spans="1:30" ht="27">
      <c r="A446" s="20">
        <v>20158</v>
      </c>
      <c r="B446" s="20" t="s">
        <v>4354</v>
      </c>
      <c r="C446" s="21" t="s">
        <v>8096</v>
      </c>
      <c r="E446" s="20" t="s">
        <v>1767</v>
      </c>
      <c r="K446" s="20">
        <v>0</v>
      </c>
      <c r="L446" s="20">
        <v>15</v>
      </c>
      <c r="P446" s="20">
        <v>20158</v>
      </c>
      <c r="W446" s="20">
        <f>IF(Q446&lt;&gt;0,3,IF(K446="","",VLOOKUP(K446,'#状态名词'!$J$1:$K$15,2,FALSE)))</f>
        <v>0</v>
      </c>
      <c r="AA446" s="20">
        <v>1</v>
      </c>
      <c r="AB446" s="20">
        <v>20158</v>
      </c>
      <c r="AC446" s="20">
        <v>15</v>
      </c>
      <c r="AD446" s="20">
        <v>1</v>
      </c>
    </row>
    <row r="447" spans="1:30">
      <c r="A447" s="20">
        <v>20159</v>
      </c>
      <c r="B447" s="20" t="s">
        <v>4355</v>
      </c>
      <c r="C447" s="21" t="s">
        <v>6780</v>
      </c>
      <c r="E447" s="20" t="s">
        <v>1651</v>
      </c>
      <c r="K447" s="20">
        <v>6</v>
      </c>
      <c r="L447" s="20">
        <v>100</v>
      </c>
      <c r="W447" s="20">
        <f>IF(Q447&lt;&gt;0,3,IF(K447="","",VLOOKUP(K447,'#状态名词'!$J$1:$K$15,2,FALSE)))</f>
        <v>3</v>
      </c>
      <c r="AA447" s="20">
        <v>1</v>
      </c>
      <c r="AB447" s="20">
        <v>20159</v>
      </c>
      <c r="AC447" s="20">
        <v>5</v>
      </c>
      <c r="AD447" s="20">
        <v>1</v>
      </c>
    </row>
    <row r="448" spans="1:30">
      <c r="A448" s="20">
        <v>23101</v>
      </c>
      <c r="B448" s="20" t="s">
        <v>4356</v>
      </c>
      <c r="C448" s="21" t="s">
        <v>4357</v>
      </c>
      <c r="E448" s="20" t="s">
        <v>1844</v>
      </c>
      <c r="F448" s="20" t="s">
        <v>4358</v>
      </c>
      <c r="H448" s="20">
        <v>13</v>
      </c>
      <c r="J448" s="19" t="s">
        <v>1485</v>
      </c>
      <c r="K448" s="20">
        <v>5</v>
      </c>
      <c r="L448" s="20">
        <v>15</v>
      </c>
      <c r="O448" s="20">
        <v>0</v>
      </c>
      <c r="W448" s="20">
        <f>IF(Q448&lt;&gt;0,3,IF(K448="","",VLOOKUP(K448,'#状态名词'!$J$1:$K$15,2,FALSE)))</f>
        <v>1</v>
      </c>
    </row>
    <row r="449" spans="1:31">
      <c r="A449" s="20">
        <v>23102</v>
      </c>
      <c r="B449" s="20" t="s">
        <v>1433</v>
      </c>
      <c r="C449" s="21" t="s">
        <v>6781</v>
      </c>
      <c r="E449" s="20" t="s">
        <v>1845</v>
      </c>
      <c r="W449" s="20" t="str">
        <f>IF(Q449&lt;&gt;0,3,IF(K449="","",VLOOKUP(K449,'#状态名词'!$J$1:$K$15,2,FALSE)))</f>
        <v/>
      </c>
      <c r="AA449" s="20">
        <v>1</v>
      </c>
      <c r="AB449" s="20">
        <v>23101</v>
      </c>
      <c r="AC449" s="20">
        <v>100</v>
      </c>
      <c r="AD449" s="20">
        <v>1</v>
      </c>
    </row>
    <row r="450" spans="1:31">
      <c r="A450" s="20">
        <v>23103</v>
      </c>
      <c r="B450" s="20" t="s">
        <v>1434</v>
      </c>
      <c r="C450" s="21" t="s">
        <v>6782</v>
      </c>
      <c r="E450" s="20" t="s">
        <v>1846</v>
      </c>
      <c r="W450" s="20" t="str">
        <f>IF(Q450&lt;&gt;0,3,IF(K450="","",VLOOKUP(K450,'#状态名词'!$J$1:$K$15,2,FALSE)))</f>
        <v/>
      </c>
      <c r="AA450" s="20">
        <v>1</v>
      </c>
      <c r="AB450" s="20">
        <v>23102</v>
      </c>
      <c r="AC450" s="20">
        <v>100</v>
      </c>
      <c r="AD450" s="20">
        <v>1</v>
      </c>
    </row>
    <row r="451" spans="1:31">
      <c r="A451" s="20">
        <v>23104</v>
      </c>
      <c r="B451" s="20" t="s">
        <v>4359</v>
      </c>
      <c r="C451" s="21" t="s">
        <v>6783</v>
      </c>
      <c r="E451" s="20" t="s">
        <v>1781</v>
      </c>
      <c r="K451" s="20">
        <v>9</v>
      </c>
      <c r="W451" s="20">
        <f>IF(Q451&lt;&gt;0,3,IF(K451="","",VLOOKUP(K451,'#状态名词'!$J$1:$K$15,2,FALSE)))</f>
        <v>3</v>
      </c>
      <c r="AA451" s="20">
        <v>1</v>
      </c>
      <c r="AB451" s="20">
        <v>23103</v>
      </c>
      <c r="AC451" s="20">
        <v>100</v>
      </c>
      <c r="AD451" s="20">
        <v>1</v>
      </c>
    </row>
    <row r="452" spans="1:31">
      <c r="A452" s="20">
        <v>23105</v>
      </c>
      <c r="B452" s="20" t="s">
        <v>4360</v>
      </c>
      <c r="C452" s="21" t="s">
        <v>6475</v>
      </c>
      <c r="E452" s="20" t="s">
        <v>1847</v>
      </c>
      <c r="G452" s="20">
        <v>23101</v>
      </c>
      <c r="W452" s="20" t="str">
        <f>IF(Q452&lt;&gt;0,3,IF(K452="","",VLOOKUP(K452,'#状态名词'!$J$1:$K$15,2,FALSE)))</f>
        <v/>
      </c>
      <c r="AA452" s="20">
        <v>1</v>
      </c>
      <c r="AB452" s="20">
        <v>23104</v>
      </c>
      <c r="AC452" s="20">
        <v>100</v>
      </c>
      <c r="AD452" s="20">
        <v>1</v>
      </c>
    </row>
    <row r="453" spans="1:31">
      <c r="A453" s="20">
        <v>23201</v>
      </c>
      <c r="B453" s="20" t="s">
        <v>4361</v>
      </c>
      <c r="C453" s="21" t="s">
        <v>4362</v>
      </c>
      <c r="E453" s="20" t="s">
        <v>1732</v>
      </c>
      <c r="F453" s="20" t="s">
        <v>4363</v>
      </c>
      <c r="H453" s="20">
        <v>30</v>
      </c>
      <c r="J453" s="19" t="s">
        <v>1485</v>
      </c>
      <c r="K453" s="20">
        <v>5</v>
      </c>
      <c r="L453" s="20">
        <v>12</v>
      </c>
      <c r="O453" s="20">
        <v>1</v>
      </c>
      <c r="W453" s="20">
        <f>IF(Q453&lt;&gt;0,3,IF(K453="","",VLOOKUP(K453,'#状态名词'!$J$1:$K$15,2,FALSE)))</f>
        <v>1</v>
      </c>
    </row>
    <row r="454" spans="1:31">
      <c r="A454" s="20">
        <v>23202</v>
      </c>
      <c r="B454" s="20" t="s">
        <v>4364</v>
      </c>
      <c r="C454" s="21" t="s">
        <v>8097</v>
      </c>
      <c r="E454" s="20" t="s">
        <v>1848</v>
      </c>
      <c r="W454" s="20" t="str">
        <f>IF(Q454&lt;&gt;0,3,IF(K454="","",VLOOKUP(K454,'#状态名词'!$J$1:$K$15,2,FALSE)))</f>
        <v/>
      </c>
      <c r="AA454" s="20">
        <v>1</v>
      </c>
      <c r="AB454" s="20">
        <v>23201</v>
      </c>
      <c r="AC454" s="20">
        <v>100</v>
      </c>
      <c r="AD454" s="20">
        <v>2</v>
      </c>
    </row>
    <row r="455" spans="1:31">
      <c r="A455" s="20">
        <v>23203</v>
      </c>
      <c r="B455" s="20" t="s">
        <v>4365</v>
      </c>
      <c r="C455" s="21" t="s">
        <v>6784</v>
      </c>
      <c r="E455" s="20" t="s">
        <v>1849</v>
      </c>
      <c r="W455" s="20" t="str">
        <f>IF(Q455&lt;&gt;0,3,IF(K455="","",VLOOKUP(K455,'#状态名词'!$J$1:$K$15,2,FALSE)))</f>
        <v/>
      </c>
      <c r="AA455" s="20">
        <v>1</v>
      </c>
      <c r="AB455" s="20">
        <v>23202</v>
      </c>
      <c r="AC455" s="20">
        <v>100</v>
      </c>
      <c r="AD455" s="20">
        <v>1</v>
      </c>
    </row>
    <row r="456" spans="1:31">
      <c r="A456" s="20">
        <v>23204</v>
      </c>
      <c r="B456" s="20" t="s">
        <v>4366</v>
      </c>
      <c r="C456" s="21" t="s">
        <v>6785</v>
      </c>
      <c r="E456" s="20" t="s">
        <v>1850</v>
      </c>
      <c r="W456" s="20" t="str">
        <f>IF(Q456&lt;&gt;0,3,IF(K456="","",VLOOKUP(K456,'#状态名词'!$J$1:$K$15,2,FALSE)))</f>
        <v/>
      </c>
      <c r="AA456" s="20">
        <v>1</v>
      </c>
      <c r="AB456" s="20">
        <v>23203</v>
      </c>
      <c r="AC456" s="20">
        <v>100</v>
      </c>
      <c r="AD456" s="20">
        <v>1</v>
      </c>
    </row>
    <row r="457" spans="1:31">
      <c r="A457" s="20">
        <v>23205</v>
      </c>
      <c r="B457" s="20" t="s">
        <v>4367</v>
      </c>
      <c r="C457" s="21" t="s">
        <v>6789</v>
      </c>
      <c r="E457" s="20" t="s">
        <v>1741</v>
      </c>
      <c r="K457" s="20">
        <v>9</v>
      </c>
      <c r="W457" s="20">
        <f>IF(Q457&lt;&gt;0,3,IF(K457="","",VLOOKUP(K457,'#状态名词'!$J$1:$K$15,2,FALSE)))</f>
        <v>3</v>
      </c>
      <c r="AA457" s="20">
        <v>1</v>
      </c>
      <c r="AB457" s="20">
        <v>34</v>
      </c>
      <c r="AC457" s="20" t="s">
        <v>4368</v>
      </c>
      <c r="AD457" s="20">
        <v>1</v>
      </c>
    </row>
    <row r="458" spans="1:31">
      <c r="A458" s="20">
        <v>23301</v>
      </c>
      <c r="B458" s="20" t="s">
        <v>4369</v>
      </c>
      <c r="C458" s="21" t="s">
        <v>6788</v>
      </c>
      <c r="E458" s="20" t="s">
        <v>1851</v>
      </c>
      <c r="K458" s="20">
        <v>9</v>
      </c>
      <c r="W458" s="20">
        <f>IF(Q458&lt;&gt;0,3,IF(K458="","",VLOOKUP(K458,'#状态名词'!$J$1:$K$15,2,FALSE)))</f>
        <v>3</v>
      </c>
      <c r="AA458" s="20">
        <v>1</v>
      </c>
      <c r="AB458" s="20">
        <v>23301</v>
      </c>
      <c r="AC458" s="20">
        <v>20</v>
      </c>
      <c r="AD458" s="20">
        <v>1</v>
      </c>
    </row>
    <row r="459" spans="1:31">
      <c r="A459" s="20">
        <v>23302</v>
      </c>
      <c r="B459" s="20" t="s">
        <v>4370</v>
      </c>
      <c r="C459" s="21" t="s">
        <v>6786</v>
      </c>
      <c r="E459" s="20" t="s">
        <v>1852</v>
      </c>
      <c r="W459" s="20" t="str">
        <f>IF(Q459&lt;&gt;0,3,IF(K459="","",VLOOKUP(K459,'#状态名词'!$J$1:$K$15,2,FALSE)))</f>
        <v/>
      </c>
      <c r="AA459" s="20">
        <v>1</v>
      </c>
      <c r="AB459" s="20">
        <v>23302</v>
      </c>
      <c r="AC459" s="20">
        <v>100</v>
      </c>
      <c r="AD459" s="20">
        <v>1</v>
      </c>
    </row>
    <row r="460" spans="1:31">
      <c r="A460" s="20">
        <v>23303</v>
      </c>
      <c r="B460" s="20" t="s">
        <v>4371</v>
      </c>
      <c r="C460" s="21" t="s">
        <v>6787</v>
      </c>
      <c r="E460" s="20" t="s">
        <v>1771</v>
      </c>
      <c r="W460" s="20" t="str">
        <f>IF(Q460&lt;&gt;0,3,IF(K460="","",VLOOKUP(K460,'#状态名词'!$J$1:$K$15,2,FALSE)))</f>
        <v/>
      </c>
      <c r="AA460" s="20">
        <v>1</v>
      </c>
      <c r="AB460" s="20">
        <v>23303</v>
      </c>
      <c r="AC460" s="20">
        <v>100</v>
      </c>
      <c r="AD460" s="20">
        <v>1</v>
      </c>
    </row>
    <row r="461" spans="1:31">
      <c r="A461" s="20">
        <v>23304</v>
      </c>
      <c r="B461" s="20" t="s">
        <v>4372</v>
      </c>
      <c r="C461" s="21" t="s">
        <v>4373</v>
      </c>
      <c r="E461" s="20" t="s">
        <v>1853</v>
      </c>
      <c r="K461" s="20">
        <v>6</v>
      </c>
      <c r="W461" s="20">
        <f>IF(Q461&lt;&gt;0,3,IF(K461="","",VLOOKUP(K461,'#状态名词'!$J$1:$K$15,2,FALSE)))</f>
        <v>3</v>
      </c>
      <c r="AA461" s="20">
        <v>1</v>
      </c>
      <c r="AB461" s="20">
        <v>5</v>
      </c>
      <c r="AC461" s="20" t="s">
        <v>3870</v>
      </c>
      <c r="AD461" s="20">
        <v>0</v>
      </c>
      <c r="AE461" s="20">
        <v>2</v>
      </c>
    </row>
    <row r="462" spans="1:31" ht="27">
      <c r="A462" s="20">
        <v>23305</v>
      </c>
      <c r="B462" s="20" t="s">
        <v>4374</v>
      </c>
      <c r="C462" s="21" t="s">
        <v>6476</v>
      </c>
      <c r="E462" s="20" t="s">
        <v>1703</v>
      </c>
      <c r="F462" s="20" t="s">
        <v>4375</v>
      </c>
      <c r="H462" s="20">
        <v>90</v>
      </c>
      <c r="J462" s="19" t="s">
        <v>1485</v>
      </c>
      <c r="K462" s="20">
        <v>5</v>
      </c>
      <c r="L462" s="20">
        <v>4</v>
      </c>
      <c r="O462" s="20">
        <v>0</v>
      </c>
      <c r="W462" s="20">
        <f>IF(Q462&lt;&gt;0,3,IF(K462="","",VLOOKUP(K462,'#状态名词'!$J$1:$K$15,2,FALSE)))</f>
        <v>1</v>
      </c>
      <c r="AA462" s="20">
        <v>1</v>
      </c>
      <c r="AB462" s="20">
        <v>23305</v>
      </c>
      <c r="AC462" s="20">
        <v>100</v>
      </c>
      <c r="AD462" s="20">
        <v>1</v>
      </c>
    </row>
    <row r="463" spans="1:31">
      <c r="A463" s="20">
        <v>23401</v>
      </c>
      <c r="B463" s="20" t="s">
        <v>4376</v>
      </c>
      <c r="C463" s="21" t="s">
        <v>6790</v>
      </c>
      <c r="E463" s="20" t="s">
        <v>1854</v>
      </c>
      <c r="W463" s="20" t="str">
        <f>IF(Q463&lt;&gt;0,3,IF(K463="","",VLOOKUP(K463,'#状态名词'!$J$1:$K$15,2,FALSE)))</f>
        <v/>
      </c>
      <c r="AA463" s="20">
        <v>1</v>
      </c>
      <c r="AB463" s="20">
        <v>23401</v>
      </c>
      <c r="AC463" s="20">
        <v>100</v>
      </c>
      <c r="AD463" s="20">
        <v>1</v>
      </c>
    </row>
    <row r="464" spans="1:31">
      <c r="A464" s="20">
        <v>23402</v>
      </c>
      <c r="B464" s="20" t="s">
        <v>4377</v>
      </c>
      <c r="C464" s="21" t="s">
        <v>6791</v>
      </c>
      <c r="E464" s="20" t="s">
        <v>1855</v>
      </c>
      <c r="W464" s="20" t="str">
        <f>IF(Q464&lt;&gt;0,3,IF(K464="","",VLOOKUP(K464,'#状态名词'!$J$1:$K$15,2,FALSE)))</f>
        <v/>
      </c>
      <c r="AA464" s="20">
        <v>1</v>
      </c>
      <c r="AB464" s="20">
        <v>23402</v>
      </c>
      <c r="AC464" s="20">
        <v>100</v>
      </c>
      <c r="AD464" s="20">
        <v>1</v>
      </c>
    </row>
    <row r="465" spans="1:31">
      <c r="A465" s="20">
        <v>23403</v>
      </c>
      <c r="B465" s="20" t="s">
        <v>4378</v>
      </c>
      <c r="C465" s="21" t="s">
        <v>6477</v>
      </c>
      <c r="E465" s="20" t="s">
        <v>1856</v>
      </c>
      <c r="H465" s="20">
        <v>12</v>
      </c>
      <c r="J465" s="20" t="s">
        <v>116</v>
      </c>
      <c r="K465" s="20">
        <v>2</v>
      </c>
      <c r="L465" s="20">
        <v>30</v>
      </c>
      <c r="W465" s="20">
        <f>IF(Q465&lt;&gt;0,3,IF(K465="","",VLOOKUP(K465,'#状态名词'!$J$1:$K$15,2,FALSE)))</f>
        <v>3</v>
      </c>
      <c r="AA465" s="20">
        <v>1</v>
      </c>
      <c r="AB465" s="20">
        <v>23403</v>
      </c>
      <c r="AC465" s="20">
        <v>100</v>
      </c>
      <c r="AD465" s="20">
        <v>1</v>
      </c>
    </row>
    <row r="466" spans="1:31">
      <c r="A466" s="20">
        <v>23404</v>
      </c>
      <c r="B466" s="20" t="s">
        <v>4379</v>
      </c>
      <c r="C466" s="21" t="s">
        <v>6478</v>
      </c>
      <c r="E466" s="20" t="s">
        <v>1857</v>
      </c>
      <c r="K466" s="20">
        <v>9</v>
      </c>
      <c r="W466" s="20">
        <f>IF(Q466&lt;&gt;0,3,IF(K466="","",VLOOKUP(K466,'#状态名词'!$J$1:$K$15,2,FALSE)))</f>
        <v>3</v>
      </c>
      <c r="AA466" s="20">
        <v>1</v>
      </c>
      <c r="AB466" s="20">
        <v>4</v>
      </c>
      <c r="AC466" s="20" t="s">
        <v>4380</v>
      </c>
      <c r="AD466" s="20">
        <v>0</v>
      </c>
      <c r="AE466" s="20">
        <v>1</v>
      </c>
    </row>
    <row r="467" spans="1:31">
      <c r="A467" s="20">
        <v>23405</v>
      </c>
      <c r="B467" s="20" t="s">
        <v>4381</v>
      </c>
      <c r="C467" s="21" t="s">
        <v>9015</v>
      </c>
      <c r="E467" s="20" t="s">
        <v>1795</v>
      </c>
      <c r="K467" s="20">
        <v>10</v>
      </c>
      <c r="W467" s="20">
        <f>IF(Q467&lt;&gt;0,3,IF(K467="","",VLOOKUP(K467,'#状态名词'!$J$1:$K$15,2,FALSE)))</f>
        <v>3</v>
      </c>
      <c r="AA467" s="20">
        <v>1</v>
      </c>
      <c r="AB467" s="20">
        <v>23404</v>
      </c>
      <c r="AC467" s="20">
        <v>100</v>
      </c>
      <c r="AD467" s="20">
        <v>1</v>
      </c>
    </row>
    <row r="468" spans="1:31">
      <c r="A468" s="20">
        <v>23501</v>
      </c>
      <c r="B468" s="20" t="s">
        <v>4382</v>
      </c>
      <c r="C468" s="21" t="s">
        <v>4383</v>
      </c>
      <c r="E468" s="20" t="s">
        <v>1858</v>
      </c>
      <c r="F468" s="20" t="s">
        <v>4384</v>
      </c>
      <c r="H468" s="20">
        <v>10</v>
      </c>
      <c r="J468" s="19" t="s">
        <v>1485</v>
      </c>
      <c r="K468" s="20">
        <v>5</v>
      </c>
      <c r="L468" s="20">
        <v>12</v>
      </c>
      <c r="O468" s="20">
        <v>1</v>
      </c>
      <c r="W468" s="20">
        <f>IF(Q468&lt;&gt;0,3,IF(K468="","",VLOOKUP(K468,'#状态名词'!$J$1:$K$15,2,FALSE)))</f>
        <v>1</v>
      </c>
    </row>
    <row r="469" spans="1:31">
      <c r="A469" s="20">
        <v>23502</v>
      </c>
      <c r="B469" s="20" t="s">
        <v>4385</v>
      </c>
      <c r="C469" s="21" t="s">
        <v>6479</v>
      </c>
      <c r="E469" s="20" t="s">
        <v>1745</v>
      </c>
      <c r="G469" s="20">
        <v>23501</v>
      </c>
      <c r="W469" s="20" t="str">
        <f>IF(Q469&lt;&gt;0,3,IF(K469="","",VLOOKUP(K469,'#状态名词'!$J$1:$K$15,2,FALSE)))</f>
        <v/>
      </c>
      <c r="AA469" s="20">
        <v>1</v>
      </c>
      <c r="AB469" s="20">
        <v>3</v>
      </c>
      <c r="AC469" s="20" t="s">
        <v>4386</v>
      </c>
      <c r="AD469" s="20">
        <v>0</v>
      </c>
      <c r="AE469" s="20">
        <v>1</v>
      </c>
    </row>
    <row r="470" spans="1:31">
      <c r="A470" s="20">
        <v>23503</v>
      </c>
      <c r="B470" s="20" t="s">
        <v>4387</v>
      </c>
      <c r="C470" s="21" t="s">
        <v>6792</v>
      </c>
      <c r="E470" s="20" t="s">
        <v>1859</v>
      </c>
      <c r="W470" s="20" t="str">
        <f>IF(Q470&lt;&gt;0,3,IF(K470="","",VLOOKUP(K470,'#状态名词'!$J$1:$K$15,2,FALSE)))</f>
        <v/>
      </c>
      <c r="AA470" s="20">
        <v>1</v>
      </c>
      <c r="AB470" s="20">
        <v>23501</v>
      </c>
      <c r="AC470" s="20">
        <v>100</v>
      </c>
      <c r="AD470" s="20">
        <v>1</v>
      </c>
    </row>
    <row r="471" spans="1:31">
      <c r="A471" s="20">
        <v>23504</v>
      </c>
      <c r="B471" s="20" t="s">
        <v>4388</v>
      </c>
      <c r="C471" s="21" t="s">
        <v>6793</v>
      </c>
      <c r="E471" s="20" t="s">
        <v>1787</v>
      </c>
      <c r="W471" s="20" t="str">
        <f>IF(Q471&lt;&gt;0,3,IF(K471="","",VLOOKUP(K471,'#状态名词'!$J$1:$K$15,2,FALSE)))</f>
        <v/>
      </c>
      <c r="AA471" s="20">
        <v>1</v>
      </c>
      <c r="AB471" s="20">
        <v>23502</v>
      </c>
      <c r="AC471" s="20">
        <v>100</v>
      </c>
      <c r="AD471" s="20">
        <v>1</v>
      </c>
    </row>
    <row r="472" spans="1:31">
      <c r="A472" s="20">
        <v>23505</v>
      </c>
      <c r="B472" s="20" t="s">
        <v>4389</v>
      </c>
      <c r="C472" s="21" t="s">
        <v>6794</v>
      </c>
      <c r="E472" s="20" t="s">
        <v>1711</v>
      </c>
      <c r="W472" s="20" t="str">
        <f>IF(Q472&lt;&gt;0,3,IF(K472="","",VLOOKUP(K472,'#状态名词'!$J$1:$K$15,2,FALSE)))</f>
        <v/>
      </c>
      <c r="AA472" s="20">
        <v>1</v>
      </c>
      <c r="AB472" s="20">
        <v>23503</v>
      </c>
      <c r="AC472" s="20">
        <v>100</v>
      </c>
      <c r="AD472" s="20">
        <v>1</v>
      </c>
    </row>
    <row r="473" spans="1:31">
      <c r="A473" s="20">
        <v>23601</v>
      </c>
      <c r="B473" s="20" t="s">
        <v>4390</v>
      </c>
      <c r="C473" s="21" t="s">
        <v>6795</v>
      </c>
      <c r="E473" s="20" t="s">
        <v>1781</v>
      </c>
      <c r="W473" s="20" t="str">
        <f>IF(Q473&lt;&gt;0,3,IF(K473="","",VLOOKUP(K473,'#状态名词'!$J$1:$K$15,2,FALSE)))</f>
        <v/>
      </c>
      <c r="AA473" s="20">
        <v>1</v>
      </c>
      <c r="AB473" s="20">
        <v>23601</v>
      </c>
      <c r="AC473" s="20">
        <v>100</v>
      </c>
      <c r="AD473" s="20">
        <v>1</v>
      </c>
    </row>
    <row r="474" spans="1:31">
      <c r="A474" s="20">
        <v>23602</v>
      </c>
      <c r="B474" s="20" t="s">
        <v>4302</v>
      </c>
      <c r="C474" s="21" t="s">
        <v>6480</v>
      </c>
      <c r="E474" s="20" t="s">
        <v>1860</v>
      </c>
      <c r="K474" s="20">
        <v>9</v>
      </c>
      <c r="W474" s="20">
        <f>IF(Q474&lt;&gt;0,3,IF(K474="","",VLOOKUP(K474,'#状态名词'!$J$1:$K$15,2,FALSE)))</f>
        <v>3</v>
      </c>
      <c r="AA474" s="20">
        <v>1</v>
      </c>
      <c r="AB474" s="20">
        <v>44</v>
      </c>
      <c r="AC474" s="20" t="s">
        <v>4391</v>
      </c>
      <c r="AD474" s="20">
        <v>1</v>
      </c>
      <c r="AE474" s="20">
        <v>1</v>
      </c>
    </row>
    <row r="475" spans="1:31" ht="27">
      <c r="A475" s="20">
        <v>23603</v>
      </c>
      <c r="B475" s="20" t="s">
        <v>4392</v>
      </c>
      <c r="C475" s="21" t="s">
        <v>6796</v>
      </c>
      <c r="E475" s="20" t="s">
        <v>1861</v>
      </c>
      <c r="W475" s="20" t="str">
        <f>IF(Q475&lt;&gt;0,3,IF(K475="","",VLOOKUP(K475,'#状态名词'!$J$1:$K$15,2,FALSE)))</f>
        <v/>
      </c>
      <c r="AA475" s="20">
        <v>1</v>
      </c>
      <c r="AB475" s="20">
        <v>23602</v>
      </c>
      <c r="AC475" s="20">
        <v>100</v>
      </c>
      <c r="AD475" s="20">
        <v>1</v>
      </c>
    </row>
    <row r="476" spans="1:31">
      <c r="A476" s="20">
        <v>23604</v>
      </c>
      <c r="B476" s="20" t="s">
        <v>4393</v>
      </c>
      <c r="C476" s="21" t="s">
        <v>7136</v>
      </c>
      <c r="E476" s="20" t="s">
        <v>1690</v>
      </c>
      <c r="W476" s="20" t="str">
        <f>IF(Q476&lt;&gt;0,3,IF(K476="","",VLOOKUP(K476,'#状态名词'!$J$1:$K$15,2,FALSE)))</f>
        <v/>
      </c>
      <c r="AA476" s="20">
        <v>1</v>
      </c>
      <c r="AB476" s="20">
        <v>23603</v>
      </c>
      <c r="AC476" s="20">
        <v>100</v>
      </c>
      <c r="AD476" s="20">
        <v>1</v>
      </c>
    </row>
    <row r="477" spans="1:31">
      <c r="A477" s="20">
        <v>23605</v>
      </c>
      <c r="B477" s="20" t="s">
        <v>4394</v>
      </c>
      <c r="C477" s="21" t="s">
        <v>6797</v>
      </c>
      <c r="E477" s="20" t="s">
        <v>1862</v>
      </c>
      <c r="W477" s="20" t="str">
        <f>IF(Q477&lt;&gt;0,3,IF(K477="","",VLOOKUP(K477,'#状态名词'!$J$1:$K$15,2,FALSE)))</f>
        <v/>
      </c>
      <c r="AA477" s="20">
        <v>1</v>
      </c>
      <c r="AB477" s="20">
        <v>23604</v>
      </c>
      <c r="AC477" s="20">
        <v>100</v>
      </c>
      <c r="AD477" s="20">
        <v>1</v>
      </c>
    </row>
    <row r="478" spans="1:31">
      <c r="A478" s="20">
        <v>23701</v>
      </c>
      <c r="B478" s="20" t="s">
        <v>4395</v>
      </c>
      <c r="C478" s="21" t="s">
        <v>4396</v>
      </c>
      <c r="E478" s="20" t="s">
        <v>1863</v>
      </c>
      <c r="F478" s="20" t="s">
        <v>4397</v>
      </c>
      <c r="H478" s="20">
        <v>12</v>
      </c>
      <c r="J478" s="19" t="s">
        <v>1485</v>
      </c>
      <c r="K478" s="20">
        <v>5</v>
      </c>
      <c r="L478" s="20">
        <v>12</v>
      </c>
      <c r="O478" s="20">
        <v>0</v>
      </c>
      <c r="W478" s="20">
        <f>IF(Q478&lt;&gt;0,3,IF(K478="","",VLOOKUP(K478,'#状态名词'!$J$1:$K$15,2,FALSE)))</f>
        <v>1</v>
      </c>
    </row>
    <row r="479" spans="1:31">
      <c r="A479" s="20">
        <v>23702</v>
      </c>
      <c r="B479" s="20" t="s">
        <v>4398</v>
      </c>
      <c r="C479" s="21" t="s">
        <v>6798</v>
      </c>
      <c r="E479" s="20" t="s">
        <v>1864</v>
      </c>
      <c r="W479" s="20" t="str">
        <f>IF(Q479&lt;&gt;0,3,IF(K479="","",VLOOKUP(K479,'#状态名词'!$J$1:$K$15,2,FALSE)))</f>
        <v/>
      </c>
      <c r="AA479" s="20">
        <v>1</v>
      </c>
      <c r="AB479" s="20">
        <v>23701</v>
      </c>
      <c r="AC479" s="20">
        <v>100</v>
      </c>
      <c r="AD479" s="20">
        <v>1</v>
      </c>
    </row>
    <row r="480" spans="1:31">
      <c r="A480" s="20">
        <v>23703</v>
      </c>
      <c r="B480" s="20" t="s">
        <v>4399</v>
      </c>
      <c r="C480" s="21" t="s">
        <v>6799</v>
      </c>
      <c r="E480" s="20" t="s">
        <v>1808</v>
      </c>
      <c r="W480" s="20" t="str">
        <f>IF(Q480&lt;&gt;0,3,IF(K480="","",VLOOKUP(K480,'#状态名词'!$J$1:$K$15,2,FALSE)))</f>
        <v/>
      </c>
      <c r="AA480" s="20">
        <v>1</v>
      </c>
      <c r="AB480" s="20">
        <v>23702</v>
      </c>
      <c r="AC480" s="20">
        <v>100</v>
      </c>
      <c r="AD480" s="20">
        <v>1</v>
      </c>
    </row>
    <row r="481" spans="1:30">
      <c r="A481" s="20">
        <v>23704</v>
      </c>
      <c r="B481" s="20" t="s">
        <v>4400</v>
      </c>
      <c r="C481" s="21" t="s">
        <v>6801</v>
      </c>
      <c r="E481" s="20" t="s">
        <v>1670</v>
      </c>
      <c r="K481" s="20">
        <v>9</v>
      </c>
      <c r="W481" s="20">
        <f>IF(Q481&lt;&gt;0,3,IF(K481="","",VLOOKUP(K481,'#状态名词'!$J$1:$K$15,2,FALSE)))</f>
        <v>3</v>
      </c>
      <c r="AA481" s="20">
        <v>1</v>
      </c>
      <c r="AB481" s="20">
        <v>23703</v>
      </c>
      <c r="AC481" s="20">
        <v>10</v>
      </c>
      <c r="AD481" s="20">
        <v>0</v>
      </c>
    </row>
    <row r="482" spans="1:30">
      <c r="A482" s="20">
        <v>23705</v>
      </c>
      <c r="B482" s="20" t="s">
        <v>4401</v>
      </c>
      <c r="C482" s="21" t="s">
        <v>6481</v>
      </c>
      <c r="E482" s="20" t="s">
        <v>1865</v>
      </c>
      <c r="K482" s="20">
        <v>9</v>
      </c>
      <c r="W482" s="20">
        <f>IF(Q482&lt;&gt;0,3,IF(K482="","",VLOOKUP(K482,'#状态名词'!$J$1:$K$15,2,FALSE)))</f>
        <v>3</v>
      </c>
      <c r="AA482" s="20">
        <v>1</v>
      </c>
      <c r="AB482" s="20">
        <v>4</v>
      </c>
      <c r="AC482" s="20" t="s">
        <v>4402</v>
      </c>
      <c r="AD482" s="20">
        <v>0</v>
      </c>
    </row>
    <row r="483" spans="1:30">
      <c r="A483" s="20">
        <v>23801</v>
      </c>
      <c r="B483" s="20" t="s">
        <v>4403</v>
      </c>
      <c r="C483" s="21" t="s">
        <v>6800</v>
      </c>
      <c r="E483" s="20" t="s">
        <v>1866</v>
      </c>
      <c r="W483" s="20" t="str">
        <f>IF(Q483&lt;&gt;0,3,IF(K483="","",VLOOKUP(K483,'#状态名词'!$J$1:$K$15,2,FALSE)))</f>
        <v/>
      </c>
      <c r="AA483" s="20">
        <v>1</v>
      </c>
      <c r="AB483" s="20">
        <v>23801</v>
      </c>
      <c r="AC483" s="20">
        <v>100</v>
      </c>
      <c r="AD483" s="20">
        <v>1</v>
      </c>
    </row>
    <row r="484" spans="1:30">
      <c r="A484" s="20">
        <v>23802</v>
      </c>
      <c r="B484" s="20" t="s">
        <v>4404</v>
      </c>
      <c r="C484" s="21" t="s">
        <v>6802</v>
      </c>
      <c r="E484" s="20" t="s">
        <v>1675</v>
      </c>
      <c r="K484" s="20">
        <v>9</v>
      </c>
      <c r="W484" s="20">
        <f>IF(Q484&lt;&gt;0,3,IF(K484="","",VLOOKUP(K484,'#状态名词'!$J$1:$K$15,2,FALSE)))</f>
        <v>3</v>
      </c>
      <c r="AA484" s="20">
        <v>1</v>
      </c>
      <c r="AB484" s="20">
        <v>23802</v>
      </c>
      <c r="AC484" s="20">
        <v>10</v>
      </c>
      <c r="AD484" s="20">
        <v>1</v>
      </c>
    </row>
    <row r="485" spans="1:30">
      <c r="A485" s="20">
        <v>23803</v>
      </c>
      <c r="B485" s="20" t="s">
        <v>4405</v>
      </c>
      <c r="C485" s="21" t="s">
        <v>6799</v>
      </c>
      <c r="E485" s="20" t="s">
        <v>1692</v>
      </c>
      <c r="W485" s="20" t="str">
        <f>IF(Q485&lt;&gt;0,3,IF(K485="","",VLOOKUP(K485,'#状态名词'!$J$1:$K$15,2,FALSE)))</f>
        <v/>
      </c>
      <c r="AA485" s="20">
        <v>1</v>
      </c>
      <c r="AB485" s="20">
        <v>23803</v>
      </c>
      <c r="AC485" s="20">
        <v>100</v>
      </c>
      <c r="AD485" s="20">
        <v>1</v>
      </c>
    </row>
    <row r="486" spans="1:30">
      <c r="A486" s="20">
        <v>23804</v>
      </c>
      <c r="B486" s="20" t="s">
        <v>4406</v>
      </c>
      <c r="C486" s="21" t="s">
        <v>4407</v>
      </c>
      <c r="E486" s="20" t="s">
        <v>1867</v>
      </c>
      <c r="F486" s="20" t="s">
        <v>4408</v>
      </c>
      <c r="H486" s="20">
        <v>12</v>
      </c>
      <c r="J486" s="19" t="s">
        <v>1516</v>
      </c>
      <c r="K486" s="20">
        <v>5</v>
      </c>
      <c r="L486" s="20">
        <v>15</v>
      </c>
      <c r="O486" s="20">
        <v>1</v>
      </c>
      <c r="W486" s="20">
        <f>IF(Q486&lt;&gt;0,3,IF(K486="","",VLOOKUP(K486,'#状态名词'!$J$1:$K$15,2,FALSE)))</f>
        <v>1</v>
      </c>
    </row>
    <row r="487" spans="1:30">
      <c r="A487" s="20">
        <v>23805</v>
      </c>
      <c r="B487" s="20" t="s">
        <v>4409</v>
      </c>
      <c r="C487" s="21" t="s">
        <v>4410</v>
      </c>
      <c r="E487" s="20" t="s">
        <v>1729</v>
      </c>
      <c r="W487" s="20" t="str">
        <f>IF(Q487&lt;&gt;0,3,IF(K487="","",VLOOKUP(K487,'#状态名词'!$J$1:$K$15,2,FALSE)))</f>
        <v/>
      </c>
      <c r="AA487" s="20">
        <v>1</v>
      </c>
      <c r="AB487" s="20">
        <v>23804</v>
      </c>
      <c r="AC487" s="20">
        <v>100</v>
      </c>
      <c r="AD487" s="20">
        <v>1</v>
      </c>
    </row>
    <row r="488" spans="1:30">
      <c r="A488" s="20">
        <v>23901</v>
      </c>
      <c r="B488" s="20" t="s">
        <v>4411</v>
      </c>
      <c r="C488" s="21" t="s">
        <v>6803</v>
      </c>
      <c r="E488" s="20" t="s">
        <v>1868</v>
      </c>
      <c r="K488" s="20">
        <v>6</v>
      </c>
      <c r="W488" s="20">
        <f>IF(Q488&lt;&gt;0,3,IF(K488="","",VLOOKUP(K488,'#状态名词'!$J$1:$K$15,2,FALSE)))</f>
        <v>3</v>
      </c>
      <c r="AA488" s="20">
        <v>1</v>
      </c>
      <c r="AB488" s="20">
        <v>23901</v>
      </c>
      <c r="AC488" s="20">
        <v>100</v>
      </c>
      <c r="AD488" s="20">
        <v>1</v>
      </c>
    </row>
    <row r="489" spans="1:30">
      <c r="A489" s="20">
        <v>23902</v>
      </c>
      <c r="B489" s="20" t="s">
        <v>457</v>
      </c>
      <c r="C489" s="21" t="s">
        <v>6804</v>
      </c>
      <c r="E489" s="20" t="s">
        <v>1869</v>
      </c>
      <c r="W489" s="20" t="str">
        <f>IF(Q489&lt;&gt;0,3,IF(K489="","",VLOOKUP(K489,'#状态名词'!$J$1:$K$15,2,FALSE)))</f>
        <v/>
      </c>
      <c r="AA489" s="20">
        <v>1</v>
      </c>
      <c r="AB489" s="20">
        <v>23902</v>
      </c>
      <c r="AC489" s="20">
        <v>100</v>
      </c>
      <c r="AD489" s="20">
        <v>1</v>
      </c>
    </row>
    <row r="490" spans="1:30">
      <c r="A490" s="20">
        <v>23903</v>
      </c>
      <c r="B490" s="20" t="s">
        <v>4412</v>
      </c>
      <c r="C490" s="21" t="s">
        <v>4413</v>
      </c>
      <c r="E490" s="20" t="s">
        <v>1870</v>
      </c>
      <c r="F490" s="20" t="s">
        <v>4414</v>
      </c>
      <c r="H490" s="20">
        <v>7</v>
      </c>
      <c r="J490" s="19" t="s">
        <v>1485</v>
      </c>
      <c r="K490" s="20">
        <v>5</v>
      </c>
      <c r="L490" s="20">
        <v>15</v>
      </c>
      <c r="O490" s="20">
        <v>0</v>
      </c>
      <c r="W490" s="20">
        <f>IF(Q490&lt;&gt;0,3,IF(K490="","",VLOOKUP(K490,'#状态名词'!$J$1:$K$15,2,FALSE)))</f>
        <v>1</v>
      </c>
    </row>
    <row r="491" spans="1:30">
      <c r="A491" s="20">
        <v>23904</v>
      </c>
      <c r="B491" s="20" t="s">
        <v>4415</v>
      </c>
      <c r="C491" s="21" t="s">
        <v>6805</v>
      </c>
      <c r="E491" s="20" t="s">
        <v>1871</v>
      </c>
      <c r="W491" s="20" t="str">
        <f>IF(Q491&lt;&gt;0,3,IF(K491="","",VLOOKUP(K491,'#状态名词'!$J$1:$K$15,2,FALSE)))</f>
        <v/>
      </c>
      <c r="AA491" s="20">
        <v>1</v>
      </c>
      <c r="AB491" s="20">
        <v>23903</v>
      </c>
      <c r="AC491" s="20">
        <v>100</v>
      </c>
      <c r="AD491" s="20">
        <v>1</v>
      </c>
    </row>
    <row r="492" spans="1:30">
      <c r="A492" s="20">
        <v>23905</v>
      </c>
      <c r="B492" s="20" t="s">
        <v>4416</v>
      </c>
      <c r="C492" s="21" t="s">
        <v>6806</v>
      </c>
      <c r="E492" s="20" t="s">
        <v>1872</v>
      </c>
      <c r="W492" s="20" t="str">
        <f>IF(Q492&lt;&gt;0,3,IF(K492="","",VLOOKUP(K492,'#状态名词'!$J$1:$K$15,2,FALSE)))</f>
        <v/>
      </c>
      <c r="AA492" s="20">
        <v>1</v>
      </c>
      <c r="AB492" s="20">
        <v>23904</v>
      </c>
      <c r="AC492" s="20">
        <v>100</v>
      </c>
      <c r="AD492" s="20">
        <v>1</v>
      </c>
    </row>
    <row r="493" spans="1:30">
      <c r="A493" s="20">
        <v>24001</v>
      </c>
      <c r="B493" s="20" t="s">
        <v>4417</v>
      </c>
      <c r="C493" s="21" t="s">
        <v>4418</v>
      </c>
      <c r="E493" s="20" t="s">
        <v>1873</v>
      </c>
      <c r="F493" s="20" t="s">
        <v>4419</v>
      </c>
      <c r="H493" s="20">
        <v>9</v>
      </c>
      <c r="J493" s="19" t="s">
        <v>1482</v>
      </c>
      <c r="K493" s="20">
        <v>5</v>
      </c>
      <c r="L493" s="20">
        <v>12</v>
      </c>
      <c r="O493" s="20">
        <v>1</v>
      </c>
      <c r="W493" s="20">
        <f>IF(Q493&lt;&gt;0,3,IF(K493="","",VLOOKUP(K493,'#状态名词'!$J$1:$K$15,2,FALSE)))</f>
        <v>1</v>
      </c>
    </row>
    <row r="494" spans="1:30">
      <c r="A494" s="20">
        <v>24002</v>
      </c>
      <c r="B494" s="20" t="s">
        <v>4420</v>
      </c>
      <c r="C494" s="21" t="s">
        <v>6807</v>
      </c>
      <c r="E494" s="20" t="s">
        <v>1730</v>
      </c>
      <c r="W494" s="20" t="str">
        <f>IF(Q494&lt;&gt;0,3,IF(K494="","",VLOOKUP(K494,'#状态名词'!$J$1:$K$15,2,FALSE)))</f>
        <v/>
      </c>
      <c r="AA494" s="20">
        <v>1</v>
      </c>
      <c r="AB494" s="20">
        <v>24001</v>
      </c>
      <c r="AC494" s="20">
        <v>100</v>
      </c>
      <c r="AD494" s="20">
        <v>1</v>
      </c>
    </row>
    <row r="495" spans="1:30">
      <c r="A495" s="20">
        <v>24003</v>
      </c>
      <c r="B495" s="20" t="s">
        <v>4421</v>
      </c>
      <c r="C495" s="21" t="s">
        <v>7139</v>
      </c>
      <c r="E495" s="20" t="s">
        <v>1874</v>
      </c>
      <c r="W495" s="20" t="str">
        <f>IF(Q495&lt;&gt;0,3,IF(K495="","",VLOOKUP(K495,'#状态名词'!$J$1:$K$15,2,FALSE)))</f>
        <v/>
      </c>
      <c r="AA495" s="20">
        <v>1</v>
      </c>
      <c r="AB495" s="20">
        <v>24002</v>
      </c>
      <c r="AC495" s="20">
        <v>100</v>
      </c>
      <c r="AD495" s="20">
        <v>1</v>
      </c>
    </row>
    <row r="496" spans="1:30">
      <c r="A496" s="20">
        <v>24004</v>
      </c>
      <c r="B496" s="20" t="s">
        <v>4422</v>
      </c>
      <c r="C496" s="21" t="s">
        <v>6808</v>
      </c>
      <c r="E496" s="20" t="s">
        <v>1875</v>
      </c>
      <c r="W496" s="20" t="str">
        <f>IF(Q496&lt;&gt;0,3,IF(K496="","",VLOOKUP(K496,'#状态名词'!$J$1:$K$15,2,FALSE)))</f>
        <v/>
      </c>
      <c r="AA496" s="20">
        <v>1</v>
      </c>
      <c r="AB496" s="20">
        <v>24003</v>
      </c>
      <c r="AC496" s="20">
        <v>100</v>
      </c>
      <c r="AD496" s="20">
        <v>1</v>
      </c>
    </row>
    <row r="497" spans="1:30">
      <c r="A497" s="20">
        <v>24005</v>
      </c>
      <c r="B497" s="20" t="s">
        <v>4423</v>
      </c>
      <c r="C497" s="21" t="s">
        <v>6482</v>
      </c>
      <c r="E497" s="20" t="s">
        <v>1787</v>
      </c>
      <c r="K497" s="20">
        <v>9</v>
      </c>
      <c r="W497" s="20">
        <f>IF(Q497&lt;&gt;0,3,IF(K497="","",VLOOKUP(K497,'#状态名词'!$J$1:$K$15,2,FALSE)))</f>
        <v>3</v>
      </c>
      <c r="AA497" s="20">
        <v>1</v>
      </c>
      <c r="AB497" s="20">
        <v>34</v>
      </c>
      <c r="AC497" s="20" t="s">
        <v>530</v>
      </c>
      <c r="AD497" s="20">
        <v>1</v>
      </c>
    </row>
    <row r="498" spans="1:30">
      <c r="A498" s="20">
        <v>24101</v>
      </c>
      <c r="B498" s="20" t="s">
        <v>4424</v>
      </c>
      <c r="C498" s="21" t="s">
        <v>7873</v>
      </c>
      <c r="E498" s="20" t="s">
        <v>1876</v>
      </c>
      <c r="F498" s="20" t="s">
        <v>4425</v>
      </c>
      <c r="H498" s="20">
        <v>8</v>
      </c>
      <c r="J498" s="19" t="s">
        <v>1485</v>
      </c>
      <c r="K498" s="20">
        <v>5</v>
      </c>
      <c r="L498" s="20">
        <v>12</v>
      </c>
      <c r="O498" s="20">
        <v>0</v>
      </c>
      <c r="W498" s="20">
        <f>IF(Q498&lt;&gt;0,3,IF(K498="","",VLOOKUP(K498,'#状态名词'!$J$1:$K$15,2,FALSE)))</f>
        <v>1</v>
      </c>
    </row>
    <row r="499" spans="1:30">
      <c r="A499" s="20">
        <v>24102</v>
      </c>
      <c r="B499" s="20" t="s">
        <v>4426</v>
      </c>
      <c r="C499" s="21" t="s">
        <v>6809</v>
      </c>
      <c r="E499" s="20" t="s">
        <v>1877</v>
      </c>
      <c r="K499" s="20">
        <v>9</v>
      </c>
      <c r="W499" s="20">
        <f>IF(Q499&lt;&gt;0,3,IF(K499="","",VLOOKUP(K499,'#状态名词'!$J$1:$K$15,2,FALSE)))</f>
        <v>3</v>
      </c>
      <c r="AA499" s="20">
        <v>1</v>
      </c>
      <c r="AB499" s="20">
        <v>24101</v>
      </c>
      <c r="AC499" s="20">
        <v>100</v>
      </c>
      <c r="AD499" s="20">
        <v>0</v>
      </c>
    </row>
    <row r="500" spans="1:30">
      <c r="A500" s="20">
        <v>24103</v>
      </c>
      <c r="B500" s="20" t="s">
        <v>4427</v>
      </c>
      <c r="C500" s="21" t="s">
        <v>6810</v>
      </c>
      <c r="E500" s="20" t="s">
        <v>1878</v>
      </c>
      <c r="K500" s="20">
        <v>9</v>
      </c>
      <c r="W500" s="20">
        <f>IF(Q500&lt;&gt;0,3,IF(K500="","",VLOOKUP(K500,'#状态名词'!$J$1:$K$15,2,FALSE)))</f>
        <v>3</v>
      </c>
      <c r="AA500" s="20">
        <v>1</v>
      </c>
      <c r="AB500" s="20">
        <v>24102</v>
      </c>
      <c r="AC500" s="20">
        <v>100</v>
      </c>
      <c r="AD500" s="20">
        <v>0</v>
      </c>
    </row>
    <row r="501" spans="1:30">
      <c r="A501" s="20">
        <v>24104</v>
      </c>
      <c r="B501" s="20" t="s">
        <v>4428</v>
      </c>
      <c r="C501" s="21" t="s">
        <v>6811</v>
      </c>
      <c r="E501" s="20" t="s">
        <v>1879</v>
      </c>
      <c r="W501" s="20" t="str">
        <f>IF(Q501&lt;&gt;0,3,IF(K501="","",VLOOKUP(K501,'#状态名词'!$J$1:$K$15,2,FALSE)))</f>
        <v/>
      </c>
      <c r="AA501" s="20">
        <v>1</v>
      </c>
      <c r="AB501" s="20">
        <v>24103</v>
      </c>
      <c r="AC501" s="20">
        <v>100</v>
      </c>
      <c r="AD501" s="20">
        <v>1</v>
      </c>
    </row>
    <row r="502" spans="1:30">
      <c r="A502" s="20">
        <v>24105</v>
      </c>
      <c r="B502" s="20" t="s">
        <v>4429</v>
      </c>
      <c r="C502" s="21" t="s">
        <v>4430</v>
      </c>
      <c r="E502" s="20" t="s">
        <v>1880</v>
      </c>
      <c r="W502" s="20" t="str">
        <f>IF(Q502&lt;&gt;0,3,IF(K502="","",VLOOKUP(K502,'#状态名词'!$J$1:$K$15,2,FALSE)))</f>
        <v/>
      </c>
      <c r="AA502" s="20">
        <v>1</v>
      </c>
      <c r="AB502" s="20">
        <v>24104</v>
      </c>
      <c r="AC502" s="20">
        <v>100</v>
      </c>
      <c r="AD502" s="20">
        <v>2</v>
      </c>
    </row>
    <row r="503" spans="1:30">
      <c r="A503" s="20">
        <v>24201</v>
      </c>
      <c r="B503" s="20" t="s">
        <v>1457</v>
      </c>
      <c r="C503" s="21" t="s">
        <v>4431</v>
      </c>
      <c r="E503" s="20" t="s">
        <v>1881</v>
      </c>
      <c r="F503" s="20" t="s">
        <v>4432</v>
      </c>
      <c r="H503" s="20">
        <v>8</v>
      </c>
      <c r="J503" s="19" t="s">
        <v>1517</v>
      </c>
      <c r="K503" s="20">
        <v>5</v>
      </c>
      <c r="L503" s="20">
        <v>12</v>
      </c>
      <c r="O503" s="20">
        <v>1</v>
      </c>
      <c r="W503" s="20">
        <f>IF(Q503&lt;&gt;0,3,IF(K503="","",VLOOKUP(K503,'#状态名词'!$J$1:$K$15,2,FALSE)))</f>
        <v>1</v>
      </c>
    </row>
    <row r="504" spans="1:30">
      <c r="A504" s="20">
        <v>24202</v>
      </c>
      <c r="B504" s="20" t="s">
        <v>4433</v>
      </c>
      <c r="C504" s="21" t="s">
        <v>6812</v>
      </c>
      <c r="E504" s="20" t="s">
        <v>1882</v>
      </c>
      <c r="W504" s="20" t="str">
        <f>IF(Q504&lt;&gt;0,3,IF(K504="","",VLOOKUP(K504,'#状态名词'!$J$1:$K$15,2,FALSE)))</f>
        <v/>
      </c>
      <c r="AA504" s="20">
        <v>1</v>
      </c>
      <c r="AB504" s="20">
        <v>24201</v>
      </c>
      <c r="AC504" s="20">
        <v>100</v>
      </c>
      <c r="AD504" s="20">
        <v>1</v>
      </c>
    </row>
    <row r="505" spans="1:30">
      <c r="A505" s="20">
        <v>24203</v>
      </c>
      <c r="B505" s="20" t="s">
        <v>4434</v>
      </c>
      <c r="C505" s="21" t="s">
        <v>6813</v>
      </c>
      <c r="E505" s="20" t="s">
        <v>1883</v>
      </c>
      <c r="W505" s="20" t="str">
        <f>IF(Q505&lt;&gt;0,3,IF(K505="","",VLOOKUP(K505,'#状态名词'!$J$1:$K$15,2,FALSE)))</f>
        <v/>
      </c>
      <c r="AA505" s="20">
        <v>1</v>
      </c>
      <c r="AB505" s="20">
        <v>24202</v>
      </c>
      <c r="AC505" s="20">
        <v>100</v>
      </c>
      <c r="AD505" s="20">
        <v>1</v>
      </c>
    </row>
    <row r="506" spans="1:30">
      <c r="A506" s="20">
        <v>24204</v>
      </c>
      <c r="B506" s="20" t="s">
        <v>4435</v>
      </c>
      <c r="C506" s="21" t="s">
        <v>6814</v>
      </c>
      <c r="E506" s="20" t="s">
        <v>1884</v>
      </c>
      <c r="W506" s="20" t="str">
        <f>IF(Q506&lt;&gt;0,3,IF(K506="","",VLOOKUP(K506,'#状态名词'!$J$1:$K$15,2,FALSE)))</f>
        <v/>
      </c>
      <c r="AA506" s="20">
        <v>1</v>
      </c>
      <c r="AB506" s="20">
        <v>24203</v>
      </c>
      <c r="AC506" s="20">
        <v>100</v>
      </c>
      <c r="AD506" s="20">
        <v>1</v>
      </c>
    </row>
    <row r="507" spans="1:30">
      <c r="A507" s="20">
        <v>24205</v>
      </c>
      <c r="B507" s="20" t="s">
        <v>4436</v>
      </c>
      <c r="C507" s="21" t="s">
        <v>4437</v>
      </c>
      <c r="E507" s="20" t="s">
        <v>1885</v>
      </c>
      <c r="W507" s="20" t="str">
        <f>IF(Q507&lt;&gt;0,3,IF(K507="","",VLOOKUP(K507,'#状态名词'!$J$1:$K$15,2,FALSE)))</f>
        <v/>
      </c>
      <c r="AA507" s="20">
        <v>1</v>
      </c>
      <c r="AB507" s="20">
        <v>24204</v>
      </c>
      <c r="AC507" s="20">
        <v>100</v>
      </c>
      <c r="AD507" s="20">
        <v>1</v>
      </c>
    </row>
    <row r="508" spans="1:30">
      <c r="A508" s="20">
        <v>30001</v>
      </c>
      <c r="B508" s="20" t="s">
        <v>4438</v>
      </c>
      <c r="C508" s="21" t="s">
        <v>4439</v>
      </c>
      <c r="K508" s="20">
        <v>9</v>
      </c>
      <c r="W508" s="20">
        <f>IF(Q508&lt;&gt;0,3,IF(K508="","",VLOOKUP(K508,'#状态名词'!$J$1:$K$15,2,FALSE)))</f>
        <v>3</v>
      </c>
      <c r="AA508" s="20">
        <v>1</v>
      </c>
      <c r="AB508" s="20">
        <v>44</v>
      </c>
      <c r="AC508" s="20">
        <v>5</v>
      </c>
      <c r="AD508" s="20">
        <v>1</v>
      </c>
    </row>
    <row r="509" spans="1:30">
      <c r="A509" s="20">
        <v>30002</v>
      </c>
      <c r="B509" s="20" t="s">
        <v>4440</v>
      </c>
      <c r="C509" s="21" t="s">
        <v>4441</v>
      </c>
      <c r="K509" s="20">
        <v>9</v>
      </c>
      <c r="W509" s="20">
        <f>IF(Q509&lt;&gt;0,3,IF(K509="","",VLOOKUP(K509,'#状态名词'!$J$1:$K$15,2,FALSE)))</f>
        <v>3</v>
      </c>
      <c r="AA509" s="20">
        <v>1</v>
      </c>
      <c r="AB509" s="20">
        <v>4</v>
      </c>
      <c r="AC509" s="20">
        <v>5</v>
      </c>
      <c r="AD509" s="20">
        <v>0</v>
      </c>
    </row>
    <row r="510" spans="1:30">
      <c r="A510" s="20">
        <v>30003</v>
      </c>
      <c r="B510" s="20" t="s">
        <v>4442</v>
      </c>
      <c r="C510" s="21" t="s">
        <v>4443</v>
      </c>
      <c r="K510" s="20">
        <v>9</v>
      </c>
      <c r="W510" s="20">
        <f>IF(Q510&lt;&gt;0,3,IF(K510="","",VLOOKUP(K510,'#状态名词'!$J$1:$K$15,2,FALSE)))</f>
        <v>3</v>
      </c>
      <c r="AA510" s="20">
        <v>1</v>
      </c>
      <c r="AB510" s="20">
        <v>13</v>
      </c>
      <c r="AC510" s="20">
        <v>5</v>
      </c>
      <c r="AD510" s="20">
        <v>0</v>
      </c>
    </row>
    <row r="511" spans="1:30">
      <c r="A511" s="20">
        <v>30004</v>
      </c>
      <c r="B511" s="20" t="s">
        <v>4444</v>
      </c>
      <c r="C511" s="21" t="s">
        <v>6815</v>
      </c>
      <c r="W511" s="20" t="str">
        <f>IF(Q511&lt;&gt;0,3,IF(K511="","",VLOOKUP(K511,'#状态名词'!$J$1:$K$15,2,FALSE)))</f>
        <v/>
      </c>
      <c r="AA511" s="20">
        <v>1</v>
      </c>
      <c r="AB511" s="20">
        <v>30004</v>
      </c>
      <c r="AC511" s="20">
        <v>100</v>
      </c>
      <c r="AD511" s="20">
        <v>1</v>
      </c>
    </row>
    <row r="512" spans="1:30">
      <c r="A512" s="20">
        <v>30005</v>
      </c>
      <c r="B512" s="20" t="s">
        <v>4446</v>
      </c>
      <c r="C512" s="21" t="s">
        <v>8098</v>
      </c>
      <c r="W512" s="20" t="str">
        <f>IF(Q512&lt;&gt;0,3,IF(K512="","",VLOOKUP(K512,'#状态名词'!$J$1:$K$15,2,FALSE)))</f>
        <v/>
      </c>
      <c r="AA512" s="20">
        <v>1</v>
      </c>
      <c r="AB512" s="20">
        <v>30005</v>
      </c>
      <c r="AC512" s="20">
        <v>100</v>
      </c>
      <c r="AD512" s="20">
        <v>2</v>
      </c>
    </row>
    <row r="513" spans="1:31">
      <c r="A513" s="20">
        <v>30006</v>
      </c>
      <c r="B513" s="20" t="s">
        <v>4447</v>
      </c>
      <c r="C513" s="21" t="s">
        <v>8099</v>
      </c>
      <c r="W513" s="20" t="str">
        <f>IF(Q513&lt;&gt;0,3,IF(K513="","",VLOOKUP(K513,'#状态名词'!$J$1:$K$15,2,FALSE)))</f>
        <v/>
      </c>
      <c r="AA513" s="20">
        <v>1</v>
      </c>
      <c r="AB513" s="20">
        <v>30006</v>
      </c>
      <c r="AC513" s="20">
        <v>100</v>
      </c>
      <c r="AD513" s="20">
        <v>2</v>
      </c>
    </row>
    <row r="514" spans="1:31">
      <c r="A514" s="20">
        <v>30007</v>
      </c>
      <c r="B514" s="20" t="s">
        <v>4448</v>
      </c>
      <c r="C514" s="21" t="s">
        <v>4449</v>
      </c>
      <c r="K514" s="20">
        <v>9</v>
      </c>
      <c r="W514" s="20">
        <f>IF(Q514&lt;&gt;0,3,IF(K514="","",VLOOKUP(K514,'#状态名词'!$J$1:$K$15,2,FALSE)))</f>
        <v>3</v>
      </c>
      <c r="AA514" s="20">
        <v>1</v>
      </c>
      <c r="AB514" s="20">
        <v>31</v>
      </c>
      <c r="AC514" s="20">
        <v>5</v>
      </c>
      <c r="AD514" s="20">
        <v>1</v>
      </c>
    </row>
    <row r="515" spans="1:31">
      <c r="A515" s="20">
        <v>30008</v>
      </c>
      <c r="B515" s="20" t="s">
        <v>4450</v>
      </c>
      <c r="C515" s="21" t="s">
        <v>6483</v>
      </c>
      <c r="K515" s="20">
        <v>0</v>
      </c>
      <c r="W515" s="20">
        <f>IF(Q515&lt;&gt;0,3,IF(K515="","",VLOOKUP(K515,'#状态名词'!$J$1:$K$15,2,FALSE)))</f>
        <v>0</v>
      </c>
      <c r="AA515" s="20">
        <v>1</v>
      </c>
      <c r="AB515" s="20">
        <v>30008</v>
      </c>
      <c r="AC515" s="20">
        <v>100</v>
      </c>
      <c r="AD515" s="20">
        <v>1</v>
      </c>
    </row>
    <row r="516" spans="1:31">
      <c r="A516" s="20">
        <v>30009</v>
      </c>
      <c r="B516" s="20" t="s">
        <v>4452</v>
      </c>
      <c r="C516" s="21" t="s">
        <v>6484</v>
      </c>
      <c r="K516" s="20">
        <v>0</v>
      </c>
      <c r="W516" s="20">
        <f>IF(Q516&lt;&gt;0,3,IF(K516="","",VLOOKUP(K516,'#状态名词'!$J$1:$K$15,2,FALSE)))</f>
        <v>0</v>
      </c>
      <c r="AA516" s="20">
        <v>1</v>
      </c>
      <c r="AB516" s="20">
        <v>30009</v>
      </c>
      <c r="AC516" s="20">
        <v>100</v>
      </c>
      <c r="AD516" s="20">
        <v>1</v>
      </c>
    </row>
    <row r="517" spans="1:31">
      <c r="A517" s="20">
        <v>30010</v>
      </c>
      <c r="B517" s="20" t="s">
        <v>4454</v>
      </c>
      <c r="C517" s="21" t="s">
        <v>6816</v>
      </c>
      <c r="W517" s="20" t="str">
        <f>IF(Q517&lt;&gt;0,3,IF(K517="","",VLOOKUP(K517,'#状态名词'!$J$1:$K$15,2,FALSE)))</f>
        <v/>
      </c>
      <c r="AA517" s="20">
        <v>1</v>
      </c>
      <c r="AB517" s="20">
        <v>30010</v>
      </c>
      <c r="AC517" s="20">
        <v>100</v>
      </c>
      <c r="AD517" s="20">
        <v>1</v>
      </c>
    </row>
    <row r="518" spans="1:31">
      <c r="A518" s="20">
        <v>30011</v>
      </c>
      <c r="B518" s="20" t="s">
        <v>4455</v>
      </c>
      <c r="C518" s="21" t="s">
        <v>8100</v>
      </c>
      <c r="W518" s="20" t="str">
        <f>IF(Q518&lt;&gt;0,3,IF(K518="","",VLOOKUP(K518,'#状态名词'!$J$1:$K$15,2,FALSE)))</f>
        <v/>
      </c>
      <c r="AA518" s="20">
        <v>1</v>
      </c>
      <c r="AB518" s="20">
        <v>30011</v>
      </c>
      <c r="AC518" s="20">
        <v>100</v>
      </c>
      <c r="AD518" s="20">
        <v>2</v>
      </c>
    </row>
    <row r="519" spans="1:31">
      <c r="A519" s="20">
        <v>30012</v>
      </c>
      <c r="B519" s="20" t="s">
        <v>4456</v>
      </c>
      <c r="C519" s="21" t="s">
        <v>8101</v>
      </c>
      <c r="W519" s="20" t="str">
        <f>IF(Q519&lt;&gt;0,3,IF(K519="","",VLOOKUP(K519,'#状态名词'!$J$1:$K$15,2,FALSE)))</f>
        <v/>
      </c>
      <c r="AA519" s="20">
        <v>1</v>
      </c>
      <c r="AB519" s="20">
        <v>30012</v>
      </c>
      <c r="AC519" s="20">
        <v>100</v>
      </c>
      <c r="AD519" s="20">
        <v>2</v>
      </c>
    </row>
    <row r="520" spans="1:31">
      <c r="A520" s="20">
        <v>30013</v>
      </c>
      <c r="B520" s="20" t="s">
        <v>4457</v>
      </c>
      <c r="C520" s="21" t="s">
        <v>8102</v>
      </c>
      <c r="W520" s="20" t="str">
        <f>IF(Q520&lt;&gt;0,3,IF(K520="","",VLOOKUP(K520,'#状态名词'!$J$1:$K$15,2,FALSE)))</f>
        <v/>
      </c>
      <c r="AA520" s="20">
        <v>1</v>
      </c>
      <c r="AB520" s="20">
        <v>30013</v>
      </c>
      <c r="AC520" s="20">
        <v>100</v>
      </c>
      <c r="AD520" s="20">
        <v>2</v>
      </c>
    </row>
    <row r="521" spans="1:31">
      <c r="A521" s="20">
        <v>30014</v>
      </c>
      <c r="B521" s="20" t="s">
        <v>4458</v>
      </c>
      <c r="C521" s="21" t="s">
        <v>8103</v>
      </c>
      <c r="W521" s="20" t="str">
        <f>IF(Q521&lt;&gt;0,3,IF(K521="","",VLOOKUP(K521,'#状态名词'!$J$1:$K$15,2,FALSE)))</f>
        <v/>
      </c>
      <c r="AA521" s="20">
        <v>1</v>
      </c>
      <c r="AB521" s="20">
        <v>30014</v>
      </c>
      <c r="AC521" s="20">
        <v>100</v>
      </c>
      <c r="AD521" s="20">
        <v>2</v>
      </c>
    </row>
    <row r="522" spans="1:31">
      <c r="A522" s="20">
        <v>30015</v>
      </c>
      <c r="B522" s="20" t="s">
        <v>3848</v>
      </c>
      <c r="C522" s="21" t="s">
        <v>6485</v>
      </c>
      <c r="K522" s="20">
        <v>12</v>
      </c>
      <c r="W522" s="20">
        <f>IF(Q522&lt;&gt;0,3,IF(K522="","",VLOOKUP(K522,'#状态名词'!$J$1:$K$15,2,FALSE)))</f>
        <v>0</v>
      </c>
      <c r="AA522" s="20">
        <v>1</v>
      </c>
      <c r="AB522" s="20">
        <v>30015</v>
      </c>
      <c r="AC522" s="20">
        <v>100</v>
      </c>
      <c r="AD522" s="20">
        <v>1</v>
      </c>
    </row>
    <row r="523" spans="1:31">
      <c r="A523" s="20">
        <v>30016</v>
      </c>
      <c r="B523" s="20" t="s">
        <v>4459</v>
      </c>
      <c r="C523" s="21" t="s">
        <v>1436</v>
      </c>
      <c r="K523" s="20">
        <v>9</v>
      </c>
      <c r="W523" s="20">
        <f>IF(Q523&lt;&gt;0,3,IF(K523="","",VLOOKUP(K523,'#状态名词'!$J$1:$K$15,2,FALSE)))</f>
        <v>3</v>
      </c>
      <c r="AA523" s="20">
        <v>1</v>
      </c>
      <c r="AB523" s="20">
        <v>21</v>
      </c>
      <c r="AC523" s="20">
        <v>0.5</v>
      </c>
      <c r="AD523" s="20">
        <v>0</v>
      </c>
    </row>
    <row r="524" spans="1:31">
      <c r="A524" s="20">
        <v>30017</v>
      </c>
      <c r="B524" s="20" t="s">
        <v>4460</v>
      </c>
      <c r="C524" s="21" t="s">
        <v>7649</v>
      </c>
      <c r="K524" s="20">
        <v>9</v>
      </c>
      <c r="W524" s="20">
        <f>IF(Q524&lt;&gt;0,3,IF(K524="","",VLOOKUP(K524,'#状态名词'!$J$1:$K$15,2,FALSE)))</f>
        <v>3</v>
      </c>
      <c r="AA524" s="20">
        <v>1</v>
      </c>
      <c r="AB524" s="20">
        <v>30017</v>
      </c>
      <c r="AC524" s="20">
        <v>20</v>
      </c>
      <c r="AD524" s="20">
        <v>1</v>
      </c>
    </row>
    <row r="525" spans="1:31">
      <c r="A525" s="20">
        <v>30018</v>
      </c>
      <c r="B525" s="20" t="s">
        <v>5710</v>
      </c>
      <c r="C525" s="21" t="s">
        <v>3700</v>
      </c>
      <c r="K525" s="20">
        <v>9</v>
      </c>
      <c r="W525" s="20">
        <f>IF(Q525&lt;&gt;0,3,IF(K525="","",VLOOKUP(K525,'#状态名词'!$J$1:$K$15,2,FALSE)))</f>
        <v>3</v>
      </c>
      <c r="AA525" s="20">
        <v>1</v>
      </c>
      <c r="AB525" s="20">
        <v>2</v>
      </c>
      <c r="AC525" s="20">
        <v>5</v>
      </c>
      <c r="AD525" s="20">
        <v>0</v>
      </c>
      <c r="AE525" s="20">
        <v>1</v>
      </c>
    </row>
    <row r="526" spans="1:31">
      <c r="A526" s="20">
        <v>30019</v>
      </c>
      <c r="B526" s="20" t="s">
        <v>5711</v>
      </c>
      <c r="C526" s="21" t="s">
        <v>6817</v>
      </c>
      <c r="W526" s="20" t="str">
        <f>IF(Q526&lt;&gt;0,3,IF(K526="","",VLOOKUP(K526,'#状态名词'!$J$1:$K$15,2,FALSE)))</f>
        <v/>
      </c>
      <c r="AA526" s="20">
        <v>1</v>
      </c>
      <c r="AB526" s="20">
        <v>30019</v>
      </c>
      <c r="AC526" s="20">
        <v>100</v>
      </c>
      <c r="AD526" s="20">
        <v>1</v>
      </c>
    </row>
    <row r="527" spans="1:31">
      <c r="A527" s="20">
        <v>30020</v>
      </c>
      <c r="B527" s="20" t="s">
        <v>5712</v>
      </c>
      <c r="C527" s="19" t="s">
        <v>7098</v>
      </c>
      <c r="K527" s="20">
        <v>9</v>
      </c>
      <c r="W527" s="20">
        <f>IF(Q527&lt;&gt;0,3,IF(K527="","",VLOOKUP(K527,'#状态名词'!$J$1:$K$15,2,FALSE)))</f>
        <v>3</v>
      </c>
      <c r="AA527" s="20">
        <v>1</v>
      </c>
      <c r="AB527" s="20">
        <v>30020</v>
      </c>
      <c r="AC527" s="20">
        <v>100</v>
      </c>
      <c r="AD527" s="20">
        <v>2</v>
      </c>
    </row>
    <row r="528" spans="1:31">
      <c r="A528" s="20">
        <v>30021</v>
      </c>
      <c r="B528" s="20" t="s">
        <v>5713</v>
      </c>
      <c r="C528" s="21" t="s">
        <v>7870</v>
      </c>
      <c r="K528" s="20">
        <v>9</v>
      </c>
      <c r="W528" s="20">
        <f>IF(Q528&lt;&gt;0,3,IF(K528="","",VLOOKUP(K528,'#状态名词'!$J$1:$K$15,2,FALSE)))</f>
        <v>3</v>
      </c>
      <c r="AA528" s="20">
        <v>1</v>
      </c>
      <c r="AB528" s="20">
        <v>30021</v>
      </c>
      <c r="AC528" s="20">
        <v>50</v>
      </c>
      <c r="AD528" s="20">
        <v>1</v>
      </c>
    </row>
    <row r="529" spans="1:31">
      <c r="A529" s="20">
        <v>30022</v>
      </c>
      <c r="B529" s="20" t="s">
        <v>5714</v>
      </c>
      <c r="C529" s="19" t="s">
        <v>6818</v>
      </c>
      <c r="P529" s="20">
        <v>4</v>
      </c>
      <c r="W529" s="20" t="str">
        <f>IF(Q529&lt;&gt;0,3,IF(K529="","",VLOOKUP(K529,'#状态名词'!$J$1:$K$15,2,FALSE)))</f>
        <v/>
      </c>
      <c r="AA529" s="20">
        <v>1</v>
      </c>
      <c r="AB529" s="20">
        <v>30022</v>
      </c>
      <c r="AC529" s="20">
        <v>100</v>
      </c>
      <c r="AD529" s="20">
        <v>1</v>
      </c>
    </row>
    <row r="530" spans="1:31">
      <c r="A530" s="20">
        <v>30024</v>
      </c>
      <c r="B530" s="20" t="s">
        <v>5715</v>
      </c>
      <c r="C530" s="19" t="s">
        <v>3704</v>
      </c>
      <c r="W530" s="20" t="str">
        <f>IF(Q530&lt;&gt;0,3,IF(K530="","",VLOOKUP(K530,'#状态名词'!$J$1:$K$15,2,FALSE)))</f>
        <v/>
      </c>
      <c r="AA530" s="20">
        <v>1</v>
      </c>
      <c r="AB530" s="20">
        <v>30024</v>
      </c>
      <c r="AC530" s="20">
        <v>100</v>
      </c>
      <c r="AD530" s="20">
        <v>2</v>
      </c>
    </row>
    <row r="531" spans="1:31">
      <c r="A531" s="20">
        <v>30025</v>
      </c>
      <c r="B531" s="20" t="s">
        <v>5716</v>
      </c>
      <c r="C531" s="19" t="s">
        <v>7829</v>
      </c>
      <c r="G531" s="20">
        <v>101</v>
      </c>
      <c r="K531" s="20">
        <v>10</v>
      </c>
      <c r="W531" s="20">
        <f>IF(Q531&lt;&gt;0,3,IF(K531="","",VLOOKUP(K531,'#状态名词'!$J$1:$K$15,2,FALSE)))</f>
        <v>3</v>
      </c>
      <c r="AA531" s="20">
        <v>1</v>
      </c>
      <c r="AB531" s="20">
        <v>30025</v>
      </c>
      <c r="AC531" s="20">
        <v>100</v>
      </c>
      <c r="AD531" s="20">
        <v>2</v>
      </c>
    </row>
    <row r="532" spans="1:31">
      <c r="A532" s="20">
        <v>30026</v>
      </c>
      <c r="B532" s="20" t="s">
        <v>5717</v>
      </c>
      <c r="C532" s="19" t="s">
        <v>7104</v>
      </c>
      <c r="G532" s="20">
        <v>302</v>
      </c>
      <c r="K532" s="20">
        <v>9</v>
      </c>
      <c r="W532" s="20">
        <f>IF(Q532&lt;&gt;0,3,IF(K532="","",VLOOKUP(K532,'#状态名词'!$J$1:$K$15,2,FALSE)))</f>
        <v>3</v>
      </c>
      <c r="AA532" s="20">
        <v>1</v>
      </c>
      <c r="AB532" s="20">
        <v>44</v>
      </c>
      <c r="AC532" s="20">
        <v>100</v>
      </c>
      <c r="AD532" s="20">
        <v>1</v>
      </c>
      <c r="AE532" s="20">
        <v>10</v>
      </c>
    </row>
    <row r="533" spans="1:31">
      <c r="A533" s="20">
        <v>30027</v>
      </c>
      <c r="B533" s="20" t="s">
        <v>5718</v>
      </c>
      <c r="C533" s="19" t="s">
        <v>6486</v>
      </c>
      <c r="G533" s="20">
        <v>703</v>
      </c>
      <c r="K533" s="20">
        <v>10</v>
      </c>
      <c r="W533" s="20">
        <f>IF(Q533&lt;&gt;0,3,IF(K533="","",VLOOKUP(K533,'#状态名词'!$J$1:$K$15,2,FALSE)))</f>
        <v>3</v>
      </c>
      <c r="AA533" s="20">
        <v>1</v>
      </c>
      <c r="AB533" s="20">
        <v>30027</v>
      </c>
      <c r="AC533" s="20">
        <v>100</v>
      </c>
      <c r="AD533" s="20">
        <v>0</v>
      </c>
    </row>
    <row r="534" spans="1:31">
      <c r="A534" s="20">
        <v>30028</v>
      </c>
      <c r="B534" s="20" t="s">
        <v>5719</v>
      </c>
      <c r="C534" s="19" t="s">
        <v>8104</v>
      </c>
      <c r="K534" s="20">
        <v>6</v>
      </c>
      <c r="W534" s="20">
        <f>IF(Q534&lt;&gt;0,3,IF(K534="","",VLOOKUP(K534,'#状态名词'!$J$1:$K$15,2,FALSE)))</f>
        <v>3</v>
      </c>
      <c r="AA534" s="20">
        <v>1</v>
      </c>
      <c r="AB534" s="20">
        <v>30028</v>
      </c>
      <c r="AC534" s="20">
        <v>100</v>
      </c>
      <c r="AD534" s="20">
        <v>2</v>
      </c>
    </row>
    <row r="535" spans="1:31">
      <c r="A535" s="20">
        <v>30029</v>
      </c>
      <c r="B535" s="20" t="s">
        <v>5720</v>
      </c>
      <c r="C535" s="19" t="s">
        <v>8105</v>
      </c>
      <c r="W535" s="20" t="str">
        <f>IF(Q535&lt;&gt;0,3,IF(K535="","",VLOOKUP(K535,'#状态名词'!$J$1:$K$15,2,FALSE)))</f>
        <v/>
      </c>
      <c r="AA535" s="20">
        <v>1</v>
      </c>
      <c r="AB535" s="20">
        <v>30029</v>
      </c>
      <c r="AC535" s="20">
        <v>100</v>
      </c>
      <c r="AD535" s="20">
        <v>2</v>
      </c>
    </row>
    <row r="536" spans="1:31">
      <c r="A536" s="20">
        <v>30030</v>
      </c>
      <c r="B536" s="20" t="s">
        <v>5721</v>
      </c>
      <c r="C536" s="19" t="s">
        <v>7143</v>
      </c>
      <c r="G536" s="31"/>
      <c r="W536" s="20" t="str">
        <f>IF(Q536&lt;&gt;0,3,IF(K536="","",VLOOKUP(K536,'#状态名词'!$J$1:$K$15,2,FALSE)))</f>
        <v/>
      </c>
      <c r="AA536" s="20">
        <v>1</v>
      </c>
      <c r="AB536" s="20">
        <v>30030</v>
      </c>
      <c r="AC536" s="20">
        <v>100</v>
      </c>
      <c r="AD536" s="20">
        <v>2</v>
      </c>
    </row>
    <row r="537" spans="1:31">
      <c r="A537" s="20">
        <v>30031</v>
      </c>
      <c r="B537" s="20" t="s">
        <v>5722</v>
      </c>
      <c r="C537" s="19" t="s">
        <v>8106</v>
      </c>
      <c r="W537" s="20" t="str">
        <f>IF(Q537&lt;&gt;0,3,IF(K537="","",VLOOKUP(K537,'#状态名词'!$J$1:$K$15,2,FALSE)))</f>
        <v/>
      </c>
      <c r="AA537" s="20">
        <v>1</v>
      </c>
      <c r="AB537" s="20">
        <v>30031</v>
      </c>
      <c r="AC537" s="20">
        <v>100</v>
      </c>
      <c r="AD537" s="20">
        <v>2</v>
      </c>
    </row>
    <row r="538" spans="1:31">
      <c r="A538" s="20">
        <v>30032</v>
      </c>
      <c r="B538" s="20" t="s">
        <v>5723</v>
      </c>
      <c r="C538" s="19" t="s">
        <v>6632</v>
      </c>
      <c r="G538" s="20">
        <v>2901</v>
      </c>
      <c r="K538" s="20">
        <v>9</v>
      </c>
      <c r="W538" s="20">
        <f>IF(Q538&lt;&gt;0,3,IF(K538="","",VLOOKUP(K538,'#状态名词'!$J$1:$K$15,2,FALSE)))</f>
        <v>3</v>
      </c>
      <c r="AA538" s="20">
        <v>1</v>
      </c>
      <c r="AB538" s="20">
        <v>30032</v>
      </c>
      <c r="AC538" s="20">
        <v>30</v>
      </c>
      <c r="AD538" s="20">
        <v>2</v>
      </c>
    </row>
    <row r="539" spans="1:31">
      <c r="A539" s="20">
        <v>30033</v>
      </c>
      <c r="B539" s="20" t="s">
        <v>5724</v>
      </c>
      <c r="C539" s="19" t="s">
        <v>7814</v>
      </c>
      <c r="G539" s="20">
        <v>3303</v>
      </c>
      <c r="K539" s="20">
        <v>9</v>
      </c>
      <c r="W539" s="20">
        <f>IF(Q539&lt;&gt;0,3,IF(K539="","",VLOOKUP(K539,'#状态名词'!$J$1:$K$15,2,FALSE)))</f>
        <v>3</v>
      </c>
      <c r="AA539" s="20">
        <v>1</v>
      </c>
      <c r="AB539" s="20">
        <v>30033</v>
      </c>
      <c r="AC539" s="20">
        <v>100</v>
      </c>
      <c r="AD539" s="20">
        <v>2</v>
      </c>
    </row>
    <row r="540" spans="1:31">
      <c r="A540" s="20">
        <v>30034</v>
      </c>
      <c r="B540" s="20" t="s">
        <v>5725</v>
      </c>
      <c r="C540" s="19" t="s">
        <v>9032</v>
      </c>
      <c r="G540" s="20">
        <v>5001</v>
      </c>
      <c r="K540" s="20">
        <v>9</v>
      </c>
      <c r="W540" s="20">
        <f>IF(Q540&lt;&gt;0,3,IF(K540="","",VLOOKUP(K540,'#状态名词'!$J$1:$K$15,2,FALSE)))</f>
        <v>3</v>
      </c>
      <c r="AA540" s="20">
        <v>1</v>
      </c>
      <c r="AB540" s="20">
        <v>30034</v>
      </c>
      <c r="AC540" s="20">
        <v>100</v>
      </c>
      <c r="AD540" s="20">
        <v>1</v>
      </c>
    </row>
    <row r="541" spans="1:31">
      <c r="A541" s="20">
        <v>30035</v>
      </c>
      <c r="B541" s="20" t="s">
        <v>5726</v>
      </c>
      <c r="C541" s="19" t="s">
        <v>6487</v>
      </c>
      <c r="G541" s="20">
        <v>5304</v>
      </c>
      <c r="K541" s="20">
        <v>9</v>
      </c>
      <c r="W541" s="20">
        <f>IF(Q541&lt;&gt;0,3,IF(K541="","",VLOOKUP(K541,'#状态名词'!$J$1:$K$15,2,FALSE)))</f>
        <v>3</v>
      </c>
      <c r="AA541" s="20">
        <v>1</v>
      </c>
      <c r="AB541" s="20">
        <v>30035</v>
      </c>
      <c r="AC541" s="20">
        <v>100</v>
      </c>
      <c r="AD541" s="20">
        <v>1</v>
      </c>
    </row>
    <row r="542" spans="1:31">
      <c r="A542" s="20">
        <v>30036</v>
      </c>
      <c r="B542" s="20" t="s">
        <v>5727</v>
      </c>
      <c r="C542" s="19" t="s">
        <v>7831</v>
      </c>
      <c r="G542" s="20">
        <v>5402</v>
      </c>
      <c r="K542" s="20">
        <v>9</v>
      </c>
      <c r="W542" s="20">
        <f>IF(Q542&lt;&gt;0,3,IF(K542="","",VLOOKUP(K542,'#状态名词'!$J$1:$K$15,2,FALSE)))</f>
        <v>3</v>
      </c>
      <c r="AA542" s="20">
        <v>1</v>
      </c>
      <c r="AB542" s="20">
        <v>30036</v>
      </c>
      <c r="AC542" s="20">
        <v>100</v>
      </c>
      <c r="AD542" s="20">
        <v>1</v>
      </c>
    </row>
    <row r="543" spans="1:31">
      <c r="A543" s="20">
        <v>30037</v>
      </c>
      <c r="B543" s="20" t="s">
        <v>5728</v>
      </c>
      <c r="C543" s="19" t="s">
        <v>6488</v>
      </c>
      <c r="W543" s="20" t="str">
        <f>IF(Q543&lt;&gt;0,3,IF(K543="","",VLOOKUP(K543,'#状态名词'!$J$1:$K$15,2,FALSE)))</f>
        <v/>
      </c>
      <c r="AA543" s="20">
        <v>1</v>
      </c>
      <c r="AB543" s="20">
        <v>30037</v>
      </c>
      <c r="AC543" s="20">
        <v>100</v>
      </c>
      <c r="AD543" s="20">
        <v>2</v>
      </c>
    </row>
    <row r="544" spans="1:31">
      <c r="A544" s="20">
        <v>30038</v>
      </c>
      <c r="B544" s="20" t="s">
        <v>5729</v>
      </c>
      <c r="C544" s="33" t="s">
        <v>9033</v>
      </c>
      <c r="K544" s="20">
        <v>9</v>
      </c>
      <c r="W544" s="20">
        <f>IF(Q544&lt;&gt;0,3,IF(K544="","",VLOOKUP(K544,'#状态名词'!$J$1:$K$15,2,FALSE)))</f>
        <v>3</v>
      </c>
      <c r="AA544" s="20">
        <v>1</v>
      </c>
      <c r="AB544" s="20">
        <v>30038</v>
      </c>
      <c r="AC544" s="20">
        <v>100</v>
      </c>
      <c r="AD544" s="20">
        <v>1</v>
      </c>
    </row>
    <row r="545" spans="1:33">
      <c r="A545" s="20">
        <v>30039</v>
      </c>
      <c r="B545" s="20" t="s">
        <v>5730</v>
      </c>
      <c r="C545" s="19" t="s">
        <v>6120</v>
      </c>
      <c r="W545" s="20" t="str">
        <f>IF(Q545&lt;&gt;0,3,IF(K545="","",VLOOKUP(K545,'#状态名词'!$J$1:$K$15,2,FALSE)))</f>
        <v/>
      </c>
      <c r="AF545" s="20">
        <v>30039</v>
      </c>
      <c r="AG545" s="20">
        <v>2</v>
      </c>
    </row>
    <row r="546" spans="1:33">
      <c r="A546" s="20">
        <v>30040</v>
      </c>
      <c r="B546" s="20" t="s">
        <v>5731</v>
      </c>
      <c r="C546" s="19" t="s">
        <v>6121</v>
      </c>
      <c r="W546" s="20" t="str">
        <f>IF(Q546&lt;&gt;0,3,IF(K546="","",VLOOKUP(K546,'#状态名词'!$J$1:$K$15,2,FALSE)))</f>
        <v/>
      </c>
      <c r="AF546" s="20">
        <v>30040</v>
      </c>
      <c r="AG546" s="20">
        <v>2</v>
      </c>
    </row>
    <row r="547" spans="1:33">
      <c r="A547" s="20">
        <v>30041</v>
      </c>
      <c r="B547" s="19" t="s">
        <v>7149</v>
      </c>
      <c r="C547" s="19" t="s">
        <v>8107</v>
      </c>
      <c r="G547" s="20">
        <v>3001</v>
      </c>
      <c r="Q547" s="20">
        <v>2</v>
      </c>
      <c r="R547" s="20">
        <v>0</v>
      </c>
      <c r="S547" s="20">
        <v>80</v>
      </c>
      <c r="W547" s="20">
        <f>IF(Q547&lt;&gt;0,3,IF(K547="","",VLOOKUP(K547,'#状态名词'!$J$1:$K$15,2,FALSE)))</f>
        <v>3</v>
      </c>
      <c r="AA547" s="20">
        <v>1</v>
      </c>
      <c r="AB547" s="20">
        <v>30041</v>
      </c>
      <c r="AC547" s="20">
        <v>100</v>
      </c>
      <c r="AD547" s="20">
        <v>2</v>
      </c>
    </row>
    <row r="548" spans="1:33">
      <c r="A548" s="20">
        <v>30042</v>
      </c>
      <c r="B548" s="20" t="s">
        <v>7151</v>
      </c>
      <c r="C548" s="19" t="s">
        <v>7830</v>
      </c>
      <c r="W548" s="20" t="str">
        <f>IF(Q548&lt;&gt;0,3,IF(K548="","",VLOOKUP(K548,'#状态名词'!$J$1:$K$15,2,FALSE)))</f>
        <v/>
      </c>
      <c r="AA548" s="20">
        <v>1</v>
      </c>
      <c r="AB548" s="20">
        <v>30042</v>
      </c>
      <c r="AC548" s="20">
        <v>100</v>
      </c>
      <c r="AD548" s="20">
        <v>2</v>
      </c>
    </row>
    <row r="549" spans="1:33">
      <c r="A549" s="20">
        <v>30043</v>
      </c>
      <c r="B549" s="20" t="s">
        <v>7180</v>
      </c>
      <c r="C549" s="21" t="s">
        <v>7179</v>
      </c>
      <c r="K549" s="20">
        <v>9</v>
      </c>
      <c r="W549" s="20">
        <f>IF(Q549&lt;&gt;0,3,IF(K549="","",VLOOKUP(K549,'#状态名词'!$J$1:$K$15,2,FALSE)))</f>
        <v>3</v>
      </c>
      <c r="AA549" s="20">
        <v>1</v>
      </c>
      <c r="AB549" s="20">
        <v>13</v>
      </c>
      <c r="AC549" s="20">
        <v>13</v>
      </c>
      <c r="AD549" s="20">
        <v>0</v>
      </c>
    </row>
    <row r="550" spans="1:33">
      <c r="A550" s="20">
        <v>30044</v>
      </c>
      <c r="B550" s="20" t="s">
        <v>7217</v>
      </c>
      <c r="C550" s="20" t="s">
        <v>7223</v>
      </c>
      <c r="W550" s="20" t="str">
        <f>IF(Q550&lt;&gt;0,3,IF(K550="","",VLOOKUP(K550,'#状态名词'!$J$1:$K$15,2,FALSE)))</f>
        <v/>
      </c>
      <c r="AF550" s="20">
        <v>30043</v>
      </c>
      <c r="AG550" s="20">
        <v>2</v>
      </c>
    </row>
    <row r="551" spans="1:33">
      <c r="A551" s="20">
        <v>30045</v>
      </c>
      <c r="B551" s="20" t="s">
        <v>7482</v>
      </c>
      <c r="C551" s="20" t="s">
        <v>7483</v>
      </c>
      <c r="W551" s="20" t="str">
        <f>IF(Q551&lt;&gt;0,3,IF(K551="","",VLOOKUP(K551,'#状态名词'!$J$1:$K$15,2,FALSE)))</f>
        <v/>
      </c>
      <c r="AA551" s="20">
        <v>1</v>
      </c>
      <c r="AB551" s="19">
        <v>31038</v>
      </c>
      <c r="AC551" s="20">
        <v>100</v>
      </c>
      <c r="AD551" s="20">
        <v>1</v>
      </c>
    </row>
    <row r="552" spans="1:33">
      <c r="A552" s="20">
        <v>30046</v>
      </c>
      <c r="B552" s="20" t="s">
        <v>7501</v>
      </c>
      <c r="C552" s="21" t="s">
        <v>6826</v>
      </c>
      <c r="W552" s="20" t="str">
        <f>IF(Q552&lt;&gt;0,3,IF(K552="","",VLOOKUP(K552,'#状态名词'!$J$1:$K$15,2,FALSE)))</f>
        <v/>
      </c>
      <c r="AA552" s="20">
        <v>1</v>
      </c>
      <c r="AB552" s="19">
        <v>30046</v>
      </c>
      <c r="AC552" s="20">
        <v>100</v>
      </c>
      <c r="AD552" s="20">
        <v>1</v>
      </c>
    </row>
    <row r="553" spans="1:33">
      <c r="A553" s="31">
        <v>30047</v>
      </c>
      <c r="B553" s="20" t="s">
        <v>7528</v>
      </c>
      <c r="C553" s="21" t="s">
        <v>7529</v>
      </c>
      <c r="K553" s="20">
        <v>9</v>
      </c>
      <c r="W553" s="20">
        <f>IF(Q553&lt;&gt;0,3,IF(K553="","",VLOOKUP(K553,'#状态名词'!$J$1:$K$15,2,FALSE)))</f>
        <v>3</v>
      </c>
      <c r="AA553" s="20">
        <v>1</v>
      </c>
      <c r="AB553" s="20">
        <v>30047</v>
      </c>
      <c r="AC553" s="20">
        <v>100</v>
      </c>
      <c r="AD553" s="20">
        <v>1</v>
      </c>
    </row>
    <row r="554" spans="1:33">
      <c r="A554" s="20">
        <v>30048</v>
      </c>
      <c r="B554" s="20" t="s">
        <v>7555</v>
      </c>
      <c r="C554" s="21" t="s">
        <v>7554</v>
      </c>
      <c r="W554" s="20" t="str">
        <f>IF(Q554&lt;&gt;0,3,IF(K554="","",VLOOKUP(K554,'#状态名词'!$J$1:$K$15,2,FALSE)))</f>
        <v/>
      </c>
      <c r="AA554" s="20">
        <v>1</v>
      </c>
      <c r="AB554" s="19">
        <v>30048</v>
      </c>
      <c r="AC554" s="20">
        <v>100</v>
      </c>
      <c r="AD554" s="20">
        <v>1</v>
      </c>
    </row>
    <row r="555" spans="1:33">
      <c r="A555" s="31">
        <v>30049</v>
      </c>
      <c r="B555" s="20" t="s">
        <v>7566</v>
      </c>
      <c r="C555" s="65" t="s">
        <v>7752</v>
      </c>
      <c r="W555" s="20" t="str">
        <f>IF(Q555&lt;&gt;0,3,IF(K555="","",VLOOKUP(K555,'#状态名词'!$J$1:$K$15,2,FALSE)))</f>
        <v/>
      </c>
      <c r="AA555" s="20">
        <v>1</v>
      </c>
      <c r="AB555" s="20">
        <v>30049</v>
      </c>
      <c r="AC555" s="20">
        <v>100</v>
      </c>
      <c r="AD555" s="20">
        <v>2</v>
      </c>
    </row>
    <row r="556" spans="1:33">
      <c r="A556" s="20">
        <v>30050</v>
      </c>
      <c r="B556" s="20" t="s">
        <v>7568</v>
      </c>
      <c r="C556" s="65" t="s">
        <v>8108</v>
      </c>
      <c r="W556" s="20" t="str">
        <f>IF(Q556&lt;&gt;0,3,IF(K556="","",VLOOKUP(K556,'#状态名词'!$J$1:$K$15,2,FALSE)))</f>
        <v/>
      </c>
      <c r="AA556" s="20">
        <v>1</v>
      </c>
      <c r="AB556" s="19">
        <v>30050</v>
      </c>
      <c r="AC556" s="20">
        <v>100</v>
      </c>
      <c r="AD556" s="20">
        <v>2</v>
      </c>
    </row>
    <row r="557" spans="1:33">
      <c r="C557" s="7"/>
      <c r="AA557" s="20">
        <v>1</v>
      </c>
      <c r="AB557" s="19">
        <v>30053</v>
      </c>
      <c r="AC557" s="20">
        <v>100</v>
      </c>
      <c r="AD557" s="20">
        <v>2</v>
      </c>
    </row>
    <row r="558" spans="1:33">
      <c r="A558" s="20">
        <v>30051</v>
      </c>
      <c r="B558" s="20" t="s">
        <v>7558</v>
      </c>
      <c r="C558" s="7" t="s">
        <v>8109</v>
      </c>
      <c r="W558" s="20" t="str">
        <f>IF(Q558&lt;&gt;0,3,IF(K558="","",VLOOKUP(K558,'#状态名词'!$J$1:$K$15,2,FALSE)))</f>
        <v/>
      </c>
      <c r="AA558" s="20">
        <v>1</v>
      </c>
      <c r="AB558" s="20">
        <v>30051</v>
      </c>
      <c r="AC558" s="20">
        <v>100</v>
      </c>
      <c r="AD558" s="20">
        <v>2</v>
      </c>
    </row>
    <row r="559" spans="1:33">
      <c r="A559" s="31">
        <v>30052</v>
      </c>
      <c r="B559" s="20" t="s">
        <v>7560</v>
      </c>
      <c r="C559" s="65" t="s">
        <v>7804</v>
      </c>
      <c r="W559" s="20" t="str">
        <f>IF(Q559&lt;&gt;0,3,IF(K559="","",VLOOKUP(K559,'#状态名词'!$J$1:$K$15,2,FALSE)))</f>
        <v/>
      </c>
      <c r="AA559" s="20">
        <v>1</v>
      </c>
      <c r="AB559" s="19">
        <v>30052</v>
      </c>
      <c r="AC559" s="20">
        <v>100</v>
      </c>
      <c r="AD559" s="20">
        <v>2</v>
      </c>
    </row>
    <row r="560" spans="1:33">
      <c r="A560" s="31">
        <v>30053</v>
      </c>
      <c r="B560" s="20" t="s">
        <v>7561</v>
      </c>
      <c r="C560" s="21" t="s">
        <v>7529</v>
      </c>
      <c r="K560" s="20">
        <v>9</v>
      </c>
      <c r="W560" s="20">
        <f>IF(Q560&lt;&gt;0,3,IF(K560="","",VLOOKUP(K560,'#状态名词'!$J$1:$K$15,2,FALSE)))</f>
        <v>3</v>
      </c>
      <c r="AA560" s="20">
        <v>1</v>
      </c>
      <c r="AB560" s="20">
        <v>30047</v>
      </c>
      <c r="AC560" s="20">
        <v>100</v>
      </c>
      <c r="AD560" s="20">
        <v>1</v>
      </c>
    </row>
    <row r="561" spans="1:33">
      <c r="A561" s="31">
        <v>30054</v>
      </c>
      <c r="B561" s="20" t="s">
        <v>7562</v>
      </c>
      <c r="C561" s="21" t="s">
        <v>7564</v>
      </c>
      <c r="K561" s="20">
        <v>9</v>
      </c>
      <c r="W561" s="20">
        <f>IF(Q561&lt;&gt;0,3,IF(K561="","",VLOOKUP(K561,'#状态名词'!$J$1:$K$15,2,FALSE)))</f>
        <v>3</v>
      </c>
      <c r="AA561" s="20">
        <v>1</v>
      </c>
      <c r="AB561" s="19">
        <v>30054</v>
      </c>
      <c r="AC561" s="20">
        <v>100</v>
      </c>
      <c r="AD561" s="20">
        <v>1</v>
      </c>
    </row>
    <row r="562" spans="1:33">
      <c r="A562" s="20">
        <v>30055</v>
      </c>
      <c r="B562" s="20" t="s">
        <v>7596</v>
      </c>
      <c r="C562" s="21" t="s">
        <v>6530</v>
      </c>
      <c r="K562" s="20">
        <v>6</v>
      </c>
      <c r="W562" s="20">
        <f>IF(Q562&lt;&gt;0,3,IF(K562="","",VLOOKUP(K562,'#状态名词'!$J$1:$K$15,2,FALSE)))</f>
        <v>3</v>
      </c>
      <c r="AA562" s="20">
        <v>1</v>
      </c>
      <c r="AB562" s="20">
        <v>51</v>
      </c>
      <c r="AC562" s="20">
        <v>100</v>
      </c>
      <c r="AD562" s="20">
        <v>1</v>
      </c>
    </row>
    <row r="563" spans="1:33">
      <c r="A563" s="20">
        <v>30056</v>
      </c>
      <c r="B563" s="20" t="s">
        <v>7573</v>
      </c>
      <c r="C563" s="21" t="s">
        <v>7645</v>
      </c>
      <c r="W563" s="20" t="str">
        <f>IF(Q563&lt;&gt;0,3,IF(K563="","",VLOOKUP(K563,'#状态名词'!$J$1:$K$15,2,FALSE)))</f>
        <v/>
      </c>
      <c r="AA563" s="20">
        <v>1</v>
      </c>
      <c r="AB563" s="20">
        <v>30056</v>
      </c>
      <c r="AC563" s="20">
        <v>100</v>
      </c>
      <c r="AD563" s="20">
        <v>1</v>
      </c>
    </row>
    <row r="564" spans="1:33">
      <c r="A564" s="20">
        <v>30057</v>
      </c>
      <c r="B564" s="20" t="s">
        <v>7574</v>
      </c>
      <c r="C564" s="21" t="s">
        <v>7644</v>
      </c>
      <c r="W564" s="20" t="str">
        <f>IF(Q564&lt;&gt;0,3,IF(K564="","",VLOOKUP(K564,'#状态名词'!$J$1:$K$15,2,FALSE)))</f>
        <v/>
      </c>
      <c r="AA564" s="20">
        <v>1</v>
      </c>
      <c r="AB564" s="20">
        <v>30057</v>
      </c>
      <c r="AC564" s="20">
        <v>100</v>
      </c>
      <c r="AD564" s="20">
        <v>1</v>
      </c>
    </row>
    <row r="565" spans="1:33">
      <c r="A565" s="20">
        <v>30058</v>
      </c>
      <c r="B565" s="20" t="s">
        <v>7575</v>
      </c>
      <c r="C565" s="21" t="s">
        <v>7650</v>
      </c>
      <c r="W565" s="20" t="str">
        <f>IF(Q565&lt;&gt;0,3,IF(K565="","",VLOOKUP(K565,'#状态名词'!$J$1:$K$15,2,FALSE)))</f>
        <v/>
      </c>
      <c r="AA565" s="20">
        <v>1</v>
      </c>
      <c r="AB565" s="20">
        <v>30058</v>
      </c>
      <c r="AC565" s="20">
        <v>100</v>
      </c>
      <c r="AD565" s="20">
        <v>1</v>
      </c>
    </row>
    <row r="566" spans="1:33">
      <c r="A566" s="20">
        <v>30059</v>
      </c>
      <c r="B566" s="20" t="s">
        <v>7604</v>
      </c>
      <c r="C566" s="21" t="s">
        <v>7759</v>
      </c>
      <c r="F566" s="20" t="s">
        <v>7605</v>
      </c>
      <c r="H566" s="20">
        <v>10</v>
      </c>
      <c r="K566" s="20">
        <v>5</v>
      </c>
      <c r="O566" s="20">
        <v>3</v>
      </c>
      <c r="W566" s="20">
        <f>IF(Q566&lt;&gt;0,3,IF(K566="","",VLOOKUP(K566,'#状态名词'!$J$1:$K$15,2,FALSE)))</f>
        <v>1</v>
      </c>
    </row>
    <row r="567" spans="1:33">
      <c r="A567" s="62">
        <v>30060</v>
      </c>
      <c r="B567" s="20" t="s">
        <v>7756</v>
      </c>
      <c r="C567" s="72" t="s">
        <v>7941</v>
      </c>
      <c r="K567" s="20">
        <v>9</v>
      </c>
      <c r="W567" s="20">
        <f>IF(Q567&lt;&gt;0,3,IF(K567="","",VLOOKUP(K567,'#状态名词'!$J$1:$K$15,2,FALSE)))</f>
        <v>3</v>
      </c>
      <c r="Y567" s="20">
        <v>1</v>
      </c>
      <c r="Z567" s="20">
        <v>30061</v>
      </c>
      <c r="AA567" s="20">
        <v>1</v>
      </c>
      <c r="AB567" s="20">
        <v>30060</v>
      </c>
      <c r="AC567" s="20">
        <v>50</v>
      </c>
      <c r="AD567" s="20">
        <v>1</v>
      </c>
    </row>
    <row r="568" spans="1:33">
      <c r="A568" s="62">
        <v>30061</v>
      </c>
      <c r="B568" s="20" t="s">
        <v>7764</v>
      </c>
      <c r="C568" s="72" t="s">
        <v>7943</v>
      </c>
      <c r="K568" s="20">
        <v>6</v>
      </c>
      <c r="W568" s="20">
        <f>IF(Q568&lt;&gt;0,3,IF(K568="","",VLOOKUP(K568,'#状态名词'!$J$1:$K$15,2,FALSE)))</f>
        <v>3</v>
      </c>
      <c r="AA568" s="20">
        <v>1</v>
      </c>
      <c r="AB568" s="20">
        <v>30061</v>
      </c>
      <c r="AC568" s="20">
        <v>50</v>
      </c>
      <c r="AD568" s="20">
        <v>1</v>
      </c>
    </row>
    <row r="569" spans="1:33">
      <c r="A569" s="62">
        <v>30062</v>
      </c>
      <c r="B569" s="20" t="s">
        <v>7757</v>
      </c>
      <c r="C569" s="72" t="s">
        <v>9057</v>
      </c>
      <c r="K569" s="20">
        <v>9</v>
      </c>
      <c r="W569" s="20">
        <f>IF(Q569&lt;&gt;0,3,IF(K569="","",VLOOKUP(K569,'#状态名词'!$J$1:$K$15,2,FALSE)))</f>
        <v>3</v>
      </c>
      <c r="AA569" s="20">
        <v>1</v>
      </c>
      <c r="AB569" s="20">
        <v>30062</v>
      </c>
      <c r="AC569" s="20">
        <v>5</v>
      </c>
      <c r="AD569" s="20">
        <v>1</v>
      </c>
    </row>
    <row r="570" spans="1:33">
      <c r="A570" s="62">
        <v>30063</v>
      </c>
      <c r="B570" s="20" t="s">
        <v>7758</v>
      </c>
      <c r="C570" s="72" t="s">
        <v>7942</v>
      </c>
      <c r="F570" s="20" t="s">
        <v>7763</v>
      </c>
      <c r="H570" s="20">
        <v>15</v>
      </c>
      <c r="K570" s="20">
        <v>5</v>
      </c>
      <c r="N570" s="20">
        <v>3</v>
      </c>
      <c r="W570" s="20">
        <f>IF(Q570&lt;&gt;0,3,IF(K570="","",VLOOKUP(K570,'#状态名词'!$J$1:$K$15,2,FALSE)))</f>
        <v>1</v>
      </c>
      <c r="AA570" s="20">
        <v>1</v>
      </c>
      <c r="AB570" s="20">
        <v>30063</v>
      </c>
      <c r="AC570" s="20">
        <v>100</v>
      </c>
      <c r="AD570" s="20">
        <v>1</v>
      </c>
    </row>
    <row r="571" spans="1:33">
      <c r="A571" s="20">
        <v>30064</v>
      </c>
      <c r="B571" s="20" t="s">
        <v>7885</v>
      </c>
      <c r="C571" s="72" t="s">
        <v>7886</v>
      </c>
      <c r="K571" s="20">
        <v>0</v>
      </c>
      <c r="W571" s="20">
        <f>IF(Q571&lt;&gt;0,3,IF(K571="","",VLOOKUP(K571,'#状态名词'!$J$1:$K$15,2,FALSE)))</f>
        <v>0</v>
      </c>
      <c r="AF571" s="20">
        <v>30064</v>
      </c>
      <c r="AG571" s="20">
        <v>2</v>
      </c>
    </row>
    <row r="572" spans="1:33">
      <c r="A572" s="20">
        <v>30065</v>
      </c>
      <c r="B572" s="20" t="s">
        <v>8019</v>
      </c>
      <c r="C572" s="72" t="s">
        <v>8021</v>
      </c>
      <c r="W572" s="20" t="str">
        <f>IF(Q572&lt;&gt;0,3,IF(K572="","",VLOOKUP(K572,'#状态名词'!$J$1:$K$15,2,FALSE)))</f>
        <v/>
      </c>
      <c r="AA572" s="20">
        <v>1</v>
      </c>
      <c r="AB572" s="20">
        <v>30065</v>
      </c>
      <c r="AC572" s="20">
        <v>100</v>
      </c>
      <c r="AD572" s="20">
        <v>1</v>
      </c>
    </row>
    <row r="573" spans="1:33">
      <c r="A573" s="20">
        <v>30066</v>
      </c>
      <c r="B573" s="20" t="s">
        <v>8020</v>
      </c>
      <c r="C573" s="72" t="s">
        <v>8022</v>
      </c>
      <c r="W573" s="20" t="str">
        <f>IF(Q573&lt;&gt;0,3,IF(K573="","",VLOOKUP(K573,'#状态名词'!$J$1:$K$15,2,FALSE)))</f>
        <v/>
      </c>
      <c r="AA573" s="20">
        <v>1</v>
      </c>
      <c r="AB573" s="20">
        <v>30066</v>
      </c>
      <c r="AC573" s="20">
        <v>100</v>
      </c>
      <c r="AD573" s="20">
        <v>1</v>
      </c>
    </row>
    <row r="574" spans="1:33">
      <c r="A574" s="20">
        <v>30067</v>
      </c>
      <c r="B574" s="20" t="s">
        <v>8852</v>
      </c>
      <c r="C574" s="72" t="s">
        <v>8023</v>
      </c>
      <c r="W574" s="20" t="str">
        <f>IF(Q574&lt;&gt;0,3,IF(K574="","",VLOOKUP(K574,'#状态名词'!$J$1:$K$15,2,FALSE)))</f>
        <v/>
      </c>
      <c r="AA574" s="20">
        <v>1</v>
      </c>
      <c r="AB574" s="20">
        <v>30067</v>
      </c>
      <c r="AC574" s="20">
        <v>100</v>
      </c>
      <c r="AD574" s="20">
        <v>1</v>
      </c>
    </row>
    <row r="575" spans="1:33">
      <c r="A575" s="20">
        <v>30068</v>
      </c>
      <c r="B575" s="20" t="s">
        <v>8018</v>
      </c>
      <c r="C575" s="72" t="s">
        <v>8024</v>
      </c>
      <c r="W575" s="20" t="str">
        <f>IF(Q575&lt;&gt;0,3,IF(K575="","",VLOOKUP(K575,'#状态名词'!$J$1:$K$15,2,FALSE)))</f>
        <v/>
      </c>
      <c r="AA575" s="20">
        <v>1</v>
      </c>
      <c r="AB575" s="20">
        <v>30068</v>
      </c>
      <c r="AC575" s="20">
        <v>100</v>
      </c>
      <c r="AD575" s="20">
        <v>1</v>
      </c>
    </row>
    <row r="576" spans="1:33">
      <c r="A576" s="20">
        <v>30069</v>
      </c>
      <c r="B576" s="20" t="s">
        <v>8027</v>
      </c>
      <c r="C576" s="72" t="s">
        <v>8028</v>
      </c>
      <c r="W576" s="20" t="str">
        <f>IF(Q576&lt;&gt;0,3,IF(K576="","",VLOOKUP(K576,'#状态名词'!$J$1:$K$15,2,FALSE)))</f>
        <v/>
      </c>
      <c r="AA576" s="20">
        <v>1</v>
      </c>
      <c r="AB576" s="20">
        <v>50</v>
      </c>
      <c r="AC576" s="20">
        <v>0.5</v>
      </c>
      <c r="AD576" s="20">
        <v>1</v>
      </c>
    </row>
    <row r="577" spans="1:33">
      <c r="A577" s="20">
        <v>30070</v>
      </c>
      <c r="B577" s="20" t="s">
        <v>8032</v>
      </c>
      <c r="C577" s="72" t="s">
        <v>8035</v>
      </c>
      <c r="W577" s="20" t="str">
        <f>IF(Q577&lt;&gt;0,3,IF(K577="","",VLOOKUP(K577,'#状态名词'!$J$1:$K$15,2,FALSE)))</f>
        <v/>
      </c>
      <c r="AF577" s="20">
        <v>30070</v>
      </c>
      <c r="AG577" s="20">
        <v>2</v>
      </c>
    </row>
    <row r="578" spans="1:33">
      <c r="A578" s="20">
        <v>30071</v>
      </c>
      <c r="B578" s="20" t="s">
        <v>8033</v>
      </c>
      <c r="C578" s="72" t="s">
        <v>8034</v>
      </c>
      <c r="W578" s="20" t="str">
        <f>IF(Q578&lt;&gt;0,3,IF(K578="","",VLOOKUP(K578,'#状态名词'!$J$1:$K$15,2,FALSE)))</f>
        <v/>
      </c>
      <c r="AA578" s="20">
        <v>1</v>
      </c>
      <c r="AB578" s="20">
        <v>30071</v>
      </c>
      <c r="AC578" s="20">
        <v>100</v>
      </c>
      <c r="AD578" s="20">
        <v>1</v>
      </c>
    </row>
    <row r="579" spans="1:33">
      <c r="A579" s="20">
        <v>30072</v>
      </c>
      <c r="B579" s="20" t="s">
        <v>8041</v>
      </c>
      <c r="C579" s="72" t="s">
        <v>8039</v>
      </c>
      <c r="W579" s="20" t="str">
        <f>IF(Q579&lt;&gt;0,3,IF(K579="","",VLOOKUP(K579,'#状态名词'!$J$1:$K$15,2,FALSE)))</f>
        <v/>
      </c>
      <c r="AA579" s="20">
        <v>1</v>
      </c>
      <c r="AB579" s="20">
        <v>30072</v>
      </c>
      <c r="AC579" s="20">
        <v>100</v>
      </c>
      <c r="AD579" s="20">
        <v>1</v>
      </c>
    </row>
    <row r="580" spans="1:33">
      <c r="A580" s="20">
        <v>30073</v>
      </c>
      <c r="B580" s="20" t="s">
        <v>8038</v>
      </c>
      <c r="C580" s="72" t="s">
        <v>8040</v>
      </c>
      <c r="W580" s="20" t="str">
        <f>IF(Q580&lt;&gt;0,3,IF(K580="","",VLOOKUP(K580,'#状态名词'!$J$1:$K$15,2,FALSE)))</f>
        <v/>
      </c>
      <c r="AA580" s="20">
        <v>1</v>
      </c>
      <c r="AB580" s="20">
        <v>30073</v>
      </c>
      <c r="AC580" s="20">
        <v>100</v>
      </c>
      <c r="AD580" s="20">
        <v>1</v>
      </c>
    </row>
    <row r="581" spans="1:33">
      <c r="A581" s="20">
        <v>30074</v>
      </c>
      <c r="B581" s="20" t="s">
        <v>8122</v>
      </c>
      <c r="C581" s="20" t="s">
        <v>8127</v>
      </c>
      <c r="K581" s="20">
        <v>9</v>
      </c>
      <c r="W581" s="20">
        <f>IF(Q581&lt;&gt;0,3,IF(K581="","",VLOOKUP(K581,'#状态名词'!$J$1:$K$15,2,FALSE)))</f>
        <v>3</v>
      </c>
      <c r="AA581" s="20">
        <v>1</v>
      </c>
      <c r="AB581" s="20">
        <v>30074</v>
      </c>
      <c r="AC581" s="20">
        <v>100</v>
      </c>
      <c r="AD581" s="20">
        <v>1</v>
      </c>
    </row>
    <row r="582" spans="1:33">
      <c r="A582" s="20">
        <v>30075</v>
      </c>
      <c r="B582" s="20" t="s">
        <v>8124</v>
      </c>
      <c r="C582" s="20" t="s">
        <v>8125</v>
      </c>
      <c r="W582" s="20" t="str">
        <f>IF(Q582&lt;&gt;0,3,IF(K582="","",VLOOKUP(K582,'#状态名词'!$J$1:$K$15,2,FALSE)))</f>
        <v/>
      </c>
      <c r="AA582" s="20">
        <v>1</v>
      </c>
      <c r="AB582" s="20">
        <v>30075</v>
      </c>
      <c r="AC582" s="20">
        <v>100</v>
      </c>
      <c r="AD582" s="20">
        <v>1</v>
      </c>
    </row>
    <row r="583" spans="1:33">
      <c r="A583" s="20">
        <v>30076</v>
      </c>
      <c r="B583" s="20" t="s">
        <v>8123</v>
      </c>
      <c r="C583" s="72" t="s">
        <v>8126</v>
      </c>
      <c r="W583" s="20" t="str">
        <f>IF(Q583&lt;&gt;0,3,IF(K583="","",VLOOKUP(K583,'#状态名词'!$J$1:$K$15,2,FALSE)))</f>
        <v/>
      </c>
      <c r="AA583" s="20">
        <v>1</v>
      </c>
      <c r="AB583" s="20">
        <v>30076</v>
      </c>
      <c r="AC583" s="20">
        <v>100</v>
      </c>
      <c r="AD583" s="20">
        <v>1</v>
      </c>
    </row>
    <row r="584" spans="1:33">
      <c r="A584" s="20">
        <v>30077</v>
      </c>
      <c r="B584" s="20" t="s">
        <v>8827</v>
      </c>
      <c r="C584" s="72" t="s">
        <v>8829</v>
      </c>
      <c r="W584" s="20" t="str">
        <f>IF(Q584&lt;&gt;0,3,IF(K584="","",VLOOKUP(K584,'#状态名词'!$J$1:$K$15,2,FALSE)))</f>
        <v/>
      </c>
      <c r="AA584" s="20">
        <v>1</v>
      </c>
      <c r="AB584" s="20">
        <v>30077</v>
      </c>
      <c r="AC584" s="20">
        <v>100</v>
      </c>
      <c r="AD584" s="20">
        <v>1</v>
      </c>
    </row>
    <row r="585" spans="1:33">
      <c r="A585" s="20">
        <v>30078</v>
      </c>
      <c r="B585" s="20" t="s">
        <v>8832</v>
      </c>
      <c r="C585" s="72" t="s">
        <v>8835</v>
      </c>
      <c r="K585" s="20">
        <v>6</v>
      </c>
      <c r="W585" s="20">
        <f>IF(Q585&lt;&gt;0,3,IF(K585="","",VLOOKUP(K585,'#状态名词'!$J$1:$K$15,2,FALSE)))</f>
        <v>3</v>
      </c>
      <c r="AA585" s="20">
        <v>1</v>
      </c>
      <c r="AB585" s="20">
        <v>13</v>
      </c>
      <c r="AC585" s="20">
        <v>50</v>
      </c>
      <c r="AD585" s="20">
        <v>0</v>
      </c>
    </row>
    <row r="586" spans="1:33">
      <c r="A586" s="20">
        <v>30079</v>
      </c>
      <c r="B586" s="20" t="s">
        <v>8833</v>
      </c>
      <c r="C586" s="72" t="s">
        <v>8836</v>
      </c>
      <c r="K586" s="20">
        <v>6</v>
      </c>
      <c r="W586" s="20">
        <f>IF(Q586&lt;&gt;0,3,IF(K586="","",VLOOKUP(K586,'#状态名词'!$J$1:$K$15,2,FALSE)))</f>
        <v>3</v>
      </c>
      <c r="AA586" s="20">
        <v>1</v>
      </c>
      <c r="AB586" s="20">
        <v>12</v>
      </c>
      <c r="AC586" s="20">
        <v>50</v>
      </c>
      <c r="AD586" s="20">
        <v>0</v>
      </c>
    </row>
    <row r="587" spans="1:33">
      <c r="A587" s="20">
        <v>30080</v>
      </c>
      <c r="B587" s="20" t="s">
        <v>8834</v>
      </c>
      <c r="C587" s="72" t="s">
        <v>8837</v>
      </c>
      <c r="K587" s="20">
        <v>6</v>
      </c>
      <c r="W587" s="20">
        <f>IF(Q587&lt;&gt;0,3,IF(K587="","",VLOOKUP(K587,'#状态名词'!$J$1:$K$15,2,FALSE)))</f>
        <v>3</v>
      </c>
      <c r="AA587" s="20">
        <v>1</v>
      </c>
      <c r="AB587" s="20">
        <v>11</v>
      </c>
      <c r="AC587" s="20">
        <v>50</v>
      </c>
      <c r="AD587" s="20">
        <v>0</v>
      </c>
    </row>
    <row r="588" spans="1:33">
      <c r="A588" s="20">
        <v>30081</v>
      </c>
      <c r="B588" s="20" t="s">
        <v>8846</v>
      </c>
      <c r="C588" s="76" t="s">
        <v>8847</v>
      </c>
      <c r="K588" s="20">
        <v>6</v>
      </c>
      <c r="W588" s="20">
        <f>IF(Q588&lt;&gt;0,3,IF(K588="","",VLOOKUP(K588,'#状态名词'!$J$1:$K$15,2,FALSE)))</f>
        <v>3</v>
      </c>
      <c r="AA588" s="20">
        <v>1</v>
      </c>
      <c r="AB588" s="20">
        <v>42</v>
      </c>
      <c r="AC588" s="20">
        <v>20</v>
      </c>
      <c r="AD588" s="20">
        <v>1</v>
      </c>
      <c r="AE588" s="20">
        <v>2</v>
      </c>
    </row>
    <row r="589" spans="1:33">
      <c r="W589" s="20" t="str">
        <f>IF(Q589&lt;&gt;0,3,IF(K589="","",VLOOKUP(K589,'#状态名词'!$J$1:$K$15,2,FALSE)))</f>
        <v/>
      </c>
      <c r="AA589" s="20">
        <v>1</v>
      </c>
      <c r="AB589" s="20">
        <v>31</v>
      </c>
      <c r="AC589" s="20">
        <v>2</v>
      </c>
      <c r="AD589" s="20">
        <v>1</v>
      </c>
      <c r="AE589" s="20">
        <v>20</v>
      </c>
    </row>
    <row r="590" spans="1:33">
      <c r="W590" s="20" t="str">
        <f>IF(Q590&lt;&gt;0,3,IF(K590="","",VLOOKUP(K590,'#状态名词'!$J$1:$K$15,2,FALSE)))</f>
        <v/>
      </c>
      <c r="AA590" s="20">
        <v>1</v>
      </c>
      <c r="AB590" s="20">
        <v>34</v>
      </c>
      <c r="AC590" s="20">
        <v>20</v>
      </c>
      <c r="AD590" s="20">
        <v>1</v>
      </c>
      <c r="AE590" s="20">
        <v>2</v>
      </c>
    </row>
    <row r="591" spans="1:33">
      <c r="W591" s="20" t="str">
        <f>IF(Q591&lt;&gt;0,3,IF(K591="","",VLOOKUP(K591,'#状态名词'!$J$1:$K$15,2,FALSE)))</f>
        <v/>
      </c>
      <c r="AA591" s="20">
        <v>1</v>
      </c>
      <c r="AB591" s="20">
        <v>35</v>
      </c>
      <c r="AC591" s="20">
        <v>20</v>
      </c>
      <c r="AD591" s="20">
        <v>1</v>
      </c>
      <c r="AE591" s="20">
        <v>2</v>
      </c>
    </row>
    <row r="592" spans="1:33">
      <c r="W592" s="20" t="str">
        <f>IF(Q592&lt;&gt;0,3,IF(K592="","",VLOOKUP(K592,'#状态名词'!$J$1:$K$15,2,FALSE)))</f>
        <v/>
      </c>
      <c r="AA592" s="20">
        <v>1</v>
      </c>
      <c r="AB592" s="20">
        <v>36</v>
      </c>
      <c r="AC592" s="20">
        <v>20</v>
      </c>
      <c r="AD592" s="20">
        <v>1</v>
      </c>
      <c r="AE592" s="20">
        <v>2</v>
      </c>
    </row>
    <row r="593" spans="1:33">
      <c r="W593" s="20" t="str">
        <f>IF(Q593&lt;&gt;0,3,IF(K593="","",VLOOKUP(K593,'#状态名词'!$J$1:$K$15,2,FALSE)))</f>
        <v/>
      </c>
      <c r="AA593" s="20">
        <v>1</v>
      </c>
      <c r="AB593" s="20">
        <v>41</v>
      </c>
      <c r="AC593" s="20">
        <v>20</v>
      </c>
      <c r="AD593" s="20">
        <v>1</v>
      </c>
      <c r="AE593" s="20">
        <v>2</v>
      </c>
    </row>
    <row r="594" spans="1:33">
      <c r="C594" s="20"/>
      <c r="W594" s="20" t="str">
        <f>IF(Q594&lt;&gt;0,3,IF(K594="","",VLOOKUP(K594,'#状态名词'!$J$1:$K$15,2,FALSE)))</f>
        <v/>
      </c>
      <c r="AA594" s="20">
        <v>1</v>
      </c>
      <c r="AB594" s="20">
        <v>51</v>
      </c>
      <c r="AC594" s="20">
        <v>20</v>
      </c>
      <c r="AD594" s="20">
        <v>1</v>
      </c>
      <c r="AE594" s="20">
        <v>2</v>
      </c>
    </row>
    <row r="595" spans="1:33" ht="27">
      <c r="A595" s="20">
        <v>30082</v>
      </c>
      <c r="B595" s="20" t="s">
        <v>8855</v>
      </c>
      <c r="C595" s="76" t="s">
        <v>8861</v>
      </c>
      <c r="K595" s="20">
        <v>6</v>
      </c>
      <c r="W595" s="20">
        <f>IF(Q595&lt;&gt;0,3,IF(K595="","",VLOOKUP(K595,'#状态名词'!$J$1:$K$15,2,FALSE)))</f>
        <v>3</v>
      </c>
      <c r="Y595" s="20">
        <v>1</v>
      </c>
      <c r="Z595" s="20">
        <v>30083</v>
      </c>
      <c r="AA595" s="20">
        <v>1</v>
      </c>
      <c r="AB595" s="20">
        <v>30082</v>
      </c>
      <c r="AC595" s="20">
        <v>50</v>
      </c>
      <c r="AD595" s="20">
        <v>1</v>
      </c>
    </row>
    <row r="596" spans="1:33">
      <c r="A596" s="20">
        <v>30083</v>
      </c>
      <c r="B596" s="20" t="s">
        <v>8856</v>
      </c>
      <c r="C596" s="76" t="s">
        <v>8860</v>
      </c>
      <c r="W596" s="20" t="str">
        <f>IF(Q596&lt;&gt;0,3,IF(K596="","",VLOOKUP(K596,'#状态名词'!$J$1:$K$15,2,FALSE)))</f>
        <v/>
      </c>
      <c r="AA596" s="20">
        <v>1</v>
      </c>
      <c r="AB596" s="20">
        <v>30083</v>
      </c>
      <c r="AC596" s="20">
        <v>100</v>
      </c>
      <c r="AD596" s="20">
        <v>0</v>
      </c>
    </row>
    <row r="597" spans="1:33">
      <c r="A597" s="20">
        <v>30084</v>
      </c>
      <c r="B597" s="20" t="s">
        <v>8910</v>
      </c>
      <c r="C597" s="76" t="s">
        <v>8919</v>
      </c>
      <c r="W597" s="20" t="str">
        <f>IF(Q597&lt;&gt;0,3,IF(K597="","",VLOOKUP(K597,'#状态名词'!$J$1:$K$15,2,FALSE)))</f>
        <v/>
      </c>
      <c r="AF597" s="20">
        <v>30084</v>
      </c>
      <c r="AG597" s="20">
        <v>1</v>
      </c>
    </row>
    <row r="598" spans="1:33">
      <c r="A598" s="20">
        <v>30085</v>
      </c>
      <c r="B598" s="20" t="s">
        <v>8910</v>
      </c>
      <c r="C598" s="76" t="s">
        <v>8920</v>
      </c>
      <c r="W598" s="20" t="str">
        <f>IF(Q598&lt;&gt;0,3,IF(K598="","",VLOOKUP(K598,'#状态名词'!$J$1:$K$15,2,FALSE)))</f>
        <v/>
      </c>
      <c r="AF598" s="20">
        <v>30085</v>
      </c>
      <c r="AG598" s="20">
        <v>1</v>
      </c>
    </row>
    <row r="599" spans="1:33">
      <c r="A599" s="20">
        <v>30086</v>
      </c>
      <c r="B599" s="20" t="s">
        <v>8911</v>
      </c>
      <c r="C599" s="76" t="s">
        <v>8921</v>
      </c>
      <c r="K599" s="20">
        <v>9</v>
      </c>
      <c r="W599" s="20">
        <f>IF(Q599&lt;&gt;0,3,IF(K599="","",VLOOKUP(K599,'#状态名词'!$J$1:$K$15,2,FALSE)))</f>
        <v>3</v>
      </c>
      <c r="AA599" s="20">
        <v>1</v>
      </c>
      <c r="AB599" s="20">
        <v>30086</v>
      </c>
      <c r="AC599" s="20">
        <v>100</v>
      </c>
      <c r="AD599" s="20">
        <v>0</v>
      </c>
    </row>
    <row r="600" spans="1:33">
      <c r="A600" s="20">
        <v>30087</v>
      </c>
      <c r="B600" s="20" t="s">
        <v>8911</v>
      </c>
      <c r="C600" s="76" t="s">
        <v>8922</v>
      </c>
      <c r="K600" s="20">
        <v>9</v>
      </c>
      <c r="W600" s="20">
        <f>IF(Q600&lt;&gt;0,3,IF(K600="","",VLOOKUP(K600,'#状态名词'!$J$1:$K$15,2,FALSE)))</f>
        <v>3</v>
      </c>
      <c r="AA600" s="20">
        <v>1</v>
      </c>
      <c r="AB600" s="20">
        <v>30086</v>
      </c>
      <c r="AC600" s="20">
        <v>100</v>
      </c>
      <c r="AD600" s="20">
        <v>0</v>
      </c>
    </row>
    <row r="601" spans="1:33">
      <c r="A601" s="20">
        <v>30088</v>
      </c>
      <c r="B601" s="20" t="s">
        <v>8912</v>
      </c>
      <c r="C601" s="76" t="s">
        <v>8915</v>
      </c>
      <c r="W601" s="20" t="str">
        <f>IF(Q601&lt;&gt;0,3,IF(K601="","",VLOOKUP(K601,'#状态名词'!$J$1:$K$15,2,FALSE)))</f>
        <v/>
      </c>
      <c r="AA601" s="20">
        <v>1</v>
      </c>
      <c r="AB601" s="20">
        <v>30088</v>
      </c>
      <c r="AC601" s="20">
        <v>100</v>
      </c>
      <c r="AD601" s="20">
        <v>1</v>
      </c>
    </row>
    <row r="602" spans="1:33">
      <c r="A602" s="20">
        <v>30089</v>
      </c>
      <c r="B602" s="20" t="s">
        <v>8912</v>
      </c>
      <c r="C602" s="76" t="s">
        <v>8916</v>
      </c>
      <c r="W602" s="20" t="str">
        <f>IF(Q602&lt;&gt;0,3,IF(K602="","",VLOOKUP(K602,'#状态名词'!$J$1:$K$15,2,FALSE)))</f>
        <v/>
      </c>
      <c r="AA602" s="20">
        <v>1</v>
      </c>
      <c r="AB602" s="20">
        <v>30089</v>
      </c>
      <c r="AC602" s="20">
        <v>100</v>
      </c>
      <c r="AD602" s="20">
        <v>1</v>
      </c>
    </row>
    <row r="603" spans="1:33">
      <c r="A603" s="20">
        <v>30090</v>
      </c>
      <c r="B603" s="20" t="s">
        <v>8908</v>
      </c>
      <c r="C603" s="76" t="s">
        <v>8913</v>
      </c>
      <c r="W603" s="20" t="str">
        <f>IF(Q603&lt;&gt;0,3,IF(K603="","",VLOOKUP(K603,'#状态名词'!$J$1:$K$15,2,FALSE)))</f>
        <v/>
      </c>
      <c r="AA603" s="20">
        <v>1</v>
      </c>
      <c r="AB603" s="20">
        <v>30090</v>
      </c>
      <c r="AC603" s="20">
        <v>100</v>
      </c>
      <c r="AD603" s="20">
        <v>1</v>
      </c>
    </row>
    <row r="604" spans="1:33">
      <c r="A604" s="20">
        <v>30091</v>
      </c>
      <c r="B604" s="20" t="s">
        <v>8909</v>
      </c>
      <c r="C604" s="76" t="s">
        <v>8914</v>
      </c>
      <c r="W604" s="20" t="str">
        <f>IF(Q604&lt;&gt;0,3,IF(K604="","",VLOOKUP(K604,'#状态名词'!$J$1:$K$15,2,FALSE)))</f>
        <v/>
      </c>
      <c r="AA604" s="20">
        <v>1</v>
      </c>
      <c r="AB604" s="20">
        <v>30091</v>
      </c>
      <c r="AC604" s="20">
        <v>100</v>
      </c>
      <c r="AD604" s="20">
        <v>1</v>
      </c>
    </row>
    <row r="605" spans="1:33">
      <c r="A605" s="20">
        <v>30092</v>
      </c>
      <c r="B605" s="20" t="s">
        <v>8917</v>
      </c>
      <c r="C605" s="76" t="s">
        <v>8918</v>
      </c>
      <c r="K605" s="20">
        <v>6</v>
      </c>
      <c r="W605" s="20">
        <f>IF(Q605&lt;&gt;0,3,IF(K605="","",VLOOKUP(K605,'#状态名词'!$J$1:$K$15,2,FALSE)))</f>
        <v>3</v>
      </c>
      <c r="AA605" s="20">
        <v>1</v>
      </c>
      <c r="AB605" s="20">
        <v>12</v>
      </c>
      <c r="AC605" s="20">
        <v>100</v>
      </c>
      <c r="AD605" s="20">
        <v>0</v>
      </c>
      <c r="AE605" s="20">
        <v>5</v>
      </c>
    </row>
    <row r="606" spans="1:33">
      <c r="A606" s="20">
        <v>30093</v>
      </c>
      <c r="B606" s="20" t="s">
        <v>8970</v>
      </c>
      <c r="C606" s="76" t="s">
        <v>8972</v>
      </c>
      <c r="W606" s="20" t="str">
        <f>IF(Q606&lt;&gt;0,3,IF(K606="","",VLOOKUP(K606,'#状态名词'!$J$1:$K$15,2,FALSE)))</f>
        <v/>
      </c>
      <c r="AA606" s="20">
        <v>1</v>
      </c>
      <c r="AB606" s="20">
        <v>30093</v>
      </c>
      <c r="AC606" s="20">
        <v>100</v>
      </c>
      <c r="AD606" s="20">
        <v>1</v>
      </c>
    </row>
    <row r="607" spans="1:33">
      <c r="A607" s="20">
        <v>30094</v>
      </c>
      <c r="B607" s="20" t="s">
        <v>8971</v>
      </c>
      <c r="C607" s="76" t="s">
        <v>8973</v>
      </c>
      <c r="K607" s="20">
        <v>6</v>
      </c>
      <c r="W607" s="20">
        <f>IF(Q607&lt;&gt;0,3,IF(K607="","",VLOOKUP(K607,'#状态名词'!$J$1:$K$15,2,FALSE)))</f>
        <v>3</v>
      </c>
      <c r="AA607" s="20">
        <v>1</v>
      </c>
      <c r="AB607" s="20">
        <v>30094</v>
      </c>
      <c r="AC607" s="20">
        <v>10</v>
      </c>
      <c r="AD607" s="20">
        <v>1</v>
      </c>
    </row>
    <row r="608" spans="1:33">
      <c r="A608" s="20">
        <v>30095</v>
      </c>
      <c r="B608" s="20" t="s">
        <v>9217</v>
      </c>
      <c r="C608" s="76" t="s">
        <v>9215</v>
      </c>
      <c r="G608" s="20">
        <v>6801</v>
      </c>
      <c r="K608" s="20">
        <v>9</v>
      </c>
      <c r="W608" s="20">
        <f>IF(Q608&lt;&gt;0,3,IF(K608="","",VLOOKUP(K608,'#状态名词'!$J$1:$K$15,2,FALSE)))</f>
        <v>3</v>
      </c>
      <c r="AA608" s="20">
        <v>1</v>
      </c>
      <c r="AB608" s="20">
        <v>30095</v>
      </c>
      <c r="AC608" s="20">
        <v>100</v>
      </c>
      <c r="AD608" s="20">
        <v>0</v>
      </c>
    </row>
    <row r="609" spans="1:31">
      <c r="A609" s="20">
        <v>30096</v>
      </c>
      <c r="B609" s="20" t="s">
        <v>9218</v>
      </c>
      <c r="C609" s="76" t="s">
        <v>9216</v>
      </c>
      <c r="G609" s="20">
        <v>6601</v>
      </c>
      <c r="K609" s="20">
        <v>9</v>
      </c>
      <c r="W609" s="20">
        <f>IF(Q609&lt;&gt;0,3,IF(K609="","",VLOOKUP(K609,'#状态名词'!$J$1:$K$15,2,FALSE)))</f>
        <v>3</v>
      </c>
      <c r="AA609" s="20">
        <v>1</v>
      </c>
      <c r="AB609" s="20">
        <v>30096</v>
      </c>
      <c r="AC609" s="20">
        <v>100</v>
      </c>
      <c r="AD609" s="20">
        <v>0</v>
      </c>
    </row>
    <row r="610" spans="1:31">
      <c r="A610" s="20">
        <v>30097</v>
      </c>
      <c r="B610" s="20" t="s">
        <v>9224</v>
      </c>
      <c r="C610" s="76" t="s">
        <v>9214</v>
      </c>
      <c r="K610" s="20">
        <v>6</v>
      </c>
      <c r="W610" s="20">
        <f>IF(Q610&lt;&gt;0,3,IF(K610="","",VLOOKUP(K610,'#状态名词'!$J$1:$K$15,2,FALSE)))</f>
        <v>3</v>
      </c>
      <c r="AA610" s="20">
        <v>1</v>
      </c>
      <c r="AB610" s="20">
        <v>30097</v>
      </c>
      <c r="AC610" s="20">
        <v>100</v>
      </c>
      <c r="AD610" s="20">
        <v>0</v>
      </c>
    </row>
    <row r="611" spans="1:31">
      <c r="A611" s="20">
        <v>30098</v>
      </c>
      <c r="B611" s="20" t="s">
        <v>9220</v>
      </c>
      <c r="C611" s="76" t="s">
        <v>9213</v>
      </c>
      <c r="K611" s="20">
        <v>6</v>
      </c>
      <c r="W611" s="20">
        <f>IF(Q611&lt;&gt;0,3,IF(K611="","",VLOOKUP(K611,'#状态名词'!$J$1:$K$15,2,FALSE)))</f>
        <v>3</v>
      </c>
      <c r="AA611" s="20">
        <v>1</v>
      </c>
      <c r="AB611" s="20">
        <v>50</v>
      </c>
      <c r="AC611" s="20">
        <v>10</v>
      </c>
      <c r="AD611" s="20">
        <v>1</v>
      </c>
      <c r="AE611" s="20">
        <v>1</v>
      </c>
    </row>
    <row r="612" spans="1:31">
      <c r="A612" s="20">
        <v>30499</v>
      </c>
      <c r="B612" s="19" t="s">
        <v>3706</v>
      </c>
      <c r="C612" s="20" t="s">
        <v>3707</v>
      </c>
      <c r="K612" s="20">
        <v>9</v>
      </c>
      <c r="W612" s="20">
        <f>IF(Q612&lt;&gt;0,3,IF(K612="","",VLOOKUP(K612,'#状态名词'!$J$1:$K$15,2,FALSE)))</f>
        <v>3</v>
      </c>
      <c r="AA612" s="20">
        <v>1</v>
      </c>
      <c r="AB612" s="20">
        <v>35</v>
      </c>
      <c r="AC612" s="20">
        <v>10</v>
      </c>
      <c r="AD612" s="20">
        <v>1</v>
      </c>
      <c r="AE612" s="20">
        <v>1</v>
      </c>
    </row>
    <row r="613" spans="1:31">
      <c r="A613" s="20">
        <v>30500</v>
      </c>
      <c r="B613" s="19" t="s">
        <v>3708</v>
      </c>
      <c r="C613" s="20" t="s">
        <v>3709</v>
      </c>
      <c r="K613" s="20">
        <v>9</v>
      </c>
      <c r="W613" s="20">
        <f>IF(Q613&lt;&gt;0,3,IF(K613="","",VLOOKUP(K613,'#状态名词'!$J$1:$K$15,2,FALSE)))</f>
        <v>3</v>
      </c>
      <c r="AA613" s="20">
        <v>1</v>
      </c>
      <c r="AB613" s="20">
        <v>35</v>
      </c>
      <c r="AC613" s="20">
        <v>10</v>
      </c>
      <c r="AD613" s="20">
        <v>1</v>
      </c>
      <c r="AE613" s="20">
        <v>3</v>
      </c>
    </row>
    <row r="614" spans="1:31">
      <c r="A614" s="20">
        <v>30501</v>
      </c>
      <c r="B614" s="20" t="s">
        <v>3710</v>
      </c>
      <c r="C614" s="19" t="s">
        <v>6489</v>
      </c>
      <c r="K614" s="20">
        <v>6</v>
      </c>
      <c r="W614" s="20">
        <f>IF(Q614&lt;&gt;0,3,IF(K614="","",VLOOKUP(K614,'#状态名词'!$J$1:$K$15,2,FALSE)))</f>
        <v>3</v>
      </c>
      <c r="AA614" s="20">
        <v>1</v>
      </c>
      <c r="AB614" s="20">
        <v>52</v>
      </c>
      <c r="AC614" s="20">
        <v>20</v>
      </c>
      <c r="AD614" s="20">
        <v>1</v>
      </c>
      <c r="AE614" s="20">
        <v>1</v>
      </c>
    </row>
    <row r="615" spans="1:31">
      <c r="A615" s="20">
        <v>30502</v>
      </c>
      <c r="B615" s="20" t="s">
        <v>3711</v>
      </c>
      <c r="C615" s="19" t="s">
        <v>6623</v>
      </c>
      <c r="K615" s="20">
        <v>0</v>
      </c>
      <c r="W615" s="20">
        <f>IF(Q615&lt;&gt;0,3,IF(K615="","",VLOOKUP(K615,'#状态名词'!$J$1:$K$15,2,FALSE)))</f>
        <v>0</v>
      </c>
      <c r="AA615" s="20">
        <v>1</v>
      </c>
      <c r="AB615" s="20">
        <v>30502</v>
      </c>
      <c r="AC615" s="20">
        <v>100</v>
      </c>
      <c r="AD615" s="20">
        <v>1</v>
      </c>
    </row>
    <row r="616" spans="1:31">
      <c r="A616" s="20">
        <v>30503</v>
      </c>
      <c r="B616" s="20" t="s">
        <v>3713</v>
      </c>
      <c r="C616" s="19" t="s">
        <v>8052</v>
      </c>
      <c r="K616" s="20">
        <v>9</v>
      </c>
      <c r="W616" s="20">
        <f>IF(Q616&lt;&gt;0,3,IF(K616="","",VLOOKUP(K616,'#状态名词'!$J$1:$K$15,2,FALSE)))</f>
        <v>3</v>
      </c>
      <c r="AA616" s="20">
        <v>1</v>
      </c>
      <c r="AB616" s="20">
        <v>30503</v>
      </c>
      <c r="AC616" s="20">
        <v>100</v>
      </c>
      <c r="AD616" s="20">
        <v>1</v>
      </c>
    </row>
    <row r="617" spans="1:31">
      <c r="A617" s="20">
        <v>30504</v>
      </c>
      <c r="B617" s="20" t="s">
        <v>3715</v>
      </c>
      <c r="C617" s="19" t="s">
        <v>8053</v>
      </c>
      <c r="K617" s="20">
        <v>9</v>
      </c>
      <c r="W617" s="20">
        <f>IF(Q617&lt;&gt;0,3,IF(K617="","",VLOOKUP(K617,'#状态名词'!$J$1:$K$15,2,FALSE)))</f>
        <v>3</v>
      </c>
      <c r="AA617" s="20">
        <v>1</v>
      </c>
      <c r="AB617" s="20">
        <v>30504</v>
      </c>
      <c r="AC617" s="20">
        <v>100</v>
      </c>
      <c r="AD617" s="20">
        <v>0</v>
      </c>
    </row>
    <row r="618" spans="1:31">
      <c r="A618" s="20">
        <v>30505</v>
      </c>
      <c r="B618" s="20" t="s">
        <v>3717</v>
      </c>
      <c r="C618" s="19" t="s">
        <v>3718</v>
      </c>
      <c r="K618" s="20">
        <v>0</v>
      </c>
      <c r="W618" s="20">
        <f>IF(Q618&lt;&gt;0,3,IF(K618="","",VLOOKUP(K618,'#状态名词'!$J$1:$K$15,2,FALSE)))</f>
        <v>0</v>
      </c>
      <c r="AA618" s="20">
        <v>1</v>
      </c>
      <c r="AB618" s="20">
        <v>30505</v>
      </c>
      <c r="AC618" s="20">
        <v>100</v>
      </c>
      <c r="AD618" s="20">
        <v>1</v>
      </c>
    </row>
    <row r="619" spans="1:31">
      <c r="A619" s="20">
        <v>30506</v>
      </c>
      <c r="B619" s="20" t="s">
        <v>3719</v>
      </c>
      <c r="C619" s="19" t="s">
        <v>8054</v>
      </c>
      <c r="K619" s="20">
        <v>9</v>
      </c>
      <c r="W619" s="20">
        <f>IF(Q619&lt;&gt;0,3,IF(K619="","",VLOOKUP(K619,'#状态名词'!$J$1:$K$15,2,FALSE)))</f>
        <v>3</v>
      </c>
      <c r="AA619" s="20">
        <v>1</v>
      </c>
      <c r="AB619" s="20">
        <v>30506</v>
      </c>
      <c r="AC619" s="20">
        <v>100</v>
      </c>
      <c r="AD619" s="20">
        <v>0</v>
      </c>
    </row>
    <row r="620" spans="1:31">
      <c r="A620" s="20">
        <v>30507</v>
      </c>
      <c r="B620" s="20" t="s">
        <v>3720</v>
      </c>
      <c r="C620" s="19" t="s">
        <v>6633</v>
      </c>
      <c r="G620" s="20">
        <v>1</v>
      </c>
      <c r="K620" s="20">
        <v>0</v>
      </c>
      <c r="W620" s="20">
        <f>IF(Q620&lt;&gt;0,3,IF(K620="","",VLOOKUP(K620,'#状态名词'!$J$1:$K$15,2,FALSE)))</f>
        <v>0</v>
      </c>
      <c r="AA620" s="20">
        <v>1</v>
      </c>
      <c r="AB620" s="20">
        <v>30507</v>
      </c>
      <c r="AC620" s="20">
        <v>100</v>
      </c>
      <c r="AD620" s="20">
        <v>1</v>
      </c>
    </row>
    <row r="621" spans="1:31">
      <c r="A621" s="20">
        <v>30508</v>
      </c>
      <c r="B621" s="20" t="s">
        <v>3722</v>
      </c>
      <c r="C621" s="19" t="s">
        <v>7800</v>
      </c>
      <c r="K621" s="20">
        <v>6</v>
      </c>
      <c r="W621" s="20">
        <f>IF(Q621&lt;&gt;0,3,IF(K621="","",VLOOKUP(K621,'#状态名词'!$J$1:$K$15,2,FALSE)))</f>
        <v>3</v>
      </c>
      <c r="AA621" s="20">
        <v>1</v>
      </c>
      <c r="AB621" s="20">
        <v>30508</v>
      </c>
      <c r="AC621" s="20">
        <v>5</v>
      </c>
      <c r="AD621" s="20">
        <v>1</v>
      </c>
    </row>
    <row r="622" spans="1:31">
      <c r="A622" s="20">
        <v>30509</v>
      </c>
      <c r="B622" s="20" t="s">
        <v>3724</v>
      </c>
      <c r="C622" s="19" t="s">
        <v>6490</v>
      </c>
      <c r="K622" s="20">
        <v>9</v>
      </c>
      <c r="W622" s="20">
        <f>IF(Q622&lt;&gt;0,3,IF(K622="","",VLOOKUP(K622,'#状态名词'!$J$1:$K$15,2,FALSE)))</f>
        <v>3</v>
      </c>
      <c r="AA622" s="20">
        <v>1</v>
      </c>
      <c r="AB622" s="20">
        <v>32</v>
      </c>
      <c r="AC622" s="20">
        <v>20</v>
      </c>
      <c r="AD622" s="20">
        <v>1</v>
      </c>
      <c r="AE622" s="20">
        <v>5</v>
      </c>
    </row>
    <row r="623" spans="1:31">
      <c r="A623" s="20">
        <v>30510</v>
      </c>
      <c r="B623" s="20" t="s">
        <v>3725</v>
      </c>
      <c r="C623" s="19" t="s">
        <v>8055</v>
      </c>
      <c r="K623" s="20">
        <v>9</v>
      </c>
      <c r="W623" s="20">
        <f>IF(Q623&lt;&gt;0,3,IF(K623="","",VLOOKUP(K623,'#状态名词'!$J$1:$K$15,2,FALSE)))</f>
        <v>3</v>
      </c>
      <c r="AA623" s="20">
        <v>1</v>
      </c>
      <c r="AB623" s="20">
        <v>35</v>
      </c>
      <c r="AC623" s="20">
        <v>100</v>
      </c>
      <c r="AD623" s="20">
        <v>1</v>
      </c>
      <c r="AE623" s="20">
        <v>1</v>
      </c>
    </row>
    <row r="624" spans="1:31">
      <c r="A624" s="20">
        <v>30511</v>
      </c>
      <c r="B624" s="20" t="s">
        <v>3726</v>
      </c>
      <c r="C624" s="19" t="s">
        <v>8056</v>
      </c>
      <c r="K624" s="20">
        <v>9</v>
      </c>
      <c r="W624" s="20">
        <f>IF(Q624&lt;&gt;0,3,IF(K624="","",VLOOKUP(K624,'#状态名词'!$J$1:$K$15,2,FALSE)))</f>
        <v>3</v>
      </c>
      <c r="AA624" s="20">
        <v>1</v>
      </c>
      <c r="AB624" s="20">
        <v>30511</v>
      </c>
      <c r="AC624" s="20">
        <v>100</v>
      </c>
      <c r="AD624" s="20">
        <v>1</v>
      </c>
    </row>
    <row r="625" spans="1:31">
      <c r="A625" s="20">
        <v>30512</v>
      </c>
      <c r="B625" s="20" t="s">
        <v>3727</v>
      </c>
      <c r="C625" s="19" t="s">
        <v>6491</v>
      </c>
      <c r="K625" s="20">
        <v>9</v>
      </c>
      <c r="W625" s="20">
        <f>IF(Q625&lt;&gt;0,3,IF(K625="","",VLOOKUP(K625,'#状态名词'!$J$1:$K$15,2,FALSE)))</f>
        <v>3</v>
      </c>
      <c r="AA625" s="20">
        <v>1</v>
      </c>
      <c r="AB625" s="20">
        <v>30512</v>
      </c>
      <c r="AC625" s="20">
        <v>5</v>
      </c>
      <c r="AD625" s="20">
        <v>1</v>
      </c>
    </row>
    <row r="626" spans="1:31">
      <c r="A626" s="20">
        <v>30513</v>
      </c>
      <c r="B626" s="20" t="s">
        <v>3729</v>
      </c>
      <c r="C626" s="19" t="s">
        <v>6492</v>
      </c>
      <c r="K626" s="20">
        <v>9</v>
      </c>
      <c r="W626" s="20">
        <f>IF(Q626&lt;&gt;0,3,IF(K626="","",VLOOKUP(K626,'#状态名词'!$J$1:$K$15,2,FALSE)))</f>
        <v>3</v>
      </c>
      <c r="AA626" s="20">
        <v>1</v>
      </c>
      <c r="AB626" s="20">
        <v>43</v>
      </c>
      <c r="AC626" s="20">
        <v>100</v>
      </c>
      <c r="AD626" s="20">
        <v>1</v>
      </c>
      <c r="AE626" s="20">
        <v>1</v>
      </c>
    </row>
    <row r="627" spans="1:31">
      <c r="C627" s="19"/>
      <c r="W627" s="20" t="str">
        <f>IF(Q627&lt;&gt;0,3,IF(K627="","",VLOOKUP(K627,'#状态名词'!$J$1:$K$15,2,FALSE)))</f>
        <v/>
      </c>
      <c r="AA627" s="20">
        <v>1</v>
      </c>
      <c r="AB627" s="20">
        <v>43</v>
      </c>
      <c r="AC627" s="20">
        <v>50</v>
      </c>
      <c r="AD627" s="20">
        <v>1</v>
      </c>
      <c r="AE627" s="20">
        <v>1</v>
      </c>
    </row>
    <row r="628" spans="1:31">
      <c r="C628" s="19"/>
      <c r="W628" s="20" t="str">
        <f>IF(Q628&lt;&gt;0,3,IF(K628="","",VLOOKUP(K628,'#状态名词'!$J$1:$K$15,2,FALSE)))</f>
        <v/>
      </c>
      <c r="AA628" s="20">
        <v>1</v>
      </c>
      <c r="AB628" s="20">
        <v>43</v>
      </c>
      <c r="AC628" s="20">
        <v>50</v>
      </c>
      <c r="AD628" s="20">
        <v>1</v>
      </c>
      <c r="AE628" s="20">
        <v>1</v>
      </c>
    </row>
    <row r="629" spans="1:31">
      <c r="A629" s="20">
        <v>30514</v>
      </c>
      <c r="B629" s="20" t="s">
        <v>3730</v>
      </c>
      <c r="C629" s="19" t="s">
        <v>6493</v>
      </c>
      <c r="K629" s="20">
        <v>9</v>
      </c>
      <c r="W629" s="20">
        <f>IF(Q629&lt;&gt;0,3,IF(K629="","",VLOOKUP(K629,'#状态名词'!$J$1:$K$15,2,FALSE)))</f>
        <v>3</v>
      </c>
      <c r="AA629" s="20">
        <v>1</v>
      </c>
      <c r="AB629" s="20">
        <v>5</v>
      </c>
      <c r="AC629" s="20">
        <v>100</v>
      </c>
      <c r="AD629" s="20">
        <v>0</v>
      </c>
      <c r="AE629" s="20">
        <v>1</v>
      </c>
    </row>
    <row r="630" spans="1:31">
      <c r="C630" s="19"/>
      <c r="W630" s="20" t="str">
        <f>IF(Q630&lt;&gt;0,3,IF(K630="","",VLOOKUP(K630,'#状态名词'!$J$1:$K$15,2,FALSE)))</f>
        <v/>
      </c>
      <c r="AA630" s="20">
        <v>1</v>
      </c>
      <c r="AB630" s="20">
        <v>5</v>
      </c>
      <c r="AC630" s="20">
        <v>50</v>
      </c>
      <c r="AD630" s="20">
        <v>0</v>
      </c>
      <c r="AE630" s="20">
        <v>1</v>
      </c>
    </row>
    <row r="631" spans="1:31">
      <c r="C631" s="19"/>
      <c r="W631" s="20" t="str">
        <f>IF(Q631&lt;&gt;0,3,IF(K631="","",VLOOKUP(K631,'#状态名词'!$J$1:$K$15,2,FALSE)))</f>
        <v/>
      </c>
      <c r="AA631" s="20">
        <v>1</v>
      </c>
      <c r="AB631" s="20">
        <v>5</v>
      </c>
      <c r="AC631" s="20">
        <v>50</v>
      </c>
      <c r="AD631" s="20">
        <v>0</v>
      </c>
      <c r="AE631" s="20">
        <v>1</v>
      </c>
    </row>
    <row r="632" spans="1:31">
      <c r="A632" s="20">
        <v>30515</v>
      </c>
      <c r="B632" s="20" t="s">
        <v>3731</v>
      </c>
      <c r="C632" s="19" t="s">
        <v>6832</v>
      </c>
      <c r="K632" s="20">
        <v>9</v>
      </c>
      <c r="W632" s="20">
        <f>IF(Q632&lt;&gt;0,3,IF(K632="","",VLOOKUP(K632,'#状态名词'!$J$1:$K$15,2,FALSE)))</f>
        <v>3</v>
      </c>
      <c r="AA632" s="20">
        <v>1</v>
      </c>
      <c r="AB632" s="20">
        <v>30514</v>
      </c>
      <c r="AC632" s="20">
        <v>100</v>
      </c>
      <c r="AD632" s="20">
        <v>1</v>
      </c>
    </row>
    <row r="633" spans="1:31">
      <c r="C633" s="19"/>
      <c r="W633" s="20" t="str">
        <f>IF(Q633&lt;&gt;0,3,IF(K633="","",VLOOKUP(K633,'#状态名词'!$J$1:$K$15,2,FALSE)))</f>
        <v/>
      </c>
      <c r="AA633" s="20">
        <v>1</v>
      </c>
      <c r="AB633" s="20">
        <v>30515</v>
      </c>
      <c r="AC633" s="20">
        <v>100</v>
      </c>
      <c r="AD633" s="20">
        <v>0</v>
      </c>
    </row>
    <row r="634" spans="1:31">
      <c r="A634" s="20">
        <v>30516</v>
      </c>
      <c r="B634" s="20" t="s">
        <v>5732</v>
      </c>
      <c r="C634" s="19" t="s">
        <v>6834</v>
      </c>
      <c r="K634" s="20">
        <v>6</v>
      </c>
      <c r="W634" s="20">
        <f>IF(Q634&lt;&gt;0,3,IF(K634="","",VLOOKUP(K634,'#状态名词'!$J$1:$K$15,2,FALSE)))</f>
        <v>3</v>
      </c>
      <c r="AA634" s="20">
        <v>1</v>
      </c>
      <c r="AB634" s="20">
        <v>30516</v>
      </c>
      <c r="AC634" s="20">
        <v>100</v>
      </c>
      <c r="AD634" s="20">
        <v>1</v>
      </c>
    </row>
    <row r="635" spans="1:31">
      <c r="A635" s="20">
        <v>30517</v>
      </c>
      <c r="B635" s="20" t="s">
        <v>5733</v>
      </c>
      <c r="C635" s="19" t="s">
        <v>6833</v>
      </c>
      <c r="K635" s="20">
        <v>9</v>
      </c>
      <c r="W635" s="20">
        <f>IF(Q635&lt;&gt;0,3,IF(K635="","",VLOOKUP(K635,'#状态名词'!$J$1:$K$15,2,FALSE)))</f>
        <v>3</v>
      </c>
      <c r="AA635" s="20">
        <v>1</v>
      </c>
      <c r="AB635" s="20">
        <v>30517</v>
      </c>
      <c r="AC635" s="20">
        <v>100</v>
      </c>
      <c r="AD635" s="20">
        <v>1</v>
      </c>
    </row>
    <row r="636" spans="1:31">
      <c r="A636" s="20">
        <v>30518</v>
      </c>
      <c r="B636" s="20" t="s">
        <v>5734</v>
      </c>
      <c r="C636" s="19" t="s">
        <v>6494</v>
      </c>
      <c r="K636" s="20">
        <v>9</v>
      </c>
      <c r="W636" s="20">
        <f>IF(Q636&lt;&gt;0,3,IF(K636="","",VLOOKUP(K636,'#状态名词'!$J$1:$K$15,2,FALSE)))</f>
        <v>3</v>
      </c>
      <c r="AA636" s="20">
        <v>1</v>
      </c>
      <c r="AB636" s="20">
        <v>11</v>
      </c>
      <c r="AC636" s="20">
        <v>20</v>
      </c>
      <c r="AD636" s="20">
        <v>0</v>
      </c>
    </row>
    <row r="637" spans="1:31">
      <c r="A637" s="20">
        <v>30519</v>
      </c>
      <c r="B637" s="20" t="s">
        <v>5735</v>
      </c>
      <c r="C637" s="19" t="s">
        <v>6835</v>
      </c>
      <c r="K637" s="20">
        <v>10</v>
      </c>
      <c r="W637" s="20">
        <f>IF(Q637&lt;&gt;0,3,IF(K637="","",VLOOKUP(K637,'#状态名词'!$J$1:$K$15,2,FALSE)))</f>
        <v>3</v>
      </c>
      <c r="AA637" s="20">
        <v>1</v>
      </c>
      <c r="AB637" s="20">
        <v>30519</v>
      </c>
      <c r="AC637" s="20">
        <v>100</v>
      </c>
      <c r="AD637" s="20">
        <v>1</v>
      </c>
    </row>
    <row r="638" spans="1:31">
      <c r="A638" s="20">
        <v>30520</v>
      </c>
      <c r="B638" s="20" t="s">
        <v>5736</v>
      </c>
      <c r="C638" s="19" t="s">
        <v>8110</v>
      </c>
      <c r="W638" s="20" t="str">
        <f>IF(Q638&lt;&gt;0,3,IF(K638="","",VLOOKUP(K638,'#状态名词'!$J$1:$K$15,2,FALSE)))</f>
        <v/>
      </c>
      <c r="AA638" s="20">
        <v>1</v>
      </c>
      <c r="AB638" s="20">
        <v>30520</v>
      </c>
      <c r="AC638" s="20">
        <v>100</v>
      </c>
      <c r="AD638" s="20">
        <v>1</v>
      </c>
    </row>
    <row r="639" spans="1:31">
      <c r="A639" s="20">
        <v>30521</v>
      </c>
      <c r="B639" s="20" t="s">
        <v>5737</v>
      </c>
      <c r="C639" s="19" t="s">
        <v>6495</v>
      </c>
      <c r="K639" s="20">
        <v>9</v>
      </c>
      <c r="W639" s="20">
        <f>IF(Q639&lt;&gt;0,3,IF(K639="","",VLOOKUP(K639,'#状态名词'!$J$1:$K$15,2,FALSE)))</f>
        <v>3</v>
      </c>
      <c r="AA639" s="20">
        <v>1</v>
      </c>
      <c r="AB639" s="20">
        <v>42</v>
      </c>
      <c r="AC639" s="20">
        <v>20</v>
      </c>
      <c r="AD639" s="20">
        <v>1</v>
      </c>
    </row>
    <row r="640" spans="1:31">
      <c r="A640" s="20">
        <v>30522</v>
      </c>
      <c r="B640" s="20" t="s">
        <v>5738</v>
      </c>
      <c r="C640" s="19" t="s">
        <v>6836</v>
      </c>
      <c r="K640" s="20">
        <v>9</v>
      </c>
      <c r="W640" s="20">
        <f>IF(Q640&lt;&gt;0,3,IF(K640="","",VLOOKUP(K640,'#状态名词'!$J$1:$K$15,2,FALSE)))</f>
        <v>3</v>
      </c>
      <c r="AA640" s="20">
        <v>1</v>
      </c>
      <c r="AB640" s="20">
        <v>30522</v>
      </c>
      <c r="AC640" s="20">
        <v>100</v>
      </c>
      <c r="AD640" s="20">
        <v>1</v>
      </c>
    </row>
    <row r="641" spans="1:33">
      <c r="A641" s="20">
        <v>30523</v>
      </c>
      <c r="B641" s="20" t="s">
        <v>124</v>
      </c>
      <c r="C641" s="19" t="s">
        <v>6643</v>
      </c>
      <c r="Q641" s="20">
        <v>1</v>
      </c>
      <c r="R641" s="20">
        <v>2</v>
      </c>
      <c r="S641" s="20">
        <v>1</v>
      </c>
      <c r="W641" s="20">
        <f>IF(Q641&lt;&gt;0,3,IF(K641="","",VLOOKUP(K641,'#状态名词'!$J$1:$K$15,2,FALSE)))</f>
        <v>3</v>
      </c>
      <c r="AA641" s="20">
        <v>1</v>
      </c>
      <c r="AB641" s="20">
        <v>30523</v>
      </c>
      <c r="AC641" s="20">
        <v>100</v>
      </c>
      <c r="AD641" s="20">
        <v>1</v>
      </c>
    </row>
    <row r="642" spans="1:33">
      <c r="A642" s="20">
        <v>30524</v>
      </c>
      <c r="B642" s="20" t="s">
        <v>5739</v>
      </c>
      <c r="C642" s="19" t="s">
        <v>6496</v>
      </c>
      <c r="Q642" s="20">
        <v>2</v>
      </c>
      <c r="R642" s="20">
        <v>1</v>
      </c>
      <c r="S642" s="20">
        <v>30</v>
      </c>
      <c r="W642" s="20">
        <f>IF(Q642&lt;&gt;0,3,IF(K642="","",VLOOKUP(K642,'#状态名词'!$J$1:$K$15,2,FALSE)))</f>
        <v>3</v>
      </c>
      <c r="AA642" s="20">
        <v>1</v>
      </c>
      <c r="AB642" s="20">
        <v>30524</v>
      </c>
      <c r="AC642" s="20">
        <v>100</v>
      </c>
      <c r="AD642" s="20">
        <v>1</v>
      </c>
    </row>
    <row r="643" spans="1:33">
      <c r="A643" s="20">
        <v>30525</v>
      </c>
      <c r="B643" s="20" t="s">
        <v>5740</v>
      </c>
      <c r="C643" s="19" t="s">
        <v>3739</v>
      </c>
      <c r="W643" s="20" t="str">
        <f>IF(Q643&lt;&gt;0,3,IF(K643="","",VLOOKUP(K643,'#状态名词'!$J$1:$K$15,2,FALSE)))</f>
        <v/>
      </c>
      <c r="AA643" s="20">
        <v>1</v>
      </c>
      <c r="AB643" s="20">
        <v>30525</v>
      </c>
      <c r="AC643" s="20">
        <v>100</v>
      </c>
      <c r="AD643" s="20">
        <v>1</v>
      </c>
    </row>
    <row r="644" spans="1:33">
      <c r="A644" s="20">
        <v>30526</v>
      </c>
      <c r="B644" s="20" t="s">
        <v>91</v>
      </c>
      <c r="C644" s="21" t="s">
        <v>6497</v>
      </c>
      <c r="K644" s="20">
        <v>6</v>
      </c>
      <c r="W644" s="20">
        <f>IF(Q644&lt;&gt;0,3,IF(K644="","",VLOOKUP(K644,'#状态名词'!$J$1:$K$15,2,FALSE)))</f>
        <v>3</v>
      </c>
      <c r="AA644" s="20">
        <v>1</v>
      </c>
      <c r="AB644" s="20">
        <v>51</v>
      </c>
      <c r="AC644" s="20">
        <v>30</v>
      </c>
      <c r="AD644" s="20">
        <v>1</v>
      </c>
    </row>
    <row r="645" spans="1:33">
      <c r="A645" s="20">
        <v>30527</v>
      </c>
      <c r="B645" s="20" t="s">
        <v>5741</v>
      </c>
      <c r="C645" s="21" t="s">
        <v>6498</v>
      </c>
      <c r="K645" s="20">
        <v>6</v>
      </c>
      <c r="W645" s="20">
        <f>IF(Q645&lt;&gt;0,3,IF(K645="","",VLOOKUP(K645,'#状态名词'!$J$1:$K$15,2,FALSE)))</f>
        <v>3</v>
      </c>
      <c r="AA645" s="20">
        <v>1</v>
      </c>
      <c r="AB645" s="20">
        <v>50</v>
      </c>
      <c r="AC645" s="20">
        <v>9</v>
      </c>
      <c r="AD645" s="20">
        <v>1</v>
      </c>
    </row>
    <row r="646" spans="1:33">
      <c r="A646" s="20">
        <v>30528</v>
      </c>
      <c r="B646" s="20" t="s">
        <v>5742</v>
      </c>
      <c r="C646" s="21" t="s">
        <v>6644</v>
      </c>
      <c r="Q646" s="20">
        <v>1</v>
      </c>
      <c r="R646" s="20">
        <v>2</v>
      </c>
      <c r="S646" s="20">
        <v>1</v>
      </c>
      <c r="W646" s="20">
        <f>IF(Q646&lt;&gt;0,3,IF(K646="","",VLOOKUP(K646,'#状态名词'!$J$1:$K$15,2,FALSE)))</f>
        <v>3</v>
      </c>
      <c r="AA646" s="20">
        <v>1</v>
      </c>
      <c r="AB646" s="20">
        <v>30528</v>
      </c>
      <c r="AC646" s="20">
        <v>100</v>
      </c>
      <c r="AD646" s="20">
        <v>1</v>
      </c>
    </row>
    <row r="647" spans="1:33">
      <c r="A647" s="20">
        <v>30529</v>
      </c>
      <c r="B647" s="20" t="s">
        <v>5743</v>
      </c>
      <c r="C647" s="21" t="s">
        <v>6645</v>
      </c>
      <c r="Q647" s="20">
        <v>1</v>
      </c>
      <c r="R647" s="20">
        <v>2</v>
      </c>
      <c r="S647" s="20">
        <v>1</v>
      </c>
      <c r="W647" s="20">
        <f>IF(Q647&lt;&gt;0,3,IF(K647="","",VLOOKUP(K647,'#状态名词'!$J$1:$K$15,2,FALSE)))</f>
        <v>3</v>
      </c>
      <c r="AA647" s="20">
        <v>1</v>
      </c>
      <c r="AB647" s="20">
        <v>30529</v>
      </c>
      <c r="AC647" s="20">
        <v>100</v>
      </c>
      <c r="AD647" s="20">
        <v>1</v>
      </c>
    </row>
    <row r="648" spans="1:33">
      <c r="A648" s="20">
        <v>30530</v>
      </c>
      <c r="B648" s="20" t="s">
        <v>5744</v>
      </c>
      <c r="C648" s="30" t="s">
        <v>6597</v>
      </c>
      <c r="W648" s="20" t="str">
        <f>IF(Q648&lt;&gt;0,3,IF(K648="","",VLOOKUP(K648,'#状态名词'!$J$1:$K$15,2,FALSE)))</f>
        <v/>
      </c>
      <c r="AF648" s="20">
        <v>30530</v>
      </c>
      <c r="AG648" s="20">
        <v>2</v>
      </c>
    </row>
    <row r="649" spans="1:33">
      <c r="A649" s="20">
        <v>30531</v>
      </c>
      <c r="B649" s="19" t="s">
        <v>3743</v>
      </c>
      <c r="C649" s="30" t="s">
        <v>6822</v>
      </c>
      <c r="K649" s="20">
        <v>0</v>
      </c>
      <c r="W649" s="20">
        <f>IF(Q649&lt;&gt;0,3,IF(K649="","",VLOOKUP(K649,'#状态名词'!$J$1:$K$15,2,FALSE)))</f>
        <v>0</v>
      </c>
      <c r="AA649" s="20">
        <v>1</v>
      </c>
      <c r="AB649" s="20">
        <v>30531</v>
      </c>
      <c r="AC649" s="20">
        <v>100</v>
      </c>
      <c r="AD649" s="20">
        <v>2</v>
      </c>
    </row>
    <row r="650" spans="1:33">
      <c r="A650" s="20">
        <v>30532</v>
      </c>
      <c r="B650" s="20" t="s">
        <v>3745</v>
      </c>
      <c r="C650" s="30" t="s">
        <v>6823</v>
      </c>
      <c r="K650" s="20">
        <v>0</v>
      </c>
      <c r="W650" s="20">
        <f>IF(Q650&lt;&gt;0,3,IF(K650="","",VLOOKUP(K650,'#状态名词'!$J$1:$K$15,2,FALSE)))</f>
        <v>0</v>
      </c>
      <c r="AA650" s="20">
        <v>1</v>
      </c>
      <c r="AB650" s="20">
        <v>30532</v>
      </c>
      <c r="AC650" s="20">
        <v>100</v>
      </c>
      <c r="AD650" s="20">
        <v>2</v>
      </c>
    </row>
    <row r="651" spans="1:33">
      <c r="A651" s="20">
        <v>31001</v>
      </c>
      <c r="B651" s="20" t="s">
        <v>3808</v>
      </c>
      <c r="C651" s="21" t="s">
        <v>3809</v>
      </c>
      <c r="W651" s="20" t="str">
        <f>IF(Q651&lt;&gt;0,3,IF(K651="","",VLOOKUP(K651,'#状态名词'!$J$1:$K$15,2,FALSE)))</f>
        <v/>
      </c>
      <c r="AA651" s="20">
        <v>1</v>
      </c>
      <c r="AB651" s="19">
        <v>31001</v>
      </c>
      <c r="AC651" s="20">
        <v>100</v>
      </c>
      <c r="AD651" s="20">
        <v>1</v>
      </c>
    </row>
    <row r="652" spans="1:33">
      <c r="A652" s="20">
        <v>31002</v>
      </c>
      <c r="B652" s="20" t="s">
        <v>3810</v>
      </c>
      <c r="C652" s="21" t="s">
        <v>3811</v>
      </c>
      <c r="W652" s="20" t="str">
        <f>IF(Q652&lt;&gt;0,3,IF(K652="","",VLOOKUP(K652,'#状态名词'!$J$1:$K$15,2,FALSE)))</f>
        <v/>
      </c>
      <c r="AA652" s="20">
        <v>1</v>
      </c>
      <c r="AB652" s="19">
        <v>31002</v>
      </c>
      <c r="AC652" s="20">
        <v>100</v>
      </c>
      <c r="AD652" s="20">
        <v>1</v>
      </c>
    </row>
    <row r="653" spans="1:33">
      <c r="A653" s="20">
        <v>31003</v>
      </c>
      <c r="B653" s="20" t="s">
        <v>3812</v>
      </c>
      <c r="C653" s="21" t="s">
        <v>3813</v>
      </c>
      <c r="K653" s="20">
        <v>9</v>
      </c>
      <c r="W653" s="20">
        <f>IF(Q653&lt;&gt;0,3,IF(K653="","",VLOOKUP(K653,'#状态名词'!$J$1:$K$15,2,FALSE)))</f>
        <v>3</v>
      </c>
      <c r="AA653" s="20">
        <v>1</v>
      </c>
      <c r="AB653" s="19">
        <v>34</v>
      </c>
      <c r="AC653" s="20">
        <v>3</v>
      </c>
      <c r="AD653" s="20">
        <v>1</v>
      </c>
    </row>
    <row r="654" spans="1:33">
      <c r="A654" s="20">
        <v>31004</v>
      </c>
      <c r="B654" s="20" t="s">
        <v>3814</v>
      </c>
      <c r="C654" s="21" t="s">
        <v>3815</v>
      </c>
      <c r="W654" s="20" t="str">
        <f>IF(Q654&lt;&gt;0,3,IF(K654="","",VLOOKUP(K654,'#状态名词'!$J$1:$K$15,2,FALSE)))</f>
        <v/>
      </c>
      <c r="AA654" s="20">
        <v>1</v>
      </c>
      <c r="AB654" s="19">
        <v>31004</v>
      </c>
      <c r="AC654" s="20">
        <v>100</v>
      </c>
      <c r="AD654" s="20">
        <v>1</v>
      </c>
    </row>
    <row r="655" spans="1:33">
      <c r="A655" s="20">
        <v>31005</v>
      </c>
      <c r="B655" s="20" t="s">
        <v>3816</v>
      </c>
      <c r="C655" s="21" t="s">
        <v>3817</v>
      </c>
      <c r="K655" s="20">
        <v>9</v>
      </c>
      <c r="W655" s="20">
        <f>IF(Q655&lt;&gt;0,3,IF(K655="","",VLOOKUP(K655,'#状态名词'!$J$1:$K$15,2,FALSE)))</f>
        <v>3</v>
      </c>
      <c r="AA655" s="20">
        <v>1</v>
      </c>
      <c r="AB655" s="19">
        <v>43</v>
      </c>
      <c r="AC655" s="20">
        <v>3</v>
      </c>
      <c r="AD655" s="20">
        <v>1</v>
      </c>
    </row>
    <row r="656" spans="1:33">
      <c r="A656" s="20">
        <v>31006</v>
      </c>
      <c r="B656" s="20" t="s">
        <v>3818</v>
      </c>
      <c r="C656" s="21" t="s">
        <v>6877</v>
      </c>
      <c r="K656" s="20">
        <v>9</v>
      </c>
      <c r="W656" s="20">
        <f>IF(Q656&lt;&gt;0,3,IF(K656="","",VLOOKUP(K656,'#状态名词'!$J$1:$K$15,2,FALSE)))</f>
        <v>3</v>
      </c>
      <c r="AA656" s="20">
        <v>1</v>
      </c>
      <c r="AB656" s="19">
        <v>31006</v>
      </c>
      <c r="AC656" s="20">
        <v>10</v>
      </c>
      <c r="AD656" s="20">
        <v>1</v>
      </c>
    </row>
    <row r="657" spans="1:33">
      <c r="A657" s="20">
        <v>31007</v>
      </c>
      <c r="B657" s="20" t="s">
        <v>3820</v>
      </c>
      <c r="C657" s="21" t="s">
        <v>6524</v>
      </c>
      <c r="W657" s="20" t="str">
        <f>IF(Q657&lt;&gt;0,3,IF(K657="","",VLOOKUP(K657,'#状态名词'!$J$1:$K$15,2,FALSE)))</f>
        <v/>
      </c>
      <c r="AA657" s="20">
        <v>1</v>
      </c>
      <c r="AB657" s="19">
        <v>31007</v>
      </c>
      <c r="AC657" s="20">
        <v>100</v>
      </c>
      <c r="AD657" s="20">
        <v>1</v>
      </c>
    </row>
    <row r="658" spans="1:33">
      <c r="A658" s="20">
        <v>31008</v>
      </c>
      <c r="B658" s="20" t="s">
        <v>3822</v>
      </c>
      <c r="C658" s="21" t="s">
        <v>6525</v>
      </c>
      <c r="W658" s="20" t="str">
        <f>IF(Q658&lt;&gt;0,3,IF(K658="","",VLOOKUP(K658,'#状态名词'!$J$1:$K$15,2,FALSE)))</f>
        <v/>
      </c>
      <c r="AA658" s="20">
        <v>1</v>
      </c>
      <c r="AB658" s="19">
        <v>31008</v>
      </c>
      <c r="AC658" s="20">
        <v>100</v>
      </c>
      <c r="AD658" s="20">
        <v>1</v>
      </c>
    </row>
    <row r="659" spans="1:33">
      <c r="A659" s="20">
        <v>31009</v>
      </c>
      <c r="B659" s="20" t="s">
        <v>3824</v>
      </c>
      <c r="C659" s="21" t="s">
        <v>6526</v>
      </c>
      <c r="W659" s="20" t="str">
        <f>IF(Q659&lt;&gt;0,3,IF(K659="","",VLOOKUP(K659,'#状态名词'!$J$1:$K$15,2,FALSE)))</f>
        <v/>
      </c>
      <c r="AA659" s="20">
        <v>1</v>
      </c>
      <c r="AB659" s="19">
        <v>31009</v>
      </c>
      <c r="AC659" s="20">
        <v>100</v>
      </c>
      <c r="AD659" s="20">
        <v>1</v>
      </c>
    </row>
    <row r="660" spans="1:33">
      <c r="A660" s="20">
        <v>31010</v>
      </c>
      <c r="B660" s="20" t="s">
        <v>3826</v>
      </c>
      <c r="C660" s="21" t="s">
        <v>6527</v>
      </c>
      <c r="W660" s="20" t="str">
        <f>IF(Q660&lt;&gt;0,3,IF(K660="","",VLOOKUP(K660,'#状态名词'!$J$1:$K$15,2,FALSE)))</f>
        <v/>
      </c>
      <c r="AA660" s="20">
        <v>1</v>
      </c>
      <c r="AB660" s="19">
        <v>31010</v>
      </c>
      <c r="AC660" s="20">
        <v>100</v>
      </c>
      <c r="AD660" s="20">
        <v>1</v>
      </c>
    </row>
    <row r="661" spans="1:33">
      <c r="A661" s="20">
        <v>31011</v>
      </c>
      <c r="B661" s="20" t="s">
        <v>3828</v>
      </c>
      <c r="C661" s="21" t="s">
        <v>6528</v>
      </c>
      <c r="W661" s="20" t="str">
        <f>IF(Q661&lt;&gt;0,3,IF(K661="","",VLOOKUP(K661,'#状态名词'!$J$1:$K$15,2,FALSE)))</f>
        <v/>
      </c>
      <c r="AA661" s="20">
        <v>1</v>
      </c>
      <c r="AB661" s="19">
        <v>31011</v>
      </c>
      <c r="AC661" s="20">
        <v>100</v>
      </c>
      <c r="AD661" s="20">
        <v>1</v>
      </c>
    </row>
    <row r="662" spans="1:33">
      <c r="A662" s="20">
        <v>31012</v>
      </c>
      <c r="B662" s="20" t="s">
        <v>3830</v>
      </c>
      <c r="C662" s="21" t="s">
        <v>2053</v>
      </c>
      <c r="W662" s="20" t="str">
        <f>IF(Q662&lt;&gt;0,3,IF(K662="","",VLOOKUP(K662,'#状态名词'!$J$1:$K$15,2,FALSE)))</f>
        <v/>
      </c>
      <c r="AA662" s="20">
        <v>1</v>
      </c>
      <c r="AB662" s="19">
        <v>31012</v>
      </c>
      <c r="AC662" s="20">
        <v>100</v>
      </c>
      <c r="AD662" s="20">
        <v>1</v>
      </c>
    </row>
    <row r="663" spans="1:33">
      <c r="A663" s="20">
        <v>31013</v>
      </c>
      <c r="B663" s="20" t="s">
        <v>3831</v>
      </c>
      <c r="C663" s="21" t="s">
        <v>7162</v>
      </c>
      <c r="K663" s="20">
        <v>0</v>
      </c>
      <c r="W663" s="20">
        <f>IF(Q663&lt;&gt;0,3,IF(K663="","",VLOOKUP(K663,'#状态名词'!$J$1:$K$15,2,FALSE)))</f>
        <v>0</v>
      </c>
      <c r="Y663" s="20">
        <v>0</v>
      </c>
      <c r="Z663" s="20">
        <v>31014</v>
      </c>
      <c r="AA663" s="20">
        <v>1</v>
      </c>
      <c r="AB663" s="19">
        <v>31013</v>
      </c>
      <c r="AC663" s="20">
        <v>100</v>
      </c>
      <c r="AD663" s="20">
        <v>1</v>
      </c>
    </row>
    <row r="664" spans="1:33">
      <c r="A664" s="20">
        <v>31014</v>
      </c>
      <c r="B664" s="20" t="s">
        <v>3832</v>
      </c>
      <c r="C664" s="21" t="s">
        <v>7161</v>
      </c>
      <c r="K664" s="20">
        <v>6</v>
      </c>
      <c r="W664" s="20">
        <f>IF(Q664&lt;&gt;0,3,IF(K664="","",VLOOKUP(K664,'#状态名词'!$J$1:$K$15,2,FALSE)))</f>
        <v>3</v>
      </c>
      <c r="AA664" s="20">
        <v>1</v>
      </c>
      <c r="AB664" s="19">
        <v>31014</v>
      </c>
      <c r="AC664" s="20">
        <v>20</v>
      </c>
      <c r="AD664" s="20">
        <v>1</v>
      </c>
    </row>
    <row r="665" spans="1:33">
      <c r="W665" s="20" t="str">
        <f>IF(Q665&lt;&gt;0,3,IF(K665="","",VLOOKUP(K665,'#状态名词'!$J$1:$K$15,2,FALSE)))</f>
        <v/>
      </c>
      <c r="AA665" s="20">
        <v>1</v>
      </c>
      <c r="AB665" s="19">
        <v>5</v>
      </c>
      <c r="AC665" s="20">
        <v>20</v>
      </c>
      <c r="AD665" s="20">
        <v>0</v>
      </c>
      <c r="AE665" s="20">
        <v>2</v>
      </c>
    </row>
    <row r="666" spans="1:33">
      <c r="A666" s="20">
        <v>31015</v>
      </c>
      <c r="B666" s="65" t="s">
        <v>7237</v>
      </c>
      <c r="C666" s="21" t="s">
        <v>6529</v>
      </c>
      <c r="K666" s="20">
        <v>0</v>
      </c>
      <c r="W666" s="20">
        <f>IF(Q666&lt;&gt;0,3,IF(K666="","",VLOOKUP(K666,'#状态名词'!$J$1:$K$15,2,FALSE)))</f>
        <v>0</v>
      </c>
      <c r="AA666" s="20">
        <v>1</v>
      </c>
      <c r="AB666" s="19">
        <v>31015</v>
      </c>
      <c r="AC666" s="20">
        <v>100</v>
      </c>
      <c r="AD666" s="20">
        <v>1</v>
      </c>
    </row>
    <row r="667" spans="1:33">
      <c r="A667" s="20">
        <v>31016</v>
      </c>
      <c r="B667" s="65" t="s">
        <v>7238</v>
      </c>
      <c r="C667" s="21" t="s">
        <v>4485</v>
      </c>
      <c r="K667" s="20">
        <v>0</v>
      </c>
      <c r="W667" s="20">
        <f>IF(Q667&lt;&gt;0,3,IF(K667="","",VLOOKUP(K667,'#状态名词'!$J$1:$K$15,2,FALSE)))</f>
        <v>0</v>
      </c>
      <c r="AB667" s="19"/>
      <c r="AF667" s="19">
        <v>31016</v>
      </c>
      <c r="AG667" s="20">
        <v>2</v>
      </c>
    </row>
    <row r="668" spans="1:33">
      <c r="A668" s="20">
        <v>31017</v>
      </c>
      <c r="B668" s="65" t="s">
        <v>7239</v>
      </c>
      <c r="C668" s="21" t="s">
        <v>6530</v>
      </c>
      <c r="K668" s="20">
        <v>6</v>
      </c>
      <c r="W668" s="20">
        <f>IF(Q668&lt;&gt;0,3,IF(K668="","",VLOOKUP(K668,'#状态名词'!$J$1:$K$15,2,FALSE)))</f>
        <v>3</v>
      </c>
      <c r="AA668" s="20">
        <v>1</v>
      </c>
      <c r="AB668" s="19">
        <v>51</v>
      </c>
      <c r="AC668" s="20">
        <v>100</v>
      </c>
      <c r="AD668" s="20">
        <v>1</v>
      </c>
      <c r="AE668" s="20">
        <v>1</v>
      </c>
    </row>
    <row r="669" spans="1:33">
      <c r="A669" s="20">
        <v>31018</v>
      </c>
      <c r="B669" s="65" t="s">
        <v>7236</v>
      </c>
      <c r="C669" s="21" t="s">
        <v>4486</v>
      </c>
      <c r="K669" s="20">
        <v>0</v>
      </c>
      <c r="W669" s="20">
        <f>IF(Q669&lt;&gt;0,3,IF(K669="","",VLOOKUP(K669,'#状态名词'!$J$1:$K$15,2,FALSE)))</f>
        <v>0</v>
      </c>
      <c r="AB669" s="19"/>
      <c r="AF669" s="19">
        <v>31018</v>
      </c>
      <c r="AG669" s="20">
        <v>2</v>
      </c>
    </row>
    <row r="670" spans="1:33">
      <c r="A670" s="20">
        <v>31019</v>
      </c>
      <c r="B670" s="65" t="s">
        <v>7240</v>
      </c>
      <c r="C670" s="21" t="s">
        <v>6449</v>
      </c>
      <c r="G670" s="20">
        <v>40601</v>
      </c>
      <c r="K670" s="20">
        <v>0</v>
      </c>
      <c r="W670" s="20">
        <f>IF(Q670&lt;&gt;0,3,IF(K670="","",VLOOKUP(K670,'#状态名词'!$J$1:$K$15,2,FALSE)))</f>
        <v>0</v>
      </c>
      <c r="AA670" s="20">
        <v>1</v>
      </c>
      <c r="AB670" s="19">
        <v>31019</v>
      </c>
      <c r="AC670" s="20">
        <v>100</v>
      </c>
      <c r="AD670" s="20">
        <v>1</v>
      </c>
    </row>
    <row r="671" spans="1:33">
      <c r="A671" s="20">
        <v>31020</v>
      </c>
      <c r="B671" s="65" t="s">
        <v>7241</v>
      </c>
      <c r="C671" s="21" t="s">
        <v>4488</v>
      </c>
      <c r="G671" s="20">
        <v>40601</v>
      </c>
      <c r="K671" s="20">
        <v>0</v>
      </c>
      <c r="W671" s="20">
        <f>IF(Q671&lt;&gt;0,3,IF(K671="","",VLOOKUP(K671,'#状态名词'!$J$1:$K$15,2,FALSE)))</f>
        <v>0</v>
      </c>
      <c r="AA671" s="20">
        <v>1</v>
      </c>
      <c r="AB671" s="19">
        <v>34</v>
      </c>
      <c r="AC671" s="20">
        <v>100</v>
      </c>
      <c r="AD671" s="20">
        <v>1</v>
      </c>
      <c r="AE671" s="20">
        <v>3</v>
      </c>
    </row>
    <row r="672" spans="1:33">
      <c r="W672" s="20" t="str">
        <f>IF(Q672&lt;&gt;0,3,IF(K672="","",VLOOKUP(K672,'#状态名词'!$J$1:$K$15,2,FALSE)))</f>
        <v/>
      </c>
      <c r="AA672" s="20">
        <v>1</v>
      </c>
      <c r="AB672" s="19">
        <v>36</v>
      </c>
      <c r="AC672" s="20">
        <v>100</v>
      </c>
      <c r="AD672" s="20">
        <v>1</v>
      </c>
      <c r="AE672" s="20">
        <v>3</v>
      </c>
    </row>
    <row r="673" spans="1:33">
      <c r="A673" s="20">
        <v>31021</v>
      </c>
      <c r="B673" s="65" t="s">
        <v>7234</v>
      </c>
      <c r="C673" s="21" t="s">
        <v>4489</v>
      </c>
      <c r="K673" s="20">
        <v>0</v>
      </c>
      <c r="W673" s="20">
        <f>IF(Q673&lt;&gt;0,3,IF(K673="","",VLOOKUP(K673,'#状态名词'!$J$1:$K$15,2,FALSE)))</f>
        <v>0</v>
      </c>
      <c r="AA673" s="20">
        <v>1</v>
      </c>
      <c r="AB673" s="19">
        <v>31021</v>
      </c>
      <c r="AC673" s="20">
        <v>100</v>
      </c>
      <c r="AD673" s="20">
        <v>1</v>
      </c>
    </row>
    <row r="674" spans="1:33">
      <c r="A674" s="20">
        <v>31022</v>
      </c>
      <c r="B674" s="65" t="s">
        <v>7235</v>
      </c>
      <c r="C674" s="21" t="s">
        <v>7922</v>
      </c>
      <c r="K674" s="20">
        <v>0</v>
      </c>
      <c r="W674" s="20">
        <f>IF(Q674&lt;&gt;0,3,IF(K674="","",VLOOKUP(K674,'#状态名词'!$J$1:$K$15,2,FALSE)))</f>
        <v>0</v>
      </c>
      <c r="AA674" s="20">
        <v>1</v>
      </c>
      <c r="AB674" s="19">
        <v>31022</v>
      </c>
      <c r="AC674" s="20">
        <v>100</v>
      </c>
      <c r="AD674" s="20">
        <v>1</v>
      </c>
    </row>
    <row r="675" spans="1:33">
      <c r="A675" s="20">
        <v>31023</v>
      </c>
      <c r="B675" s="20" t="s">
        <v>7242</v>
      </c>
      <c r="C675" s="21" t="s">
        <v>4491</v>
      </c>
      <c r="K675" s="20">
        <v>0</v>
      </c>
      <c r="W675" s="20">
        <f>IF(Q675&lt;&gt;0,3,IF(K675="","",VLOOKUP(K675,'#状态名词'!$J$1:$K$15,2,FALSE)))</f>
        <v>0</v>
      </c>
      <c r="AB675" s="19"/>
      <c r="AF675" s="19">
        <v>31023</v>
      </c>
      <c r="AG675" s="20">
        <v>2</v>
      </c>
    </row>
    <row r="676" spans="1:33">
      <c r="A676" s="20">
        <v>31024</v>
      </c>
      <c r="B676" s="20" t="s">
        <v>7245</v>
      </c>
      <c r="C676" s="21" t="s">
        <v>6531</v>
      </c>
      <c r="K676" s="20">
        <v>9</v>
      </c>
      <c r="W676" s="20">
        <f>IF(Q676&lt;&gt;0,3,IF(K676="","",VLOOKUP(K676,'#状态名词'!$J$1:$K$15,2,FALSE)))</f>
        <v>3</v>
      </c>
      <c r="AA676" s="20">
        <v>1</v>
      </c>
      <c r="AB676" s="19">
        <v>2</v>
      </c>
      <c r="AC676" s="20">
        <v>30</v>
      </c>
      <c r="AD676" s="20">
        <v>0</v>
      </c>
      <c r="AE676" s="20">
        <v>2</v>
      </c>
    </row>
    <row r="677" spans="1:33">
      <c r="A677" s="20">
        <v>31025</v>
      </c>
      <c r="B677" s="20" t="s">
        <v>7246</v>
      </c>
      <c r="C677" s="21" t="s">
        <v>4492</v>
      </c>
      <c r="K677" s="20">
        <v>0</v>
      </c>
      <c r="W677" s="20">
        <f>IF(Q677&lt;&gt;0,3,IF(K677="","",VLOOKUP(K677,'#状态名词'!$J$1:$K$15,2,FALSE)))</f>
        <v>0</v>
      </c>
      <c r="AB677" s="19"/>
      <c r="AF677" s="19">
        <v>31025</v>
      </c>
      <c r="AG677" s="20">
        <v>2</v>
      </c>
    </row>
    <row r="678" spans="1:33">
      <c r="A678" s="20">
        <v>31026</v>
      </c>
      <c r="B678" s="20" t="s">
        <v>7243</v>
      </c>
      <c r="C678" s="21" t="s">
        <v>8131</v>
      </c>
      <c r="K678" s="20">
        <v>10</v>
      </c>
      <c r="W678" s="20">
        <f>IF(Q678&lt;&gt;0,3,IF(K678="","",VLOOKUP(K678,'#状态名词'!$J$1:$K$15,2,FALSE)))</f>
        <v>3</v>
      </c>
      <c r="AA678" s="20">
        <v>1</v>
      </c>
      <c r="AB678" s="19">
        <v>61</v>
      </c>
      <c r="AC678" s="20">
        <v>100</v>
      </c>
      <c r="AD678" s="20">
        <v>1</v>
      </c>
      <c r="AE678" s="20">
        <v>20</v>
      </c>
    </row>
    <row r="679" spans="1:33">
      <c r="A679" s="20">
        <v>31027</v>
      </c>
      <c r="B679" s="20" t="s">
        <v>7247</v>
      </c>
      <c r="C679" s="21" t="s">
        <v>4493</v>
      </c>
      <c r="K679" s="20">
        <v>0</v>
      </c>
      <c r="W679" s="20">
        <f>IF(Q679&lt;&gt;0,3,IF(K679="","",VLOOKUP(K679,'#状态名词'!$J$1:$K$15,2,FALSE)))</f>
        <v>0</v>
      </c>
      <c r="AB679" s="19"/>
      <c r="AF679" s="19">
        <v>31027</v>
      </c>
      <c r="AG679" s="20">
        <v>2</v>
      </c>
    </row>
    <row r="680" spans="1:33">
      <c r="A680" s="20">
        <v>31028</v>
      </c>
      <c r="B680" s="20" t="s">
        <v>7248</v>
      </c>
      <c r="C680" s="21" t="s">
        <v>4494</v>
      </c>
      <c r="K680" s="20">
        <v>0</v>
      </c>
      <c r="W680" s="20">
        <f>IF(Q680&lt;&gt;0,3,IF(K680="","",VLOOKUP(K680,'#状态名词'!$J$1:$K$15,2,FALSE)))</f>
        <v>0</v>
      </c>
      <c r="AA680" s="20">
        <v>1</v>
      </c>
      <c r="AB680" s="19">
        <v>31028</v>
      </c>
      <c r="AC680" s="20">
        <v>100</v>
      </c>
      <c r="AD680" s="20">
        <v>1</v>
      </c>
    </row>
    <row r="681" spans="1:33">
      <c r="A681" s="20">
        <v>31029</v>
      </c>
      <c r="B681" s="20" t="s">
        <v>7244</v>
      </c>
      <c r="C681" s="21" t="s">
        <v>6878</v>
      </c>
      <c r="K681" s="20">
        <v>9</v>
      </c>
      <c r="L681" s="20">
        <v>10</v>
      </c>
      <c r="W681" s="20">
        <f>IF(Q681&lt;&gt;0,3,IF(K681="","",VLOOKUP(K681,'#状态名词'!$J$1:$K$15,2,FALSE)))</f>
        <v>3</v>
      </c>
      <c r="AA681" s="20">
        <v>1</v>
      </c>
      <c r="AB681" s="19">
        <v>31029</v>
      </c>
      <c r="AC681" s="20">
        <v>100</v>
      </c>
      <c r="AD681" s="20">
        <v>1</v>
      </c>
    </row>
    <row r="682" spans="1:33">
      <c r="A682" s="20">
        <v>31030</v>
      </c>
      <c r="B682" s="20" t="s">
        <v>7249</v>
      </c>
      <c r="C682" s="21" t="s">
        <v>4495</v>
      </c>
      <c r="K682" s="20">
        <v>0</v>
      </c>
      <c r="W682" s="20">
        <f>IF(Q682&lt;&gt;0,3,IF(K682="","",VLOOKUP(K682,'#状态名词'!$J$1:$K$15,2,FALSE)))</f>
        <v>0</v>
      </c>
      <c r="AA682" s="20">
        <v>1</v>
      </c>
      <c r="AB682" s="19">
        <v>31030</v>
      </c>
      <c r="AC682" s="20">
        <v>100</v>
      </c>
      <c r="AD682" s="20">
        <v>1</v>
      </c>
    </row>
    <row r="683" spans="1:33">
      <c r="A683" s="20">
        <v>31031</v>
      </c>
      <c r="B683" s="20" t="s">
        <v>7250</v>
      </c>
      <c r="C683" s="21" t="s">
        <v>4496</v>
      </c>
      <c r="K683" s="20">
        <v>0</v>
      </c>
      <c r="W683" s="20">
        <f>IF(Q683&lt;&gt;0,3,IF(K683="","",VLOOKUP(K683,'#状态名词'!$J$1:$K$15,2,FALSE)))</f>
        <v>0</v>
      </c>
      <c r="AA683" s="20">
        <v>1</v>
      </c>
      <c r="AB683" s="19">
        <v>31031</v>
      </c>
      <c r="AC683" s="20">
        <v>100</v>
      </c>
      <c r="AD683" s="20">
        <v>1</v>
      </c>
    </row>
    <row r="684" spans="1:33">
      <c r="A684" s="20">
        <v>31032</v>
      </c>
      <c r="B684" s="20" t="s">
        <v>7251</v>
      </c>
      <c r="C684" s="21" t="s">
        <v>4497</v>
      </c>
      <c r="G684" s="20">
        <v>1</v>
      </c>
      <c r="K684" s="20">
        <v>0</v>
      </c>
      <c r="W684" s="20">
        <f>IF(Q684&lt;&gt;0,3,IF(K684="","",VLOOKUP(K684,'#状态名词'!$J$1:$K$15,2,FALSE)))</f>
        <v>0</v>
      </c>
      <c r="AA684" s="20">
        <v>1</v>
      </c>
      <c r="AB684" s="19">
        <v>31032</v>
      </c>
      <c r="AC684" s="20">
        <v>100</v>
      </c>
      <c r="AD684" s="20">
        <v>1</v>
      </c>
    </row>
    <row r="685" spans="1:33">
      <c r="A685" s="20">
        <v>31033</v>
      </c>
      <c r="B685" s="20" t="s">
        <v>7254</v>
      </c>
      <c r="C685" s="21" t="s">
        <v>4498</v>
      </c>
      <c r="K685" s="20">
        <v>0</v>
      </c>
      <c r="W685" s="20">
        <f>IF(Q685&lt;&gt;0,3,IF(K685="","",VLOOKUP(K685,'#状态名词'!$J$1:$K$15,2,FALSE)))</f>
        <v>0</v>
      </c>
      <c r="AB685" s="19"/>
      <c r="AF685" s="19">
        <v>31033</v>
      </c>
      <c r="AG685" s="20">
        <v>2</v>
      </c>
    </row>
    <row r="686" spans="1:33">
      <c r="A686" s="20">
        <v>31034</v>
      </c>
      <c r="B686" s="20" t="s">
        <v>7255</v>
      </c>
      <c r="C686" s="21" t="s">
        <v>4499</v>
      </c>
      <c r="G686" s="20">
        <v>1</v>
      </c>
      <c r="K686" s="20">
        <v>0</v>
      </c>
      <c r="W686" s="20">
        <f>IF(Q686&lt;&gt;0,3,IF(K686="","",VLOOKUP(K686,'#状态名词'!$J$1:$K$15,2,FALSE)))</f>
        <v>0</v>
      </c>
      <c r="AA686" s="20">
        <v>1</v>
      </c>
      <c r="AB686" s="19">
        <v>31034</v>
      </c>
      <c r="AC686" s="20">
        <v>100</v>
      </c>
      <c r="AD686" s="20">
        <v>1</v>
      </c>
    </row>
    <row r="687" spans="1:33">
      <c r="A687" s="20">
        <v>31035</v>
      </c>
      <c r="B687" s="20" t="s">
        <v>7252</v>
      </c>
      <c r="C687" s="21" t="s">
        <v>4500</v>
      </c>
      <c r="K687" s="20">
        <v>0</v>
      </c>
      <c r="W687" s="20">
        <f>IF(Q687&lt;&gt;0,3,IF(K687="","",VLOOKUP(K687,'#状态名词'!$J$1:$K$15,2,FALSE)))</f>
        <v>0</v>
      </c>
      <c r="AB687" s="19"/>
      <c r="AF687" s="19">
        <v>31035</v>
      </c>
      <c r="AG687" s="20">
        <v>2</v>
      </c>
    </row>
    <row r="688" spans="1:33">
      <c r="A688" s="20">
        <v>31036</v>
      </c>
      <c r="B688" s="20" t="s">
        <v>7256</v>
      </c>
      <c r="C688" s="21" t="s">
        <v>6625</v>
      </c>
      <c r="G688" s="20">
        <v>40201</v>
      </c>
      <c r="K688" s="20">
        <v>0</v>
      </c>
      <c r="W688" s="20">
        <f>IF(Q688&lt;&gt;0,3,IF(K688="","",VLOOKUP(K688,'#状态名词'!$J$1:$K$15,2,FALSE)))</f>
        <v>0</v>
      </c>
      <c r="AA688" s="20">
        <v>1</v>
      </c>
      <c r="AB688" s="19">
        <v>31036</v>
      </c>
      <c r="AC688" s="20">
        <v>100</v>
      </c>
      <c r="AD688" s="20">
        <v>1</v>
      </c>
    </row>
    <row r="689" spans="1:33">
      <c r="A689" s="20">
        <v>31037</v>
      </c>
      <c r="B689" s="20" t="s">
        <v>7257</v>
      </c>
      <c r="C689" s="21" t="s">
        <v>6652</v>
      </c>
      <c r="K689" s="20">
        <v>9</v>
      </c>
      <c r="W689" s="20">
        <f>IF(Q689&lt;&gt;0,3,IF(K689="","",VLOOKUP(K689,'#状态名词'!$J$1:$K$15,2,FALSE)))</f>
        <v>3</v>
      </c>
      <c r="AA689" s="20">
        <v>1</v>
      </c>
      <c r="AB689" s="19">
        <v>31037</v>
      </c>
      <c r="AC689" s="20">
        <v>100</v>
      </c>
      <c r="AD689" s="20">
        <v>1</v>
      </c>
    </row>
    <row r="690" spans="1:33">
      <c r="A690" s="20">
        <v>31038</v>
      </c>
      <c r="B690" s="20" t="s">
        <v>7253</v>
      </c>
      <c r="C690" s="21" t="s">
        <v>4503</v>
      </c>
      <c r="K690" s="20">
        <v>0</v>
      </c>
      <c r="W690" s="20">
        <f>IF(Q690&lt;&gt;0,3,IF(K690="","",VLOOKUP(K690,'#状态名词'!$J$1:$K$15,2,FALSE)))</f>
        <v>0</v>
      </c>
      <c r="AA690" s="20">
        <v>1</v>
      </c>
      <c r="AB690" s="19">
        <v>31038</v>
      </c>
      <c r="AC690" s="20">
        <v>100</v>
      </c>
      <c r="AD690" s="20">
        <v>1</v>
      </c>
    </row>
    <row r="691" spans="1:33">
      <c r="A691" s="20">
        <v>31039</v>
      </c>
      <c r="B691" s="20" t="s">
        <v>7258</v>
      </c>
      <c r="C691" s="21" t="s">
        <v>4504</v>
      </c>
      <c r="K691" s="20">
        <v>6</v>
      </c>
      <c r="W691" s="20">
        <f>IF(Q691&lt;&gt;0,3,IF(K691="","",VLOOKUP(K691,'#状态名词'!$J$1:$K$15,2,FALSE)))</f>
        <v>3</v>
      </c>
      <c r="AA691" s="20">
        <v>1</v>
      </c>
      <c r="AB691" s="19">
        <v>41</v>
      </c>
      <c r="AC691" s="20">
        <v>100</v>
      </c>
      <c r="AD691" s="20">
        <v>1</v>
      </c>
      <c r="AE691" s="20">
        <v>1</v>
      </c>
    </row>
    <row r="692" spans="1:33">
      <c r="W692" s="20" t="str">
        <f>IF(Q692&lt;&gt;0,3,IF(K692="","",VLOOKUP(K692,'#状态名词'!$J$1:$K$15,2,FALSE)))</f>
        <v/>
      </c>
      <c r="AA692" s="20">
        <v>1</v>
      </c>
      <c r="AB692" s="19">
        <v>22</v>
      </c>
      <c r="AC692" s="20">
        <v>100</v>
      </c>
      <c r="AD692" s="20">
        <v>0</v>
      </c>
      <c r="AE692" s="20">
        <v>1</v>
      </c>
    </row>
    <row r="693" spans="1:33">
      <c r="A693" s="20">
        <v>31040</v>
      </c>
      <c r="B693" s="20" t="s">
        <v>7259</v>
      </c>
      <c r="C693" s="21" t="s">
        <v>6117</v>
      </c>
      <c r="K693" s="20">
        <v>0</v>
      </c>
      <c r="W693" s="20">
        <f>IF(Q693&lt;&gt;0,3,IF(K693="","",VLOOKUP(K693,'#状态名词'!$J$1:$K$15,2,FALSE)))</f>
        <v>0</v>
      </c>
      <c r="AB693" s="19"/>
      <c r="AF693" s="19">
        <v>31040</v>
      </c>
      <c r="AG693" s="20">
        <v>1</v>
      </c>
    </row>
    <row r="694" spans="1:33">
      <c r="A694" s="20">
        <v>31041</v>
      </c>
      <c r="B694" s="20" t="s">
        <v>7260</v>
      </c>
      <c r="C694" s="21" t="s">
        <v>4506</v>
      </c>
      <c r="K694" s="20">
        <v>0</v>
      </c>
      <c r="W694" s="20">
        <f>IF(Q694&lt;&gt;0,3,IF(K694="","",VLOOKUP(K694,'#状态名词'!$J$1:$K$15,2,FALSE)))</f>
        <v>0</v>
      </c>
      <c r="AA694" s="20">
        <v>1</v>
      </c>
      <c r="AB694" s="19">
        <v>31041</v>
      </c>
      <c r="AC694" s="20">
        <v>100</v>
      </c>
      <c r="AD694" s="20">
        <v>1</v>
      </c>
    </row>
    <row r="695" spans="1:33">
      <c r="A695" s="20">
        <v>31042</v>
      </c>
      <c r="B695" s="20" t="s">
        <v>7263</v>
      </c>
      <c r="C695" s="21" t="s">
        <v>7923</v>
      </c>
      <c r="K695" s="20">
        <v>0</v>
      </c>
      <c r="W695" s="20">
        <f>IF(Q695&lt;&gt;0,3,IF(K695="","",VLOOKUP(K695,'#状态名词'!$J$1:$K$15,2,FALSE)))</f>
        <v>0</v>
      </c>
      <c r="AA695" s="20">
        <v>1</v>
      </c>
      <c r="AB695" s="19">
        <v>31042</v>
      </c>
      <c r="AC695" s="20">
        <v>100</v>
      </c>
      <c r="AD695" s="20">
        <v>1</v>
      </c>
    </row>
    <row r="696" spans="1:33">
      <c r="A696" s="20">
        <v>31043</v>
      </c>
      <c r="B696" s="20" t="s">
        <v>7264</v>
      </c>
      <c r="C696" s="21" t="s">
        <v>4508</v>
      </c>
      <c r="K696" s="20">
        <v>0</v>
      </c>
      <c r="W696" s="20">
        <f>IF(Q696&lt;&gt;0,3,IF(K696="","",VLOOKUP(K696,'#状态名词'!$J$1:$K$15,2,FALSE)))</f>
        <v>0</v>
      </c>
      <c r="AB696" s="19"/>
      <c r="AF696" s="19">
        <v>31043</v>
      </c>
      <c r="AG696" s="20">
        <v>2</v>
      </c>
    </row>
    <row r="697" spans="1:33">
      <c r="A697" s="20">
        <v>31044</v>
      </c>
      <c r="B697" s="20" t="s">
        <v>7261</v>
      </c>
      <c r="C697" s="21" t="s">
        <v>4509</v>
      </c>
      <c r="K697" s="20">
        <v>0</v>
      </c>
      <c r="W697" s="20">
        <f>IF(Q697&lt;&gt;0,3,IF(K697="","",VLOOKUP(K697,'#状态名词'!$J$1:$K$15,2,FALSE)))</f>
        <v>0</v>
      </c>
      <c r="AB697" s="19"/>
      <c r="AF697" s="19">
        <v>31044</v>
      </c>
      <c r="AG697" s="20">
        <v>2</v>
      </c>
    </row>
    <row r="698" spans="1:33">
      <c r="A698" s="20">
        <v>31045</v>
      </c>
      <c r="B698" s="20" t="s">
        <v>7265</v>
      </c>
      <c r="C698" s="21" t="s">
        <v>6533</v>
      </c>
      <c r="K698" s="20">
        <v>0</v>
      </c>
      <c r="W698" s="20">
        <f>IF(Q698&lt;&gt;0,3,IF(K698="","",VLOOKUP(K698,'#状态名词'!$J$1:$K$15,2,FALSE)))</f>
        <v>0</v>
      </c>
      <c r="AA698" s="20">
        <v>1</v>
      </c>
      <c r="AB698" s="19">
        <v>31045</v>
      </c>
      <c r="AC698" s="20">
        <v>100</v>
      </c>
      <c r="AD698" s="20">
        <v>1</v>
      </c>
    </row>
    <row r="699" spans="1:33">
      <c r="A699" s="20">
        <v>31046</v>
      </c>
      <c r="B699" s="20" t="s">
        <v>7266</v>
      </c>
      <c r="C699" s="21" t="s">
        <v>4511</v>
      </c>
      <c r="K699" s="20">
        <v>0</v>
      </c>
      <c r="W699" s="20">
        <f>IF(Q699&lt;&gt;0,3,IF(K699="","",VLOOKUP(K699,'#状态名词'!$J$1:$K$15,2,FALSE)))</f>
        <v>0</v>
      </c>
      <c r="AB699" s="19"/>
      <c r="AF699" s="19">
        <v>31046</v>
      </c>
      <c r="AG699" s="20">
        <v>2</v>
      </c>
    </row>
    <row r="700" spans="1:33">
      <c r="A700" s="20">
        <v>31047</v>
      </c>
      <c r="B700" s="20" t="s">
        <v>7262</v>
      </c>
      <c r="C700" s="21" t="s">
        <v>7924</v>
      </c>
      <c r="K700" s="20">
        <v>0</v>
      </c>
      <c r="W700" s="20">
        <f>IF(Q700&lt;&gt;0,3,IF(K700="","",VLOOKUP(K700,'#状态名词'!$J$1:$K$15,2,FALSE)))</f>
        <v>0</v>
      </c>
      <c r="AA700" s="20">
        <v>1</v>
      </c>
      <c r="AB700" s="19">
        <v>31047</v>
      </c>
      <c r="AC700" s="20">
        <v>100</v>
      </c>
      <c r="AD700" s="20">
        <v>1</v>
      </c>
    </row>
    <row r="701" spans="1:33">
      <c r="A701" s="20">
        <v>31048</v>
      </c>
      <c r="B701" s="20" t="s">
        <v>7267</v>
      </c>
      <c r="C701" s="21" t="s">
        <v>4513</v>
      </c>
      <c r="K701" s="20">
        <v>0</v>
      </c>
      <c r="W701" s="20">
        <f>IF(Q701&lt;&gt;0,3,IF(K701="","",VLOOKUP(K701,'#状态名词'!$J$1:$K$15,2,FALSE)))</f>
        <v>0</v>
      </c>
      <c r="AA701" s="20">
        <v>1</v>
      </c>
      <c r="AB701" s="19">
        <v>31048</v>
      </c>
      <c r="AC701" s="20">
        <v>100</v>
      </c>
      <c r="AD701" s="20">
        <v>1</v>
      </c>
    </row>
    <row r="702" spans="1:33">
      <c r="A702" s="20">
        <v>31049</v>
      </c>
      <c r="B702" s="20" t="s">
        <v>7268</v>
      </c>
      <c r="C702" s="21" t="s">
        <v>4514</v>
      </c>
      <c r="K702" s="20">
        <v>0</v>
      </c>
      <c r="W702" s="20">
        <f>IF(Q702&lt;&gt;0,3,IF(K702="","",VLOOKUP(K702,'#状态名词'!$J$1:$K$15,2,FALSE)))</f>
        <v>0</v>
      </c>
      <c r="AB702" s="19"/>
      <c r="AF702" s="19">
        <v>31049</v>
      </c>
      <c r="AG702" s="20">
        <v>2</v>
      </c>
    </row>
    <row r="703" spans="1:33">
      <c r="A703" s="20">
        <v>31050</v>
      </c>
      <c r="B703" s="20" t="s">
        <v>7269</v>
      </c>
      <c r="C703" s="21" t="s">
        <v>4515</v>
      </c>
      <c r="K703" s="20">
        <v>0</v>
      </c>
      <c r="W703" s="20">
        <f>IF(Q703&lt;&gt;0,3,IF(K703="","",VLOOKUP(K703,'#状态名词'!$J$1:$K$15,2,FALSE)))</f>
        <v>0</v>
      </c>
      <c r="AB703" s="19"/>
      <c r="AF703" s="20">
        <v>31050</v>
      </c>
      <c r="AG703" s="20">
        <v>2</v>
      </c>
    </row>
    <row r="704" spans="1:33">
      <c r="A704" s="20">
        <v>31051</v>
      </c>
      <c r="B704" s="20" t="s">
        <v>7276</v>
      </c>
      <c r="C704" s="21" t="s">
        <v>4516</v>
      </c>
      <c r="K704" s="20">
        <v>0</v>
      </c>
      <c r="W704" s="20">
        <f>IF(Q704&lt;&gt;0,3,IF(K704="","",VLOOKUP(K704,'#状态名词'!$J$1:$K$15,2,FALSE)))</f>
        <v>0</v>
      </c>
      <c r="AB704" s="19"/>
      <c r="AF704" s="19">
        <v>31051</v>
      </c>
      <c r="AG704" s="20">
        <v>2</v>
      </c>
    </row>
    <row r="705" spans="1:33">
      <c r="A705" s="20">
        <v>31052</v>
      </c>
      <c r="B705" s="20" t="s">
        <v>7277</v>
      </c>
      <c r="C705" s="21" t="s">
        <v>4517</v>
      </c>
      <c r="K705" s="20">
        <v>0</v>
      </c>
      <c r="W705" s="20">
        <f>IF(Q705&lt;&gt;0,3,IF(K705="","",VLOOKUP(K705,'#状态名词'!$J$1:$K$15,2,FALSE)))</f>
        <v>0</v>
      </c>
      <c r="AA705" s="20">
        <v>1</v>
      </c>
      <c r="AB705" s="19">
        <v>31052</v>
      </c>
      <c r="AC705" s="20">
        <v>100</v>
      </c>
      <c r="AD705" s="20">
        <v>1</v>
      </c>
    </row>
    <row r="706" spans="1:33">
      <c r="A706" s="20">
        <v>31053</v>
      </c>
      <c r="B706" s="20" t="s">
        <v>7270</v>
      </c>
      <c r="C706" s="21" t="s">
        <v>4518</v>
      </c>
      <c r="K706" s="20">
        <v>0</v>
      </c>
      <c r="W706" s="20">
        <f>IF(Q706&lt;&gt;0,3,IF(K706="","",VLOOKUP(K706,'#状态名词'!$J$1:$K$15,2,FALSE)))</f>
        <v>0</v>
      </c>
      <c r="AB706" s="19"/>
      <c r="AF706" s="19">
        <v>31053</v>
      </c>
      <c r="AG706" s="20">
        <v>2</v>
      </c>
    </row>
    <row r="707" spans="1:33">
      <c r="A707" s="20">
        <v>31054</v>
      </c>
      <c r="B707" s="20" t="s">
        <v>7274</v>
      </c>
      <c r="C707" s="21" t="s">
        <v>4519</v>
      </c>
      <c r="K707" s="20">
        <v>0</v>
      </c>
      <c r="W707" s="20">
        <f>IF(Q707&lt;&gt;0,3,IF(K707="","",VLOOKUP(K707,'#状态名词'!$J$1:$K$15,2,FALSE)))</f>
        <v>0</v>
      </c>
      <c r="AA707" s="20">
        <v>1</v>
      </c>
      <c r="AB707" s="19">
        <v>31054</v>
      </c>
      <c r="AC707" s="20">
        <v>100</v>
      </c>
      <c r="AD707" s="20">
        <v>1</v>
      </c>
    </row>
    <row r="708" spans="1:33">
      <c r="A708" s="20">
        <v>31055</v>
      </c>
      <c r="B708" s="20" t="s">
        <v>7275</v>
      </c>
      <c r="C708" s="21" t="s">
        <v>4520</v>
      </c>
      <c r="G708" s="20">
        <v>40913</v>
      </c>
      <c r="K708" s="20">
        <v>0</v>
      </c>
      <c r="W708" s="20">
        <f>IF(Q708&lt;&gt;0,3,IF(K708="","",VLOOKUP(K708,'#状态名词'!$J$1:$K$15,2,FALSE)))</f>
        <v>0</v>
      </c>
      <c r="AA708" s="20">
        <v>1</v>
      </c>
      <c r="AB708" s="19">
        <v>2</v>
      </c>
      <c r="AC708" s="20">
        <v>100</v>
      </c>
      <c r="AD708" s="20">
        <v>0</v>
      </c>
      <c r="AE708" s="20">
        <v>1</v>
      </c>
    </row>
    <row r="709" spans="1:33">
      <c r="W709" s="20" t="str">
        <f>IF(Q709&lt;&gt;0,3,IF(K709="","",VLOOKUP(K709,'#状态名词'!$J$1:$K$15,2,FALSE)))</f>
        <v/>
      </c>
      <c r="AA709" s="20">
        <v>1</v>
      </c>
      <c r="AB709" s="19">
        <v>3</v>
      </c>
      <c r="AC709" s="20">
        <v>100</v>
      </c>
      <c r="AD709" s="20">
        <v>0</v>
      </c>
      <c r="AE709" s="20">
        <v>1</v>
      </c>
    </row>
    <row r="710" spans="1:33">
      <c r="W710" s="20" t="str">
        <f>IF(Q710&lt;&gt;0,3,IF(K710="","",VLOOKUP(K710,'#状态名词'!$J$1:$K$15,2,FALSE)))</f>
        <v/>
      </c>
      <c r="AA710" s="20">
        <v>1</v>
      </c>
      <c r="AB710" s="20">
        <v>4</v>
      </c>
      <c r="AC710" s="20">
        <v>100</v>
      </c>
      <c r="AD710" s="20">
        <v>0</v>
      </c>
      <c r="AE710" s="20">
        <v>1</v>
      </c>
    </row>
    <row r="711" spans="1:33">
      <c r="A711" s="20">
        <v>31056</v>
      </c>
      <c r="B711" s="20" t="s">
        <v>7271</v>
      </c>
      <c r="C711" s="21" t="s">
        <v>4521</v>
      </c>
      <c r="K711" s="20">
        <v>0</v>
      </c>
      <c r="W711" s="20">
        <f>IF(Q711&lt;&gt;0,3,IF(K711="","",VLOOKUP(K711,'#状态名词'!$J$1:$K$15,2,FALSE)))</f>
        <v>0</v>
      </c>
      <c r="AA711" s="20">
        <v>1</v>
      </c>
      <c r="AB711" s="20">
        <v>31056</v>
      </c>
      <c r="AC711" s="20">
        <v>100</v>
      </c>
      <c r="AD711" s="20">
        <v>1</v>
      </c>
    </row>
    <row r="712" spans="1:33">
      <c r="A712" s="20">
        <v>31057</v>
      </c>
      <c r="B712" s="20" t="s">
        <v>7272</v>
      </c>
      <c r="C712" s="21" t="s">
        <v>4522</v>
      </c>
      <c r="K712" s="20">
        <v>0</v>
      </c>
      <c r="W712" s="20">
        <f>IF(Q712&lt;&gt;0,3,IF(K712="","",VLOOKUP(K712,'#状态名词'!$J$1:$K$15,2,FALSE)))</f>
        <v>0</v>
      </c>
      <c r="AA712" s="20">
        <v>1</v>
      </c>
      <c r="AB712" s="20">
        <v>31057</v>
      </c>
      <c r="AC712" s="20">
        <v>100</v>
      </c>
      <c r="AD712" s="20">
        <v>1</v>
      </c>
    </row>
    <row r="713" spans="1:33">
      <c r="A713" s="20">
        <v>31058</v>
      </c>
      <c r="B713" s="20" t="s">
        <v>7273</v>
      </c>
      <c r="C713" s="21" t="s">
        <v>4523</v>
      </c>
      <c r="K713" s="20">
        <v>0</v>
      </c>
      <c r="W713" s="20">
        <f>IF(Q713&lt;&gt;0,3,IF(K713="","",VLOOKUP(K713,'#状态名词'!$J$1:$K$15,2,FALSE)))</f>
        <v>0</v>
      </c>
      <c r="AA713" s="20">
        <v>1</v>
      </c>
      <c r="AB713" s="20">
        <v>31058</v>
      </c>
      <c r="AC713" s="20">
        <v>100</v>
      </c>
      <c r="AD713" s="20">
        <v>1</v>
      </c>
    </row>
    <row r="714" spans="1:33">
      <c r="W714" s="20" t="str">
        <f>IF(Q714&lt;&gt;0,3,IF(K714="","",VLOOKUP(K714,'#状态名词'!$J$1:$K$15,2,FALSE)))</f>
        <v/>
      </c>
      <c r="AA714" s="20">
        <v>1</v>
      </c>
      <c r="AB714" s="20">
        <v>31055</v>
      </c>
      <c r="AC714" s="20">
        <v>50</v>
      </c>
      <c r="AD714" s="20">
        <v>1</v>
      </c>
    </row>
    <row r="715" spans="1:33">
      <c r="A715" s="20">
        <v>31059</v>
      </c>
      <c r="B715" s="65" t="s">
        <v>7278</v>
      </c>
      <c r="C715" s="21" t="s">
        <v>4524</v>
      </c>
      <c r="W715" s="20" t="str">
        <f>IF(Q715&lt;&gt;0,3,IF(K715="","",VLOOKUP(K715,'#状态名词'!$J$1:$K$15,2,FALSE)))</f>
        <v/>
      </c>
      <c r="AA715" s="20">
        <v>1</v>
      </c>
      <c r="AB715" s="20">
        <v>31059</v>
      </c>
      <c r="AC715" s="20">
        <v>100</v>
      </c>
      <c r="AD715" s="20">
        <v>1</v>
      </c>
    </row>
    <row r="716" spans="1:33">
      <c r="A716" s="20">
        <v>31060</v>
      </c>
      <c r="B716" s="65" t="s">
        <v>7285</v>
      </c>
      <c r="C716" s="21" t="s">
        <v>7815</v>
      </c>
      <c r="W716" s="20" t="str">
        <f>IF(Q716&lt;&gt;0,3,IF(K716="","",VLOOKUP(K716,'#状态名词'!$J$1:$K$15,2,FALSE)))</f>
        <v/>
      </c>
      <c r="AA716" s="20">
        <v>1</v>
      </c>
      <c r="AB716" s="20">
        <v>31060</v>
      </c>
      <c r="AC716" s="20">
        <v>10</v>
      </c>
      <c r="AD716" s="20">
        <v>1</v>
      </c>
    </row>
    <row r="717" spans="1:33">
      <c r="A717" s="20">
        <v>31061</v>
      </c>
      <c r="B717" s="65" t="s">
        <v>7286</v>
      </c>
      <c r="C717" s="21" t="s">
        <v>7816</v>
      </c>
      <c r="K717" s="20">
        <v>9</v>
      </c>
      <c r="W717" s="20">
        <f>IF(Q717&lt;&gt;0,3,IF(K717="","",VLOOKUP(K717,'#状态名词'!$J$1:$K$15,2,FALSE)))</f>
        <v>3</v>
      </c>
      <c r="AA717" s="20">
        <v>1</v>
      </c>
      <c r="AB717" s="20">
        <v>31061</v>
      </c>
      <c r="AC717" s="20">
        <v>100</v>
      </c>
      <c r="AD717" s="20">
        <v>1</v>
      </c>
    </row>
    <row r="718" spans="1:33">
      <c r="W718" s="20" t="str">
        <f>IF(Q718&lt;&gt;0,3,IF(K718="","",VLOOKUP(K718,'#状态名词'!$J$1:$K$15,2,FALSE)))</f>
        <v/>
      </c>
      <c r="AA718" s="20">
        <v>1</v>
      </c>
      <c r="AB718" s="20">
        <v>31079</v>
      </c>
      <c r="AC718" s="20">
        <v>40</v>
      </c>
      <c r="AD718" s="20">
        <v>1</v>
      </c>
    </row>
    <row r="719" spans="1:33">
      <c r="A719" s="20">
        <v>31062</v>
      </c>
      <c r="B719" s="65" t="s">
        <v>7279</v>
      </c>
      <c r="C719" s="21" t="s">
        <v>3663</v>
      </c>
      <c r="W719" s="20" t="str">
        <f>IF(Q719&lt;&gt;0,3,IF(K719="","",VLOOKUP(K719,'#状态名词'!$J$1:$K$15,2,FALSE)))</f>
        <v/>
      </c>
      <c r="AA719" s="20">
        <v>1</v>
      </c>
      <c r="AB719" s="20">
        <v>31062</v>
      </c>
      <c r="AC719" s="20">
        <v>100</v>
      </c>
      <c r="AD719" s="20">
        <v>1</v>
      </c>
    </row>
    <row r="720" spans="1:33">
      <c r="A720" s="20">
        <v>31063</v>
      </c>
      <c r="B720" s="65" t="s">
        <v>7283</v>
      </c>
      <c r="C720" s="21" t="s">
        <v>3664</v>
      </c>
      <c r="W720" s="20" t="str">
        <f>IF(Q720&lt;&gt;0,3,IF(K720="","",VLOOKUP(K720,'#状态名词'!$J$1:$K$15,2,FALSE)))</f>
        <v/>
      </c>
      <c r="AA720" s="20">
        <v>1</v>
      </c>
      <c r="AB720" s="20">
        <v>31063</v>
      </c>
      <c r="AC720" s="20">
        <v>100</v>
      </c>
      <c r="AD720" s="20">
        <v>1</v>
      </c>
    </row>
    <row r="721" spans="1:33">
      <c r="A721" s="20">
        <v>31064</v>
      </c>
      <c r="B721" s="65" t="s">
        <v>7284</v>
      </c>
      <c r="C721" s="21" t="s">
        <v>6116</v>
      </c>
      <c r="W721" s="20" t="str">
        <f>IF(Q721&lt;&gt;0,3,IF(K721="","",VLOOKUP(K721,'#状态名词'!$J$1:$K$15,2,FALSE)))</f>
        <v/>
      </c>
      <c r="AF721" s="20">
        <v>31064</v>
      </c>
      <c r="AG721" s="20">
        <v>1</v>
      </c>
    </row>
    <row r="722" spans="1:33">
      <c r="A722" s="20">
        <v>31065</v>
      </c>
      <c r="B722" s="65" t="s">
        <v>7280</v>
      </c>
      <c r="C722" s="21" t="s">
        <v>4525</v>
      </c>
      <c r="W722" s="20" t="str">
        <f>IF(Q722&lt;&gt;0,3,IF(K722="","",VLOOKUP(K722,'#状态名词'!$J$1:$K$15,2,FALSE)))</f>
        <v/>
      </c>
      <c r="AA722" s="20">
        <v>1</v>
      </c>
      <c r="AB722" s="20">
        <v>31065</v>
      </c>
      <c r="AC722" s="20">
        <v>100</v>
      </c>
      <c r="AD722" s="20">
        <v>1</v>
      </c>
    </row>
    <row r="723" spans="1:33">
      <c r="A723" s="20">
        <v>31066</v>
      </c>
      <c r="B723" s="65" t="s">
        <v>7281</v>
      </c>
      <c r="C723" s="21" t="s">
        <v>4526</v>
      </c>
      <c r="K723" s="20">
        <v>9</v>
      </c>
      <c r="W723" s="20">
        <f>IF(Q723&lt;&gt;0,3,IF(K723="","",VLOOKUP(K723,'#状态名词'!$J$1:$K$15,2,FALSE)))</f>
        <v>3</v>
      </c>
      <c r="AA723" s="20">
        <v>1</v>
      </c>
      <c r="AB723" s="20">
        <v>31066</v>
      </c>
      <c r="AC723" s="20">
        <v>20</v>
      </c>
      <c r="AD723" s="20">
        <v>1</v>
      </c>
    </row>
    <row r="724" spans="1:33">
      <c r="A724" s="20">
        <v>31067</v>
      </c>
      <c r="B724" s="65" t="s">
        <v>7282</v>
      </c>
      <c r="C724" s="21" t="s">
        <v>4528</v>
      </c>
      <c r="W724" s="20" t="str">
        <f>IF(Q724&lt;&gt;0,3,IF(K724="","",VLOOKUP(K724,'#状态名词'!$J$1:$K$15,2,FALSE)))</f>
        <v/>
      </c>
      <c r="AA724" s="20">
        <v>1</v>
      </c>
      <c r="AB724" s="20">
        <v>31067</v>
      </c>
      <c r="AC724" s="20">
        <v>100</v>
      </c>
      <c r="AD724" s="20">
        <v>1</v>
      </c>
    </row>
    <row r="725" spans="1:33">
      <c r="A725" s="20">
        <v>31068</v>
      </c>
      <c r="B725" s="20" t="s">
        <v>7287</v>
      </c>
      <c r="C725" s="21" t="s">
        <v>6653</v>
      </c>
      <c r="G725" s="20">
        <v>40507</v>
      </c>
      <c r="K725" s="20">
        <v>9</v>
      </c>
      <c r="W725" s="20">
        <f>IF(Q725&lt;&gt;0,3,IF(K725="","",VLOOKUP(K725,'#状态名词'!$J$1:$K$15,2,FALSE)))</f>
        <v>3</v>
      </c>
      <c r="AA725" s="20">
        <v>1</v>
      </c>
      <c r="AB725" s="20">
        <v>31068</v>
      </c>
      <c r="AC725" s="20">
        <v>100</v>
      </c>
      <c r="AD725" s="20">
        <v>1</v>
      </c>
    </row>
    <row r="726" spans="1:33">
      <c r="A726" s="20">
        <v>31069</v>
      </c>
      <c r="B726" s="20" t="s">
        <v>7295</v>
      </c>
      <c r="C726" s="21" t="s">
        <v>4529</v>
      </c>
      <c r="W726" s="20" t="str">
        <f>IF(Q726&lt;&gt;0,3,IF(K726="","",VLOOKUP(K726,'#状态名词'!$J$1:$K$15,2,FALSE)))</f>
        <v/>
      </c>
      <c r="AA726" s="20">
        <v>1</v>
      </c>
      <c r="AB726" s="20">
        <v>31069</v>
      </c>
      <c r="AC726" s="20">
        <v>100</v>
      </c>
      <c r="AD726" s="20">
        <v>1</v>
      </c>
    </row>
    <row r="727" spans="1:33">
      <c r="A727" s="20">
        <v>31070</v>
      </c>
      <c r="B727" s="20" t="s">
        <v>7296</v>
      </c>
      <c r="C727" s="21" t="s">
        <v>4530</v>
      </c>
      <c r="W727" s="20" t="str">
        <f>IF(Q727&lt;&gt;0,3,IF(K727="","",VLOOKUP(K727,'#状态名词'!$J$1:$K$15,2,FALSE)))</f>
        <v/>
      </c>
      <c r="AF727" s="20">
        <v>31070</v>
      </c>
      <c r="AG727" s="20">
        <v>2</v>
      </c>
    </row>
    <row r="728" spans="1:33">
      <c r="A728" s="20">
        <v>31071</v>
      </c>
      <c r="B728" s="20" t="s">
        <v>7288</v>
      </c>
      <c r="C728" s="21" t="s">
        <v>4531</v>
      </c>
      <c r="K728" s="20">
        <v>9</v>
      </c>
      <c r="W728" s="20">
        <f>IF(Q728&lt;&gt;0,3,IF(K728="","",VLOOKUP(K728,'#状态名词'!$J$1:$K$15,2,FALSE)))</f>
        <v>3</v>
      </c>
      <c r="AA728" s="20">
        <v>1</v>
      </c>
      <c r="AB728" s="20">
        <v>31071</v>
      </c>
      <c r="AC728" s="20">
        <v>10</v>
      </c>
      <c r="AD728" s="20">
        <v>1</v>
      </c>
    </row>
    <row r="729" spans="1:33">
      <c r="A729" s="20">
        <v>31072</v>
      </c>
      <c r="B729" s="20" t="s">
        <v>7292</v>
      </c>
      <c r="C729" s="21" t="s">
        <v>6879</v>
      </c>
      <c r="K729" s="20">
        <v>9</v>
      </c>
      <c r="W729" s="20">
        <f>IF(Q729&lt;&gt;0,3,IF(K729="","",VLOOKUP(K729,'#状态名词'!$J$1:$K$15,2,FALSE)))</f>
        <v>3</v>
      </c>
      <c r="AA729" s="20">
        <v>1</v>
      </c>
      <c r="AB729" s="20">
        <v>31072</v>
      </c>
      <c r="AC729" s="20">
        <v>25</v>
      </c>
      <c r="AD729" s="20">
        <v>1</v>
      </c>
    </row>
    <row r="730" spans="1:33">
      <c r="A730" s="20">
        <v>31073</v>
      </c>
      <c r="B730" s="20" t="s">
        <v>7293</v>
      </c>
      <c r="C730" s="21" t="s">
        <v>6534</v>
      </c>
      <c r="W730" s="20" t="str">
        <f>IF(Q730&lt;&gt;0,3,IF(K730="","",VLOOKUP(K730,'#状态名词'!$J$1:$K$15,2,FALSE)))</f>
        <v/>
      </c>
      <c r="AA730" s="20">
        <v>1</v>
      </c>
      <c r="AB730" s="20">
        <v>31073</v>
      </c>
      <c r="AC730" s="20">
        <v>100</v>
      </c>
      <c r="AD730" s="20">
        <v>1</v>
      </c>
    </row>
    <row r="731" spans="1:33">
      <c r="A731" s="20">
        <v>31074</v>
      </c>
      <c r="B731" s="20" t="s">
        <v>7289</v>
      </c>
      <c r="C731" s="21" t="s">
        <v>7553</v>
      </c>
      <c r="W731" s="20" t="str">
        <f>IF(Q731&lt;&gt;0,3,IF(K731="","",VLOOKUP(K731,'#状态名词'!$J$1:$K$15,2,FALSE)))</f>
        <v/>
      </c>
      <c r="AF731" s="20">
        <v>31074</v>
      </c>
      <c r="AG731" s="20">
        <v>1</v>
      </c>
    </row>
    <row r="732" spans="1:33">
      <c r="A732" s="20">
        <v>31075</v>
      </c>
      <c r="B732" s="20" t="s">
        <v>7290</v>
      </c>
      <c r="C732" s="21" t="s">
        <v>6654</v>
      </c>
      <c r="K732" s="20">
        <v>9</v>
      </c>
      <c r="W732" s="20">
        <f>IF(Q732&lt;&gt;0,3,IF(K732="","",VLOOKUP(K732,'#状态名词'!$J$1:$K$15,2,FALSE)))</f>
        <v>3</v>
      </c>
      <c r="AA732" s="20">
        <v>1</v>
      </c>
      <c r="AB732" s="20">
        <v>31075</v>
      </c>
      <c r="AC732" s="20">
        <v>1</v>
      </c>
      <c r="AD732" s="20">
        <v>1</v>
      </c>
    </row>
    <row r="733" spans="1:33">
      <c r="A733" s="20">
        <v>31076</v>
      </c>
      <c r="B733" s="20" t="s">
        <v>7291</v>
      </c>
      <c r="C733" s="21" t="s">
        <v>3675</v>
      </c>
      <c r="G733" s="20">
        <v>40516</v>
      </c>
      <c r="K733" s="20">
        <v>9</v>
      </c>
      <c r="W733" s="20">
        <f>IF(Q733&lt;&gt;0,3,IF(K733="","",VLOOKUP(K733,'#状态名词'!$J$1:$K$15,2,FALSE)))</f>
        <v>3</v>
      </c>
      <c r="AA733" s="20">
        <v>1</v>
      </c>
      <c r="AB733" s="20">
        <v>40521</v>
      </c>
      <c r="AC733" s="20">
        <v>16</v>
      </c>
      <c r="AD733" s="20">
        <v>1</v>
      </c>
    </row>
    <row r="734" spans="1:33">
      <c r="W734" s="20" t="str">
        <f>IF(Q734&lt;&gt;0,3,IF(K734="","",VLOOKUP(K734,'#状态名词'!$J$1:$K$15,2,FALSE)))</f>
        <v/>
      </c>
      <c r="AA734" s="20">
        <v>1</v>
      </c>
      <c r="AB734" s="20">
        <v>40522</v>
      </c>
      <c r="AC734" s="20">
        <v>16</v>
      </c>
      <c r="AD734" s="20">
        <v>1</v>
      </c>
    </row>
    <row r="735" spans="1:33">
      <c r="W735" s="20" t="str">
        <f>IF(Q735&lt;&gt;0,3,IF(K735="","",VLOOKUP(K735,'#状态名词'!$J$1:$K$15,2,FALSE)))</f>
        <v/>
      </c>
      <c r="AA735" s="20">
        <v>1</v>
      </c>
      <c r="AB735" s="20">
        <v>40523</v>
      </c>
      <c r="AC735" s="20">
        <v>16</v>
      </c>
      <c r="AD735" s="20">
        <v>1</v>
      </c>
    </row>
    <row r="736" spans="1:33">
      <c r="W736" s="20" t="str">
        <f>IF(Q736&lt;&gt;0,3,IF(K736="","",VLOOKUP(K736,'#状态名词'!$J$1:$K$15,2,FALSE)))</f>
        <v/>
      </c>
      <c r="AA736" s="20">
        <v>1</v>
      </c>
      <c r="AB736" s="20">
        <v>3</v>
      </c>
      <c r="AC736" s="20">
        <v>16</v>
      </c>
      <c r="AD736" s="20">
        <v>0</v>
      </c>
      <c r="AE736" s="20">
        <v>30</v>
      </c>
    </row>
    <row r="737" spans="1:33">
      <c r="W737" s="20" t="str">
        <f>IF(Q737&lt;&gt;0,3,IF(K737="","",VLOOKUP(K737,'#状态名词'!$J$1:$K$15,2,FALSE)))</f>
        <v/>
      </c>
      <c r="AA737" s="20">
        <v>1</v>
      </c>
      <c r="AB737" s="20">
        <v>4</v>
      </c>
      <c r="AC737" s="20">
        <v>16</v>
      </c>
      <c r="AD737" s="20">
        <v>0</v>
      </c>
      <c r="AE737" s="20">
        <v>30</v>
      </c>
    </row>
    <row r="738" spans="1:33">
      <c r="A738" s="20">
        <v>31077</v>
      </c>
      <c r="B738" s="20" t="s">
        <v>7297</v>
      </c>
      <c r="C738" s="21" t="s">
        <v>4534</v>
      </c>
      <c r="W738" s="20" t="str">
        <f>IF(Q738&lt;&gt;0,3,IF(K738="","",VLOOKUP(K738,'#状态名词'!$J$1:$K$15,2,FALSE)))</f>
        <v/>
      </c>
      <c r="AF738" s="20">
        <v>31077</v>
      </c>
      <c r="AG738" s="20">
        <v>2</v>
      </c>
    </row>
    <row r="739" spans="1:33" ht="12.75" customHeight="1">
      <c r="A739" s="20">
        <v>31078</v>
      </c>
      <c r="B739" s="20" t="s">
        <v>7300</v>
      </c>
      <c r="C739" s="21" t="s">
        <v>6880</v>
      </c>
      <c r="K739" s="20">
        <v>9</v>
      </c>
      <c r="W739" s="20">
        <f>IF(Q739&lt;&gt;0,3,IF(K739="","",VLOOKUP(K739,'#状态名词'!$J$1:$K$15,2,FALSE)))</f>
        <v>3</v>
      </c>
      <c r="AA739" s="20">
        <v>1</v>
      </c>
      <c r="AB739" s="20">
        <v>31078</v>
      </c>
      <c r="AC739" s="20">
        <v>10</v>
      </c>
      <c r="AD739" s="20">
        <v>1</v>
      </c>
    </row>
    <row r="740" spans="1:33">
      <c r="A740" s="20">
        <v>31079</v>
      </c>
      <c r="B740" s="20" t="s">
        <v>7301</v>
      </c>
      <c r="C740" s="21" t="s">
        <v>6655</v>
      </c>
      <c r="G740" s="20">
        <v>40711</v>
      </c>
      <c r="W740" s="20" t="str">
        <f>IF(Q740&lt;&gt;0,3,IF(K740="","",VLOOKUP(K740,'#状态名词'!$J$1:$K$15,2,FALSE)))</f>
        <v/>
      </c>
      <c r="AA740" s="20">
        <v>1</v>
      </c>
      <c r="AB740" s="20">
        <v>31</v>
      </c>
      <c r="AC740" s="20">
        <v>100</v>
      </c>
      <c r="AD740" s="20">
        <v>1</v>
      </c>
      <c r="AE740" s="20">
        <v>5</v>
      </c>
    </row>
    <row r="741" spans="1:33">
      <c r="A741" s="20">
        <v>31080</v>
      </c>
      <c r="B741" s="20" t="s">
        <v>7298</v>
      </c>
      <c r="C741" s="21" t="s">
        <v>4535</v>
      </c>
      <c r="F741" s="20" t="s">
        <v>4536</v>
      </c>
      <c r="H741" s="20">
        <v>15</v>
      </c>
      <c r="K741" s="20">
        <v>3</v>
      </c>
      <c r="L741" s="20">
        <v>40</v>
      </c>
      <c r="N741" s="20">
        <v>4</v>
      </c>
      <c r="O741" s="20">
        <v>1</v>
      </c>
      <c r="W741" s="20">
        <f>IF(Q741&lt;&gt;0,3,IF(K741="","",VLOOKUP(K741,'#状态名词'!$J$1:$K$15,2,FALSE)))</f>
        <v>3</v>
      </c>
      <c r="AD741" s="20">
        <v>1</v>
      </c>
    </row>
    <row r="742" spans="1:33">
      <c r="A742" s="20">
        <v>31081</v>
      </c>
      <c r="B742" s="20" t="s">
        <v>7302</v>
      </c>
      <c r="C742" s="21" t="s">
        <v>6535</v>
      </c>
      <c r="K742" s="20">
        <v>9</v>
      </c>
      <c r="W742" s="20">
        <f>IF(Q742&lt;&gt;0,3,IF(K742="","",VLOOKUP(K742,'#状态名词'!$J$1:$K$15,2,FALSE)))</f>
        <v>3</v>
      </c>
      <c r="AA742" s="20">
        <v>1</v>
      </c>
      <c r="AB742" s="20">
        <v>31081</v>
      </c>
      <c r="AC742" s="20">
        <v>15</v>
      </c>
      <c r="AD742" s="20">
        <v>1</v>
      </c>
    </row>
    <row r="743" spans="1:33">
      <c r="A743" s="20">
        <v>31082</v>
      </c>
      <c r="B743" s="20" t="s">
        <v>7303</v>
      </c>
      <c r="C743" s="21" t="s">
        <v>4537</v>
      </c>
      <c r="K743" s="20">
        <v>9</v>
      </c>
      <c r="W743" s="20">
        <f>IF(Q743&lt;&gt;0,3,IF(K743="","",VLOOKUP(K743,'#状态名词'!$J$1:$K$15,2,FALSE)))</f>
        <v>3</v>
      </c>
      <c r="AA743" s="20">
        <v>1</v>
      </c>
      <c r="AB743" s="20">
        <v>31082</v>
      </c>
      <c r="AC743" s="20">
        <v>100</v>
      </c>
      <c r="AD743" s="20">
        <v>1</v>
      </c>
    </row>
    <row r="744" spans="1:33">
      <c r="A744" s="20">
        <v>31083</v>
      </c>
      <c r="B744" s="20" t="s">
        <v>7299</v>
      </c>
      <c r="C744" s="21" t="s">
        <v>3680</v>
      </c>
      <c r="K744" s="20">
        <v>9</v>
      </c>
      <c r="W744" s="20">
        <f>IF(Q744&lt;&gt;0,3,IF(K744="","",VLOOKUP(K744,'#状态名词'!$J$1:$K$15,2,FALSE)))</f>
        <v>3</v>
      </c>
      <c r="AA744" s="20">
        <v>1</v>
      </c>
      <c r="AB744" s="20">
        <v>31083</v>
      </c>
      <c r="AC744" s="20">
        <v>100</v>
      </c>
      <c r="AD744" s="20">
        <v>1</v>
      </c>
    </row>
    <row r="745" spans="1:33">
      <c r="W745" s="20" t="str">
        <f>IF(Q745&lt;&gt;0,3,IF(K745="","",VLOOKUP(K745,'#状态名词'!$J$1:$K$15,2,FALSE)))</f>
        <v/>
      </c>
      <c r="AA745" s="20">
        <v>1</v>
      </c>
      <c r="AB745" s="20">
        <v>31084</v>
      </c>
      <c r="AC745" s="20">
        <v>100</v>
      </c>
      <c r="AD745" s="20">
        <v>0</v>
      </c>
    </row>
    <row r="746" spans="1:33">
      <c r="A746" s="20">
        <v>31084</v>
      </c>
      <c r="B746" s="20" t="s">
        <v>7304</v>
      </c>
      <c r="C746" s="21" t="s">
        <v>4538</v>
      </c>
      <c r="K746" s="20">
        <v>9</v>
      </c>
      <c r="W746" s="20">
        <f>IF(Q746&lt;&gt;0,3,IF(K746="","",VLOOKUP(K746,'#状态名词'!$J$1:$K$15,2,FALSE)))</f>
        <v>3</v>
      </c>
      <c r="AA746" s="20">
        <v>1</v>
      </c>
      <c r="AB746" s="20">
        <v>12</v>
      </c>
      <c r="AC746" s="20">
        <v>20</v>
      </c>
      <c r="AD746" s="20">
        <v>0</v>
      </c>
      <c r="AE746" s="20">
        <v>1</v>
      </c>
    </row>
    <row r="747" spans="1:33">
      <c r="A747" s="20">
        <v>31085</v>
      </c>
      <c r="B747" s="20" t="s">
        <v>7305</v>
      </c>
      <c r="C747" s="21" t="s">
        <v>4539</v>
      </c>
      <c r="W747" s="20" t="str">
        <f>IF(Q747&lt;&gt;0,3,IF(K747="","",VLOOKUP(K747,'#状态名词'!$J$1:$K$15,2,FALSE)))</f>
        <v/>
      </c>
      <c r="AF747" s="20">
        <v>31085</v>
      </c>
      <c r="AG747" s="20">
        <v>2</v>
      </c>
    </row>
    <row r="748" spans="1:33">
      <c r="A748" s="20">
        <v>31086</v>
      </c>
      <c r="B748" s="20" t="s">
        <v>7306</v>
      </c>
      <c r="C748" s="21" t="s">
        <v>3682</v>
      </c>
      <c r="K748" s="20">
        <v>6</v>
      </c>
      <c r="W748" s="20">
        <f>IF(Q748&lt;&gt;0,3,IF(K748="","",VLOOKUP(K748,'#状态名词'!$J$1:$K$15,2,FALSE)))</f>
        <v>3</v>
      </c>
      <c r="AA748" s="20">
        <v>1</v>
      </c>
      <c r="AB748" s="20">
        <v>31086</v>
      </c>
      <c r="AC748" s="20">
        <v>100</v>
      </c>
      <c r="AD748" s="20">
        <v>1</v>
      </c>
    </row>
    <row r="749" spans="1:33">
      <c r="A749" s="20">
        <v>31087</v>
      </c>
      <c r="B749" s="20" t="s">
        <v>7309</v>
      </c>
      <c r="C749" s="21" t="s">
        <v>7925</v>
      </c>
      <c r="W749" s="20" t="str">
        <f>IF(Q749&lt;&gt;0,3,IF(K749="","",VLOOKUP(K749,'#状态名词'!$J$1:$K$15,2,FALSE)))</f>
        <v/>
      </c>
      <c r="AA749" s="20">
        <v>1</v>
      </c>
      <c r="AB749" s="20">
        <v>31087</v>
      </c>
      <c r="AC749" s="20">
        <v>100</v>
      </c>
      <c r="AD749" s="20">
        <v>1</v>
      </c>
    </row>
    <row r="750" spans="1:33">
      <c r="A750" s="20">
        <v>31088</v>
      </c>
      <c r="B750" s="20" t="s">
        <v>7310</v>
      </c>
      <c r="C750" s="21" t="s">
        <v>3684</v>
      </c>
      <c r="Q750" s="20">
        <v>3</v>
      </c>
      <c r="R750" s="20">
        <v>1</v>
      </c>
      <c r="S750" s="20">
        <v>50</v>
      </c>
      <c r="W750" s="20">
        <f>IF(Q750&lt;&gt;0,3,IF(K750="","",VLOOKUP(K750,'#状态名词'!$J$1:$K$15,2,FALSE)))</f>
        <v>3</v>
      </c>
      <c r="AA750" s="20">
        <v>1</v>
      </c>
      <c r="AB750" s="20">
        <v>31088</v>
      </c>
      <c r="AC750" s="20">
        <v>100</v>
      </c>
      <c r="AD750" s="20">
        <v>1</v>
      </c>
    </row>
    <row r="751" spans="1:33">
      <c r="A751" s="20">
        <v>31089</v>
      </c>
      <c r="B751" s="20" t="s">
        <v>7307</v>
      </c>
      <c r="C751" s="21" t="s">
        <v>3685</v>
      </c>
      <c r="K751" s="20">
        <v>6</v>
      </c>
      <c r="W751" s="20">
        <f>IF(Q751&lt;&gt;0,3,IF(K751="","",VLOOKUP(K751,'#状态名词'!$J$1:$K$15,2,FALSE)))</f>
        <v>3</v>
      </c>
      <c r="AA751" s="20">
        <v>1</v>
      </c>
      <c r="AB751" s="20">
        <v>31089</v>
      </c>
      <c r="AC751" s="20">
        <v>100</v>
      </c>
      <c r="AD751" s="20">
        <v>1</v>
      </c>
    </row>
    <row r="752" spans="1:33">
      <c r="A752" s="20">
        <v>31090</v>
      </c>
      <c r="B752" s="20" t="s">
        <v>7311</v>
      </c>
      <c r="C752" s="21" t="s">
        <v>4540</v>
      </c>
      <c r="W752" s="20" t="str">
        <f>IF(Q752&lt;&gt;0,3,IF(K752="","",VLOOKUP(K752,'#状态名词'!$J$1:$K$15,2,FALSE)))</f>
        <v/>
      </c>
      <c r="AF752" s="20">
        <v>31090</v>
      </c>
      <c r="AG752" s="20">
        <v>2</v>
      </c>
    </row>
    <row r="753" spans="1:33">
      <c r="A753" s="20">
        <v>31091</v>
      </c>
      <c r="B753" s="20" t="s">
        <v>7312</v>
      </c>
      <c r="C753" s="21" t="s">
        <v>6881</v>
      </c>
      <c r="G753" s="20">
        <v>40403</v>
      </c>
      <c r="K753" s="20">
        <v>9</v>
      </c>
      <c r="W753" s="20">
        <f>IF(Q753&lt;&gt;0,3,IF(K753="","",VLOOKUP(K753,'#状态名词'!$J$1:$K$15,2,FALSE)))</f>
        <v>3</v>
      </c>
      <c r="AA753" s="20">
        <v>1</v>
      </c>
      <c r="AB753" s="20">
        <v>31091</v>
      </c>
      <c r="AC753" s="20">
        <v>100</v>
      </c>
      <c r="AD753" s="20">
        <v>1</v>
      </c>
    </row>
    <row r="754" spans="1:33">
      <c r="A754" s="20">
        <v>31092</v>
      </c>
      <c r="B754" s="20" t="s">
        <v>7308</v>
      </c>
      <c r="C754" s="21" t="s">
        <v>4541</v>
      </c>
      <c r="W754" s="20" t="str">
        <f>IF(Q754&lt;&gt;0,3,IF(K754="","",VLOOKUP(K754,'#状态名词'!$J$1:$K$15,2,FALSE)))</f>
        <v/>
      </c>
      <c r="AA754" s="20">
        <v>1</v>
      </c>
      <c r="AB754" s="20">
        <v>31092</v>
      </c>
      <c r="AC754" s="20">
        <v>100</v>
      </c>
      <c r="AD754" s="20">
        <v>1</v>
      </c>
    </row>
    <row r="755" spans="1:33">
      <c r="A755" s="20">
        <v>31093</v>
      </c>
      <c r="B755" s="20" t="s">
        <v>7313</v>
      </c>
      <c r="C755" s="21" t="s">
        <v>4542</v>
      </c>
      <c r="W755" s="20" t="str">
        <f>IF(Q755&lt;&gt;0,3,IF(K755="","",VLOOKUP(K755,'#状态名词'!$J$1:$K$15,2,FALSE)))</f>
        <v/>
      </c>
      <c r="AF755" s="20">
        <v>31093</v>
      </c>
      <c r="AG755" s="20">
        <v>2</v>
      </c>
    </row>
    <row r="756" spans="1:33">
      <c r="A756" s="20">
        <v>31094</v>
      </c>
      <c r="B756" s="20" t="s">
        <v>7314</v>
      </c>
      <c r="C756" s="21" t="s">
        <v>7817</v>
      </c>
      <c r="W756" s="20" t="str">
        <f>IF(Q756&lt;&gt;0,3,IF(K756="","",VLOOKUP(K756,'#状态名词'!$J$1:$K$15,2,FALSE)))</f>
        <v/>
      </c>
      <c r="AA756" s="20">
        <v>1</v>
      </c>
      <c r="AB756" s="20">
        <v>31094</v>
      </c>
      <c r="AC756" s="20">
        <v>100</v>
      </c>
      <c r="AD756" s="20">
        <v>1</v>
      </c>
    </row>
    <row r="757" spans="1:33">
      <c r="A757" s="20">
        <v>31095</v>
      </c>
      <c r="B757" s="20" t="s">
        <v>7315</v>
      </c>
      <c r="C757" s="21" t="s">
        <v>3691</v>
      </c>
      <c r="K757" s="20">
        <v>9</v>
      </c>
      <c r="W757" s="20">
        <f>IF(Q757&lt;&gt;0,3,IF(K757="","",VLOOKUP(K757,'#状态名词'!$J$1:$K$15,2,FALSE)))</f>
        <v>3</v>
      </c>
      <c r="AA757" s="20">
        <v>1</v>
      </c>
      <c r="AB757" s="20">
        <v>31095</v>
      </c>
      <c r="AC757" s="20">
        <v>100</v>
      </c>
      <c r="AD757" s="20">
        <v>0</v>
      </c>
    </row>
    <row r="758" spans="1:33">
      <c r="A758" s="20">
        <v>31096</v>
      </c>
      <c r="B758" s="20" t="s">
        <v>7318</v>
      </c>
      <c r="C758" s="21" t="s">
        <v>6115</v>
      </c>
      <c r="W758" s="20" t="str">
        <f>IF(Q758&lt;&gt;0,3,IF(K758="","",VLOOKUP(K758,'#状态名词'!$J$1:$K$15,2,FALSE)))</f>
        <v/>
      </c>
      <c r="AF758" s="20">
        <v>31096</v>
      </c>
      <c r="AG758" s="20">
        <v>2</v>
      </c>
    </row>
    <row r="759" spans="1:33">
      <c r="A759" s="20">
        <v>31097</v>
      </c>
      <c r="B759" s="20" t="s">
        <v>7319</v>
      </c>
      <c r="C759" s="21" t="s">
        <v>3693</v>
      </c>
      <c r="W759" s="20" t="str">
        <f>IF(Q759&lt;&gt;0,3,IF(K759="","",VLOOKUP(K759,'#状态名词'!$J$1:$K$15,2,FALSE)))</f>
        <v/>
      </c>
      <c r="AA759" s="20">
        <v>1</v>
      </c>
      <c r="AB759" s="20">
        <v>31097</v>
      </c>
      <c r="AC759" s="20">
        <v>100</v>
      </c>
      <c r="AD759" s="20">
        <v>1</v>
      </c>
    </row>
    <row r="760" spans="1:33">
      <c r="A760" s="20">
        <v>31098</v>
      </c>
      <c r="B760" s="20" t="s">
        <v>7316</v>
      </c>
      <c r="C760" s="21" t="s">
        <v>6882</v>
      </c>
      <c r="K760" s="20">
        <v>9</v>
      </c>
      <c r="W760" s="20">
        <f>IF(Q760&lt;&gt;0,3,IF(K760="","",VLOOKUP(K760,'#状态名词'!$J$1:$K$15,2,FALSE)))</f>
        <v>3</v>
      </c>
      <c r="AA760" s="20">
        <v>1</v>
      </c>
      <c r="AB760" s="20">
        <v>31098</v>
      </c>
      <c r="AC760" s="20">
        <v>100</v>
      </c>
      <c r="AD760" s="20">
        <v>1</v>
      </c>
    </row>
    <row r="761" spans="1:33">
      <c r="A761" s="20">
        <v>31099</v>
      </c>
      <c r="B761" s="20" t="s">
        <v>7320</v>
      </c>
      <c r="C761" s="21" t="s">
        <v>6114</v>
      </c>
      <c r="W761" s="20" t="str">
        <f>IF(Q761&lt;&gt;0,3,IF(K761="","",VLOOKUP(K761,'#状态名词'!$J$1:$K$15,2,FALSE)))</f>
        <v/>
      </c>
      <c r="AB761" s="19"/>
      <c r="AF761" s="19">
        <v>31099</v>
      </c>
      <c r="AG761" s="20">
        <v>2</v>
      </c>
    </row>
    <row r="762" spans="1:33">
      <c r="A762" s="20">
        <v>31100</v>
      </c>
      <c r="B762" s="20" t="s">
        <v>7321</v>
      </c>
      <c r="C762" s="21" t="s">
        <v>6536</v>
      </c>
      <c r="W762" s="20" t="str">
        <f>IF(Q762&lt;&gt;0,3,IF(K762="","",VLOOKUP(K762,'#状态名词'!$J$1:$K$15,2,FALSE)))</f>
        <v/>
      </c>
      <c r="AA762" s="20">
        <v>1</v>
      </c>
      <c r="AB762" s="19">
        <v>31100</v>
      </c>
      <c r="AC762" s="20">
        <v>100</v>
      </c>
      <c r="AD762" s="20">
        <v>1</v>
      </c>
    </row>
    <row r="763" spans="1:33">
      <c r="A763" s="20">
        <v>31101</v>
      </c>
      <c r="B763" s="20" t="s">
        <v>7317</v>
      </c>
      <c r="C763" s="21" t="s">
        <v>6113</v>
      </c>
      <c r="W763" s="20" t="str">
        <f>IF(Q763&lt;&gt;0,3,IF(K763="","",VLOOKUP(K763,'#状态名词'!$J$1:$K$15,2,FALSE)))</f>
        <v/>
      </c>
      <c r="AB763" s="19"/>
      <c r="AF763" s="19">
        <v>31101</v>
      </c>
      <c r="AG763" s="20">
        <v>1</v>
      </c>
    </row>
    <row r="764" spans="1:33">
      <c r="A764" s="20">
        <v>31102</v>
      </c>
      <c r="B764" s="20" t="s">
        <v>7322</v>
      </c>
      <c r="C764" s="21" t="s">
        <v>3698</v>
      </c>
      <c r="W764" s="20" t="str">
        <f>IF(Q764&lt;&gt;0,3,IF(K764="","",VLOOKUP(K764,'#状态名词'!$J$1:$K$15,2,FALSE)))</f>
        <v/>
      </c>
      <c r="AA764" s="20">
        <v>1</v>
      </c>
      <c r="AB764" s="19">
        <v>31102</v>
      </c>
      <c r="AC764" s="20">
        <v>100</v>
      </c>
      <c r="AD764" s="20">
        <v>1</v>
      </c>
    </row>
    <row r="765" spans="1:33">
      <c r="A765" s="20">
        <v>31103</v>
      </c>
      <c r="B765" s="20" t="s">
        <v>7323</v>
      </c>
      <c r="C765" s="21" t="s">
        <v>4543</v>
      </c>
      <c r="W765" s="20" t="str">
        <f>IF(Q765&lt;&gt;0,3,IF(K765="","",VLOOKUP(K765,'#状态名词'!$J$1:$K$15,2,FALSE)))</f>
        <v/>
      </c>
      <c r="AB765" s="19"/>
      <c r="AF765" s="19">
        <v>31103</v>
      </c>
      <c r="AG765" s="20">
        <v>2</v>
      </c>
    </row>
    <row r="766" spans="1:33">
      <c r="A766" s="20">
        <v>31104</v>
      </c>
      <c r="B766" s="20" t="s">
        <v>7230</v>
      </c>
      <c r="C766" s="21" t="s">
        <v>4544</v>
      </c>
      <c r="K766" s="20">
        <v>0</v>
      </c>
      <c r="W766" s="20">
        <f>IF(Q766&lt;&gt;0,3,IF(K766="","",VLOOKUP(K766,'#状态名词'!$J$1:$K$15,2,FALSE)))</f>
        <v>0</v>
      </c>
      <c r="AA766" s="20">
        <v>1</v>
      </c>
      <c r="AB766" s="19">
        <v>31104</v>
      </c>
      <c r="AC766" s="20">
        <v>100</v>
      </c>
      <c r="AD766" s="20">
        <v>1</v>
      </c>
    </row>
    <row r="767" spans="1:33">
      <c r="A767" s="20">
        <v>31105</v>
      </c>
      <c r="B767" s="20" t="s">
        <v>7324</v>
      </c>
      <c r="C767" s="21" t="s">
        <v>6104</v>
      </c>
      <c r="K767" s="20">
        <v>0</v>
      </c>
      <c r="W767" s="20">
        <f>IF(Q767&lt;&gt;0,3,IF(K767="","",VLOOKUP(K767,'#状态名词'!$J$1:$K$15,2,FALSE)))</f>
        <v>0</v>
      </c>
      <c r="AB767" s="19"/>
      <c r="AF767" s="19">
        <v>31105</v>
      </c>
      <c r="AG767" s="20">
        <v>1</v>
      </c>
    </row>
    <row r="768" spans="1:33">
      <c r="A768" s="20">
        <v>31106</v>
      </c>
      <c r="B768" s="20" t="s">
        <v>7325</v>
      </c>
      <c r="C768" s="21" t="s">
        <v>6105</v>
      </c>
      <c r="K768" s="20">
        <v>0</v>
      </c>
      <c r="W768" s="20">
        <f>IF(Q768&lt;&gt;0,3,IF(K768="","",VLOOKUP(K768,'#状态名词'!$J$1:$K$15,2,FALSE)))</f>
        <v>0</v>
      </c>
      <c r="AB768" s="19"/>
      <c r="AF768" s="19">
        <v>31106</v>
      </c>
      <c r="AG768" s="20">
        <v>1</v>
      </c>
    </row>
    <row r="769" spans="1:33">
      <c r="A769" s="20">
        <v>31107</v>
      </c>
      <c r="B769" s="20" t="s">
        <v>7326</v>
      </c>
      <c r="C769" s="21" t="s">
        <v>6106</v>
      </c>
      <c r="K769" s="20">
        <v>0</v>
      </c>
      <c r="W769" s="20">
        <f>IF(Q769&lt;&gt;0,3,IF(K769="","",VLOOKUP(K769,'#状态名词'!$J$1:$K$15,2,FALSE)))</f>
        <v>0</v>
      </c>
      <c r="AB769" s="19"/>
      <c r="AF769" s="19">
        <v>31107</v>
      </c>
      <c r="AG769" s="20">
        <v>1</v>
      </c>
    </row>
    <row r="770" spans="1:33">
      <c r="A770" s="20">
        <v>31108</v>
      </c>
      <c r="B770" s="20" t="s">
        <v>7327</v>
      </c>
      <c r="C770" s="21" t="s">
        <v>6107</v>
      </c>
      <c r="K770" s="20">
        <v>0</v>
      </c>
      <c r="W770" s="20">
        <f>IF(Q770&lt;&gt;0,3,IF(K770="","",VLOOKUP(K770,'#状态名词'!$J$1:$K$15,2,FALSE)))</f>
        <v>0</v>
      </c>
      <c r="AB770" s="19"/>
      <c r="AF770" s="19">
        <v>31108</v>
      </c>
      <c r="AG770" s="20">
        <v>1</v>
      </c>
    </row>
    <row r="771" spans="1:33">
      <c r="A771" s="20">
        <v>31109</v>
      </c>
      <c r="B771" s="20" t="s">
        <v>7328</v>
      </c>
      <c r="C771" s="21" t="s">
        <v>6108</v>
      </c>
      <c r="K771" s="20">
        <v>0</v>
      </c>
      <c r="W771" s="20">
        <f>IF(Q771&lt;&gt;0,3,IF(K771="","",VLOOKUP(K771,'#状态名词'!$J$1:$K$15,2,FALSE)))</f>
        <v>0</v>
      </c>
      <c r="AB771" s="19"/>
      <c r="AF771" s="19">
        <v>31109</v>
      </c>
      <c r="AG771" s="20">
        <v>1</v>
      </c>
    </row>
    <row r="772" spans="1:33">
      <c r="A772" s="20">
        <v>31110</v>
      </c>
      <c r="B772" s="20" t="s">
        <v>7329</v>
      </c>
      <c r="C772" s="21" t="s">
        <v>6109</v>
      </c>
      <c r="K772" s="20">
        <v>0</v>
      </c>
      <c r="W772" s="20">
        <f>IF(Q772&lt;&gt;0,3,IF(K772="","",VLOOKUP(K772,'#状态名词'!$J$1:$K$15,2,FALSE)))</f>
        <v>0</v>
      </c>
      <c r="AB772" s="19"/>
      <c r="AF772" s="19">
        <v>31110</v>
      </c>
      <c r="AG772" s="20">
        <v>1</v>
      </c>
    </row>
    <row r="773" spans="1:33">
      <c r="A773" s="20">
        <v>31111</v>
      </c>
      <c r="B773" s="20" t="s">
        <v>7330</v>
      </c>
      <c r="C773" s="21" t="s">
        <v>6110</v>
      </c>
      <c r="K773" s="20">
        <v>0</v>
      </c>
      <c r="W773" s="20">
        <f>IF(Q773&lt;&gt;0,3,IF(K773="","",VLOOKUP(K773,'#状态名词'!$J$1:$K$15,2,FALSE)))</f>
        <v>0</v>
      </c>
      <c r="AB773" s="19"/>
      <c r="AF773" s="19">
        <v>31111</v>
      </c>
      <c r="AG773" s="20">
        <v>1</v>
      </c>
    </row>
    <row r="774" spans="1:33">
      <c r="A774" s="20">
        <v>31112</v>
      </c>
      <c r="B774" s="20" t="s">
        <v>7331</v>
      </c>
      <c r="C774" s="21" t="s">
        <v>4552</v>
      </c>
      <c r="K774" s="20">
        <v>0</v>
      </c>
      <c r="W774" s="20">
        <f>IF(Q774&lt;&gt;0,3,IF(K774="","",VLOOKUP(K774,'#状态名词'!$J$1:$K$15,2,FALSE)))</f>
        <v>0</v>
      </c>
      <c r="AA774" s="20">
        <v>1</v>
      </c>
      <c r="AB774" s="19">
        <v>31112</v>
      </c>
      <c r="AC774" s="20">
        <v>100</v>
      </c>
      <c r="AD774" s="20">
        <v>1</v>
      </c>
    </row>
    <row r="775" spans="1:33" ht="40.5">
      <c r="A775" s="20">
        <v>31113</v>
      </c>
      <c r="B775" s="20" t="s">
        <v>7332</v>
      </c>
      <c r="C775" s="21" t="s">
        <v>6451</v>
      </c>
      <c r="K775" s="20">
        <v>9</v>
      </c>
      <c r="W775" s="20">
        <f>IF(Q775&lt;&gt;0,3,IF(K775="","",VLOOKUP(K775,'#状态名词'!$J$1:$K$15,2,FALSE)))</f>
        <v>3</v>
      </c>
      <c r="AA775" s="20">
        <v>1</v>
      </c>
      <c r="AB775" s="19">
        <v>31113</v>
      </c>
      <c r="AC775" s="20">
        <v>10</v>
      </c>
      <c r="AD775" s="20">
        <v>1</v>
      </c>
    </row>
    <row r="776" spans="1:33">
      <c r="A776" s="20">
        <v>31114</v>
      </c>
      <c r="B776" s="20" t="s">
        <v>7333</v>
      </c>
      <c r="C776" s="21" t="s">
        <v>6883</v>
      </c>
      <c r="F776" s="20">
        <v>30001</v>
      </c>
      <c r="K776" s="20">
        <v>9</v>
      </c>
      <c r="L776" s="20">
        <v>5</v>
      </c>
      <c r="P776" s="20">
        <v>3</v>
      </c>
      <c r="W776" s="20">
        <f>IF(Q776&lt;&gt;0,3,IF(K776="","",VLOOKUP(K776,'#状态名词'!$J$1:$K$15,2,FALSE)))</f>
        <v>3</v>
      </c>
      <c r="AB776" s="19"/>
    </row>
    <row r="777" spans="1:33">
      <c r="A777" s="20">
        <v>31115</v>
      </c>
      <c r="B777" s="65" t="s">
        <v>7334</v>
      </c>
      <c r="C777" s="21" t="s">
        <v>4553</v>
      </c>
      <c r="K777" s="20">
        <v>0</v>
      </c>
      <c r="W777" s="20">
        <f>IF(Q777&lt;&gt;0,3,IF(K777="","",VLOOKUP(K777,'#状态名词'!$J$1:$K$15,2,FALSE)))</f>
        <v>0</v>
      </c>
      <c r="AA777" s="20">
        <v>1</v>
      </c>
      <c r="AB777" s="19">
        <v>31115</v>
      </c>
      <c r="AC777" s="20">
        <v>100</v>
      </c>
      <c r="AD777" s="20">
        <v>1</v>
      </c>
    </row>
    <row r="778" spans="1:33">
      <c r="A778" s="20">
        <v>31116</v>
      </c>
      <c r="B778" s="65" t="s">
        <v>7335</v>
      </c>
      <c r="C778" s="21" t="s">
        <v>4554</v>
      </c>
      <c r="K778" s="20">
        <v>9</v>
      </c>
      <c r="W778" s="20">
        <f>IF(Q778&lt;&gt;0,3,IF(K778="","",VLOOKUP(K778,'#状态名词'!$J$1:$K$15,2,FALSE)))</f>
        <v>3</v>
      </c>
      <c r="AA778" s="20">
        <v>1</v>
      </c>
      <c r="AB778" s="19">
        <v>31116</v>
      </c>
      <c r="AC778" s="20">
        <v>100</v>
      </c>
      <c r="AD778" s="20">
        <v>1</v>
      </c>
    </row>
    <row r="779" spans="1:33">
      <c r="A779" s="20">
        <v>31117</v>
      </c>
      <c r="B779" s="65" t="s">
        <v>7336</v>
      </c>
      <c r="C779" s="21" t="s">
        <v>4555</v>
      </c>
      <c r="K779" s="20">
        <v>0</v>
      </c>
      <c r="W779" s="20">
        <f>IF(Q779&lt;&gt;0,3,IF(K779="","",VLOOKUP(K779,'#状态名词'!$J$1:$K$15,2,FALSE)))</f>
        <v>0</v>
      </c>
      <c r="AA779" s="20">
        <v>1</v>
      </c>
      <c r="AB779" s="19">
        <v>31117</v>
      </c>
      <c r="AC779" s="20">
        <v>100</v>
      </c>
      <c r="AD779" s="20">
        <v>1</v>
      </c>
    </row>
    <row r="780" spans="1:33">
      <c r="A780" s="20">
        <v>31118</v>
      </c>
      <c r="B780" s="65" t="s">
        <v>7337</v>
      </c>
      <c r="C780" s="21" t="s">
        <v>6884</v>
      </c>
      <c r="K780" s="20">
        <v>9</v>
      </c>
      <c r="W780" s="20">
        <f>IF(Q780&lt;&gt;0,3,IF(K780="","",VLOOKUP(K780,'#状态名词'!$J$1:$K$15,2,FALSE)))</f>
        <v>3</v>
      </c>
      <c r="AA780" s="20">
        <v>1</v>
      </c>
      <c r="AB780" s="19">
        <v>31118</v>
      </c>
      <c r="AC780" s="20">
        <v>100</v>
      </c>
      <c r="AD780" s="20">
        <v>1</v>
      </c>
    </row>
    <row r="781" spans="1:33">
      <c r="A781" s="20">
        <v>31119</v>
      </c>
      <c r="B781" s="65" t="s">
        <v>7338</v>
      </c>
      <c r="C781" s="21" t="s">
        <v>6626</v>
      </c>
      <c r="K781" s="20">
        <v>0</v>
      </c>
      <c r="W781" s="20">
        <f>IF(Q781&lt;&gt;0,3,IF(K781="","",VLOOKUP(K781,'#状态名词'!$J$1:$K$15,2,FALSE)))</f>
        <v>0</v>
      </c>
      <c r="AA781" s="20">
        <v>1</v>
      </c>
      <c r="AB781" s="19">
        <v>31119</v>
      </c>
      <c r="AC781" s="20">
        <v>100</v>
      </c>
      <c r="AD781" s="20">
        <v>1</v>
      </c>
    </row>
    <row r="782" spans="1:33">
      <c r="A782" s="20">
        <v>31120</v>
      </c>
      <c r="B782" s="65" t="s">
        <v>7339</v>
      </c>
      <c r="C782" s="21" t="s">
        <v>4494</v>
      </c>
      <c r="K782" s="20">
        <v>0</v>
      </c>
      <c r="W782" s="20">
        <f>IF(Q782&lt;&gt;0,3,IF(K782="","",VLOOKUP(K782,'#状态名词'!$J$1:$K$15,2,FALSE)))</f>
        <v>0</v>
      </c>
      <c r="AA782" s="20">
        <v>1</v>
      </c>
      <c r="AB782" s="19">
        <v>31120</v>
      </c>
      <c r="AC782" s="20">
        <v>100</v>
      </c>
      <c r="AD782" s="20">
        <v>1</v>
      </c>
    </row>
    <row r="783" spans="1:33">
      <c r="A783" s="20">
        <v>31121</v>
      </c>
      <c r="B783" s="65" t="s">
        <v>7340</v>
      </c>
      <c r="C783" s="21" t="s">
        <v>6111</v>
      </c>
      <c r="K783" s="20">
        <v>0</v>
      </c>
      <c r="W783" s="20">
        <f>IF(Q783&lt;&gt;0,3,IF(K783="","",VLOOKUP(K783,'#状态名词'!$J$1:$K$15,2,FALSE)))</f>
        <v>0</v>
      </c>
      <c r="AB783" s="19"/>
      <c r="AF783" s="19">
        <v>31121</v>
      </c>
      <c r="AG783" s="20">
        <v>1</v>
      </c>
    </row>
    <row r="784" spans="1:33">
      <c r="A784" s="20">
        <v>31122</v>
      </c>
      <c r="B784" s="65" t="s">
        <v>7341</v>
      </c>
      <c r="C784" s="21" t="s">
        <v>6112</v>
      </c>
      <c r="K784" s="20">
        <v>0</v>
      </c>
      <c r="W784" s="20">
        <f>IF(Q784&lt;&gt;0,3,IF(K784="","",VLOOKUP(K784,'#状态名词'!$J$1:$K$15,2,FALSE)))</f>
        <v>0</v>
      </c>
      <c r="AB784" s="19"/>
      <c r="AF784" s="19">
        <v>31122</v>
      </c>
      <c r="AG784" s="20">
        <v>1</v>
      </c>
    </row>
    <row r="785" spans="1:30">
      <c r="A785" s="20">
        <v>31123</v>
      </c>
      <c r="B785" s="65" t="s">
        <v>7342</v>
      </c>
      <c r="C785" s="21" t="s">
        <v>6452</v>
      </c>
      <c r="K785" s="20">
        <v>0</v>
      </c>
      <c r="W785" s="20">
        <f>IF(Q785&lt;&gt;0,3,IF(K785="","",VLOOKUP(K785,'#状态名词'!$J$1:$K$15,2,FALSE)))</f>
        <v>0</v>
      </c>
      <c r="AA785" s="20">
        <v>1</v>
      </c>
      <c r="AB785" s="19">
        <v>31123</v>
      </c>
      <c r="AC785" s="20">
        <v>100</v>
      </c>
      <c r="AD785" s="20">
        <v>1</v>
      </c>
    </row>
    <row r="786" spans="1:30">
      <c r="A786" s="20">
        <v>31124</v>
      </c>
      <c r="B786" s="65" t="s">
        <v>7343</v>
      </c>
      <c r="C786" s="21" t="s">
        <v>6885</v>
      </c>
      <c r="K786" s="20">
        <v>6</v>
      </c>
      <c r="W786" s="20">
        <f>IF(Q786&lt;&gt;0,3,IF(K786="","",VLOOKUP(K786,'#状态名词'!$J$1:$K$15,2,FALSE)))</f>
        <v>3</v>
      </c>
      <c r="AA786" s="20">
        <v>1</v>
      </c>
      <c r="AB786" s="19">
        <v>31124</v>
      </c>
      <c r="AC786" s="20">
        <v>100</v>
      </c>
      <c r="AD786" s="20">
        <v>1</v>
      </c>
    </row>
    <row r="787" spans="1:30">
      <c r="A787" s="20">
        <v>31125</v>
      </c>
      <c r="B787" s="20" t="s">
        <v>7344</v>
      </c>
      <c r="C787" s="21" t="s">
        <v>4562</v>
      </c>
      <c r="K787" s="20">
        <v>0</v>
      </c>
      <c r="W787" s="20">
        <f>IF(Q787&lt;&gt;0,3,IF(K787="","",VLOOKUP(K787,'#状态名词'!$J$1:$K$15,2,FALSE)))</f>
        <v>0</v>
      </c>
      <c r="AA787" s="20">
        <v>1</v>
      </c>
      <c r="AB787" s="19">
        <v>31125</v>
      </c>
      <c r="AC787" s="20">
        <v>100</v>
      </c>
      <c r="AD787" s="20">
        <v>1</v>
      </c>
    </row>
    <row r="788" spans="1:30">
      <c r="A788" s="20">
        <v>31126</v>
      </c>
      <c r="B788" s="20" t="s">
        <v>7345</v>
      </c>
      <c r="C788" s="21" t="s">
        <v>4563</v>
      </c>
      <c r="K788" s="20">
        <v>0</v>
      </c>
      <c r="W788" s="20">
        <f>IF(Q788&lt;&gt;0,3,IF(K788="","",VLOOKUP(K788,'#状态名词'!$J$1:$K$15,2,FALSE)))</f>
        <v>0</v>
      </c>
      <c r="AA788" s="20">
        <v>1</v>
      </c>
      <c r="AB788" s="19">
        <v>31126</v>
      </c>
      <c r="AC788" s="20">
        <v>100</v>
      </c>
      <c r="AD788" s="20">
        <v>1</v>
      </c>
    </row>
    <row r="789" spans="1:30">
      <c r="A789" s="20">
        <v>31127</v>
      </c>
      <c r="B789" s="65" t="s">
        <v>7346</v>
      </c>
      <c r="C789" s="21" t="s">
        <v>4564</v>
      </c>
      <c r="K789" s="20">
        <v>0</v>
      </c>
      <c r="W789" s="20">
        <f>IF(Q789&lt;&gt;0,3,IF(K789="","",VLOOKUP(K789,'#状态名词'!$J$1:$K$15,2,FALSE)))</f>
        <v>0</v>
      </c>
      <c r="AA789" s="20">
        <v>1</v>
      </c>
      <c r="AB789" s="19">
        <v>31127</v>
      </c>
      <c r="AC789" s="20">
        <v>100</v>
      </c>
      <c r="AD789" s="20">
        <v>1</v>
      </c>
    </row>
    <row r="790" spans="1:30">
      <c r="A790" s="20">
        <v>31128</v>
      </c>
      <c r="B790" s="65" t="s">
        <v>7347</v>
      </c>
      <c r="C790" s="21" t="s">
        <v>4565</v>
      </c>
      <c r="K790" s="20">
        <v>0</v>
      </c>
      <c r="W790" s="20">
        <f>IF(Q790&lt;&gt;0,3,IF(K790="","",VLOOKUP(K790,'#状态名词'!$J$1:$K$15,2,FALSE)))</f>
        <v>0</v>
      </c>
      <c r="AA790" s="20">
        <v>1</v>
      </c>
      <c r="AB790" s="19">
        <v>31128</v>
      </c>
      <c r="AC790" s="20">
        <v>100</v>
      </c>
      <c r="AD790" s="20">
        <v>1</v>
      </c>
    </row>
    <row r="791" spans="1:30">
      <c r="A791" s="20">
        <v>31129</v>
      </c>
      <c r="B791" s="65" t="s">
        <v>7348</v>
      </c>
      <c r="C791" s="21" t="s">
        <v>4566</v>
      </c>
      <c r="K791" s="20">
        <v>0</v>
      </c>
      <c r="W791" s="20">
        <f>IF(Q791&lt;&gt;0,3,IF(K791="","",VLOOKUP(K791,'#状态名词'!$J$1:$K$15,2,FALSE)))</f>
        <v>0</v>
      </c>
      <c r="AA791" s="20">
        <v>1</v>
      </c>
      <c r="AB791" s="19">
        <v>31129</v>
      </c>
      <c r="AC791" s="20">
        <v>100</v>
      </c>
      <c r="AD791" s="20">
        <v>1</v>
      </c>
    </row>
    <row r="792" spans="1:30">
      <c r="A792" s="20">
        <v>31130</v>
      </c>
      <c r="B792" s="65" t="s">
        <v>7349</v>
      </c>
      <c r="C792" s="21" t="s">
        <v>7818</v>
      </c>
      <c r="K792" s="20">
        <v>0</v>
      </c>
      <c r="W792" s="20">
        <f>IF(Q792&lt;&gt;0,3,IF(K792="","",VLOOKUP(K792,'#状态名词'!$J$1:$K$15,2,FALSE)))</f>
        <v>0</v>
      </c>
      <c r="AA792" s="20">
        <v>1</v>
      </c>
      <c r="AB792" s="19">
        <v>31130</v>
      </c>
      <c r="AC792" s="20">
        <v>100</v>
      </c>
      <c r="AD792" s="20">
        <v>1</v>
      </c>
    </row>
    <row r="793" spans="1:30">
      <c r="A793" s="20">
        <v>31131</v>
      </c>
      <c r="B793" s="65" t="s">
        <v>7350</v>
      </c>
      <c r="C793" s="21" t="s">
        <v>4568</v>
      </c>
      <c r="K793" s="20">
        <v>0</v>
      </c>
      <c r="W793" s="20">
        <f>IF(Q793&lt;&gt;0,3,IF(K793="","",VLOOKUP(K793,'#状态名词'!$J$1:$K$15,2,FALSE)))</f>
        <v>0</v>
      </c>
      <c r="AA793" s="20">
        <v>1</v>
      </c>
      <c r="AB793" s="20">
        <v>31131</v>
      </c>
      <c r="AC793" s="20">
        <v>100</v>
      </c>
      <c r="AD793" s="20">
        <v>1</v>
      </c>
    </row>
    <row r="794" spans="1:30">
      <c r="A794" s="20">
        <v>31132</v>
      </c>
      <c r="B794" s="65" t="s">
        <v>7351</v>
      </c>
      <c r="C794" s="21" t="s">
        <v>6886</v>
      </c>
      <c r="K794" s="20">
        <v>9</v>
      </c>
      <c r="W794" s="20">
        <f>IF(Q794&lt;&gt;0,3,IF(K794="","",VLOOKUP(K794,'#状态名词'!$J$1:$K$15,2,FALSE)))</f>
        <v>3</v>
      </c>
      <c r="AA794" s="20">
        <v>1</v>
      </c>
      <c r="AB794" s="20">
        <v>31132</v>
      </c>
      <c r="AC794" s="20">
        <v>100</v>
      </c>
      <c r="AD794" s="20">
        <v>0</v>
      </c>
    </row>
    <row r="795" spans="1:30">
      <c r="A795" s="20">
        <v>31133</v>
      </c>
      <c r="B795" s="65" t="s">
        <v>7352</v>
      </c>
      <c r="C795" s="21" t="s">
        <v>4570</v>
      </c>
      <c r="W795" s="20" t="str">
        <f>IF(Q795&lt;&gt;0,3,IF(K795="","",VLOOKUP(K795,'#状态名词'!$J$1:$K$15,2,FALSE)))</f>
        <v/>
      </c>
      <c r="AA795" s="20">
        <v>1</v>
      </c>
      <c r="AB795" s="20">
        <v>31133</v>
      </c>
      <c r="AC795" s="20">
        <v>100</v>
      </c>
      <c r="AD795" s="20">
        <v>1</v>
      </c>
    </row>
    <row r="796" spans="1:30">
      <c r="A796" s="20">
        <v>31134</v>
      </c>
      <c r="B796" s="65" t="s">
        <v>7353</v>
      </c>
      <c r="C796" s="21" t="s">
        <v>6983</v>
      </c>
      <c r="W796" s="20" t="str">
        <f>IF(Q796&lt;&gt;0,3,IF(K796="","",VLOOKUP(K796,'#状态名词'!$J$1:$K$15,2,FALSE)))</f>
        <v/>
      </c>
      <c r="AA796" s="20">
        <v>1</v>
      </c>
      <c r="AB796" s="20">
        <v>31134</v>
      </c>
      <c r="AC796" s="20">
        <v>100</v>
      </c>
      <c r="AD796" s="20">
        <v>1</v>
      </c>
    </row>
    <row r="797" spans="1:30">
      <c r="A797" s="20">
        <v>31135</v>
      </c>
      <c r="B797" s="65" t="s">
        <v>7231</v>
      </c>
      <c r="C797" s="21" t="s">
        <v>3815</v>
      </c>
      <c r="W797" s="20" t="str">
        <f>IF(Q797&lt;&gt;0,3,IF(K797="","",VLOOKUP(K797,'#状态名词'!$J$1:$K$15,2,FALSE)))</f>
        <v/>
      </c>
      <c r="AA797" s="20">
        <v>1</v>
      </c>
      <c r="AB797" s="20">
        <v>31135</v>
      </c>
      <c r="AC797" s="20">
        <v>100</v>
      </c>
      <c r="AD797" s="20">
        <v>1</v>
      </c>
    </row>
    <row r="798" spans="1:30">
      <c r="A798" s="20">
        <v>31136</v>
      </c>
      <c r="B798" s="20" t="s">
        <v>7026</v>
      </c>
      <c r="C798" s="21" t="s">
        <v>4527</v>
      </c>
      <c r="F798" s="20">
        <v>5000</v>
      </c>
      <c r="K798" s="20">
        <v>5</v>
      </c>
      <c r="L798" s="20">
        <v>100</v>
      </c>
      <c r="N798" s="20">
        <v>4</v>
      </c>
      <c r="O798" s="20">
        <v>1</v>
      </c>
      <c r="W798" s="20">
        <f>IF(Q798&lt;&gt;0,3,IF(K798="","",VLOOKUP(K798,'#状态名词'!$J$1:$K$15,2,FALSE)))</f>
        <v>1</v>
      </c>
    </row>
    <row r="799" spans="1:30">
      <c r="A799" s="20">
        <v>31137</v>
      </c>
      <c r="B799" s="20" t="s">
        <v>7294</v>
      </c>
      <c r="C799" s="21" t="s">
        <v>4532</v>
      </c>
      <c r="F799" s="20" t="s">
        <v>4533</v>
      </c>
      <c r="K799" s="20">
        <v>5</v>
      </c>
      <c r="L799" s="20">
        <v>100</v>
      </c>
      <c r="N799" s="20">
        <v>1</v>
      </c>
      <c r="O799" s="20">
        <v>1</v>
      </c>
      <c r="W799" s="20">
        <f>IF(Q799&lt;&gt;0,3,IF(K799="","",VLOOKUP(K799,'#状态名词'!$J$1:$K$15,2,FALSE)))</f>
        <v>1</v>
      </c>
    </row>
    <row r="800" spans="1:30" ht="27">
      <c r="A800" s="20">
        <v>31138</v>
      </c>
      <c r="B800" s="20" t="s">
        <v>4572</v>
      </c>
      <c r="C800" s="21" t="s">
        <v>6453</v>
      </c>
      <c r="K800" s="20">
        <v>5</v>
      </c>
      <c r="W800" s="20">
        <f>IF(Q800&lt;&gt;0,3,IF(K800="","",VLOOKUP(K800,'#状态名词'!$J$1:$K$15,2,FALSE)))</f>
        <v>1</v>
      </c>
      <c r="AA800" s="20">
        <v>1</v>
      </c>
      <c r="AB800" s="19">
        <v>31136</v>
      </c>
      <c r="AC800" s="20">
        <v>20</v>
      </c>
      <c r="AD800" s="20">
        <v>1</v>
      </c>
    </row>
    <row r="801" spans="1:31">
      <c r="W801" s="20" t="str">
        <f>IF(Q801&lt;&gt;0,3,IF(K801="","",VLOOKUP(K801,'#状态名词'!$J$1:$K$15,2,FALSE)))</f>
        <v/>
      </c>
      <c r="AA801" s="20">
        <v>1</v>
      </c>
      <c r="AB801" s="19">
        <v>31137</v>
      </c>
      <c r="AC801" s="20">
        <v>20</v>
      </c>
      <c r="AD801" s="20">
        <v>1</v>
      </c>
    </row>
    <row r="802" spans="1:31">
      <c r="W802" s="20" t="str">
        <f>IF(Q802&lt;&gt;0,3,IF(K802="","",VLOOKUP(K802,'#状态名词'!$J$1:$K$15,2,FALSE)))</f>
        <v/>
      </c>
      <c r="AA802" s="20">
        <v>1</v>
      </c>
      <c r="AB802" s="19">
        <v>31138</v>
      </c>
      <c r="AC802" s="20">
        <v>20</v>
      </c>
      <c r="AD802" s="20">
        <v>1</v>
      </c>
    </row>
    <row r="803" spans="1:31">
      <c r="W803" s="20" t="str">
        <f>IF(Q803&lt;&gt;0,3,IF(K803="","",VLOOKUP(K803,'#状态名词'!$J$1:$K$15,2,FALSE)))</f>
        <v/>
      </c>
      <c r="AA803" s="20">
        <v>1</v>
      </c>
      <c r="AB803" s="20">
        <v>31139</v>
      </c>
      <c r="AC803" s="20">
        <v>20</v>
      </c>
      <c r="AD803" s="20">
        <v>1</v>
      </c>
    </row>
    <row r="804" spans="1:31">
      <c r="W804" s="20" t="str">
        <f>IF(Q804&lt;&gt;0,3,IF(K804="","",VLOOKUP(K804,'#状态名词'!$J$1:$K$15,2,FALSE)))</f>
        <v/>
      </c>
      <c r="AA804" s="20">
        <v>1</v>
      </c>
      <c r="AB804" s="20">
        <v>31140</v>
      </c>
      <c r="AC804" s="20">
        <v>20</v>
      </c>
      <c r="AD804" s="20">
        <v>1</v>
      </c>
    </row>
    <row r="805" spans="1:31">
      <c r="A805" s="20">
        <v>31139</v>
      </c>
      <c r="B805" s="20" t="s">
        <v>7354</v>
      </c>
      <c r="C805" s="21" t="s">
        <v>9275</v>
      </c>
      <c r="W805" s="20" t="str">
        <f>IF(Q805&lt;&gt;0,3,IF(K805="","",VLOOKUP(K805,'#状态名词'!$J$1:$K$15,2,FALSE)))</f>
        <v/>
      </c>
      <c r="AA805" s="20">
        <v>1</v>
      </c>
      <c r="AB805" s="20">
        <v>31141</v>
      </c>
      <c r="AC805" s="20">
        <v>100</v>
      </c>
      <c r="AD805" s="20">
        <v>1</v>
      </c>
    </row>
    <row r="806" spans="1:31">
      <c r="A806" s="20">
        <v>31140</v>
      </c>
      <c r="B806" s="20" t="s">
        <v>7355</v>
      </c>
      <c r="C806" s="21" t="s">
        <v>9274</v>
      </c>
      <c r="K806" s="20">
        <v>9</v>
      </c>
      <c r="W806" s="20">
        <f>IF(Q806&lt;&gt;0,3,IF(K806="","",VLOOKUP(K806,'#状态名词'!$J$1:$K$15,2,FALSE)))</f>
        <v>3</v>
      </c>
      <c r="AA806" s="20">
        <v>1</v>
      </c>
      <c r="AB806" s="20">
        <v>31142</v>
      </c>
      <c r="AC806" s="20">
        <v>10</v>
      </c>
      <c r="AD806" s="20">
        <v>1</v>
      </c>
    </row>
    <row r="807" spans="1:31">
      <c r="A807" s="20">
        <v>31141</v>
      </c>
      <c r="B807" s="65" t="s">
        <v>7232</v>
      </c>
      <c r="C807" s="21" t="s">
        <v>6524</v>
      </c>
      <c r="W807" s="20" t="str">
        <f>IF(Q807&lt;&gt;0,3,IF(K807="","",VLOOKUP(K807,'#状态名词'!$J$1:$K$15,2,FALSE)))</f>
        <v/>
      </c>
      <c r="AA807" s="20">
        <v>1</v>
      </c>
      <c r="AB807" s="20">
        <v>31143</v>
      </c>
      <c r="AC807" s="20">
        <v>100</v>
      </c>
      <c r="AD807" s="20">
        <v>1</v>
      </c>
    </row>
    <row r="808" spans="1:31">
      <c r="A808" s="20">
        <v>31142</v>
      </c>
      <c r="B808" s="20" t="s">
        <v>7233</v>
      </c>
      <c r="C808" s="21" t="s">
        <v>6994</v>
      </c>
      <c r="W808" s="20" t="str">
        <f>IF(Q808&lt;&gt;0,3,IF(K808="","",VLOOKUP(K808,'#状态名词'!$J$1:$K$15,2,FALSE)))</f>
        <v/>
      </c>
      <c r="AA808" s="20">
        <v>1</v>
      </c>
      <c r="AB808" s="20">
        <v>31144</v>
      </c>
      <c r="AC808" s="20">
        <v>100</v>
      </c>
      <c r="AD808" s="20">
        <v>1</v>
      </c>
    </row>
    <row r="809" spans="1:31">
      <c r="A809" s="20">
        <v>31143</v>
      </c>
      <c r="B809" s="20" t="s">
        <v>7502</v>
      </c>
      <c r="C809" s="21" t="s">
        <v>7811</v>
      </c>
      <c r="K809" s="20">
        <v>6</v>
      </c>
      <c r="W809" s="20">
        <f>IF(Q809&lt;&gt;0,3,IF(K809="","",VLOOKUP(K809,'#状态名词'!$J$1:$K$15,2,FALSE)))</f>
        <v>3</v>
      </c>
      <c r="AA809" s="20">
        <v>1</v>
      </c>
      <c r="AB809" s="20">
        <v>31150</v>
      </c>
      <c r="AC809" s="20">
        <v>100</v>
      </c>
      <c r="AD809" s="20">
        <v>1</v>
      </c>
    </row>
    <row r="810" spans="1:31">
      <c r="A810" s="20">
        <v>31144</v>
      </c>
      <c r="B810" s="20" t="s">
        <v>7484</v>
      </c>
      <c r="C810" s="21" t="s">
        <v>7490</v>
      </c>
      <c r="G810" s="20">
        <v>33848</v>
      </c>
      <c r="K810" s="20">
        <v>9</v>
      </c>
      <c r="W810" s="20">
        <f>IF(Q810&lt;&gt;0,3,IF(K810="","",VLOOKUP(K810,'#状态名词'!$J$1:$K$15,2,FALSE)))</f>
        <v>3</v>
      </c>
      <c r="Y810" s="20">
        <v>1</v>
      </c>
      <c r="AA810" s="20">
        <v>1</v>
      </c>
      <c r="AB810" s="20">
        <v>31151</v>
      </c>
      <c r="AC810" s="20">
        <v>100</v>
      </c>
      <c r="AD810" s="20">
        <v>0</v>
      </c>
    </row>
    <row r="811" spans="1:31">
      <c r="W811" s="20" t="str">
        <f>IF(Q811&lt;&gt;0,3,IF(K811="","",VLOOKUP(K811,'#状态名词'!$J$1:$K$15,2,FALSE)))</f>
        <v/>
      </c>
      <c r="AA811" s="20">
        <v>1</v>
      </c>
      <c r="AB811" s="20">
        <v>3</v>
      </c>
      <c r="AC811" s="20">
        <v>100</v>
      </c>
      <c r="AD811" s="20">
        <v>0</v>
      </c>
      <c r="AE811" s="20">
        <v>2</v>
      </c>
    </row>
    <row r="812" spans="1:31">
      <c r="A812" s="20">
        <v>31145</v>
      </c>
      <c r="B812" s="20" t="s">
        <v>7485</v>
      </c>
      <c r="C812" s="21" t="s">
        <v>7523</v>
      </c>
      <c r="W812" s="20" t="str">
        <f>IF(Q812&lt;&gt;0,3,IF(K812="","",VLOOKUP(K812,'#状态名词'!$J$1:$K$15,2,FALSE)))</f>
        <v/>
      </c>
      <c r="Y812" s="20">
        <v>1</v>
      </c>
      <c r="Z812" s="20">
        <v>31151</v>
      </c>
      <c r="AA812" s="20">
        <v>1</v>
      </c>
      <c r="AB812" s="20">
        <v>31145</v>
      </c>
      <c r="AC812" s="20">
        <v>100</v>
      </c>
      <c r="AD812" s="20">
        <v>1</v>
      </c>
    </row>
    <row r="813" spans="1:31">
      <c r="A813" s="37">
        <v>31146</v>
      </c>
      <c r="B813" s="20" t="s">
        <v>7486</v>
      </c>
      <c r="C813" s="20" t="s">
        <v>8152</v>
      </c>
      <c r="K813" s="20">
        <v>6</v>
      </c>
      <c r="W813" s="20">
        <f>IF(Q813&lt;&gt;0,3,IF(K813="","",VLOOKUP(K813,'#状态名词'!$J$1:$K$15,2,FALSE)))</f>
        <v>3</v>
      </c>
      <c r="AA813" s="20">
        <v>1</v>
      </c>
      <c r="AB813" s="20">
        <v>2</v>
      </c>
      <c r="AC813" s="20">
        <v>100</v>
      </c>
      <c r="AD813" s="20">
        <v>0</v>
      </c>
    </row>
    <row r="814" spans="1:31">
      <c r="A814" s="37"/>
      <c r="C814" s="20"/>
      <c r="AA814" s="20">
        <v>1</v>
      </c>
      <c r="AB814" s="20">
        <v>4</v>
      </c>
      <c r="AC814" s="20">
        <v>100</v>
      </c>
      <c r="AD814" s="20">
        <v>0</v>
      </c>
    </row>
    <row r="815" spans="1:31">
      <c r="A815" s="37"/>
      <c r="C815" s="20"/>
      <c r="AA815" s="20">
        <v>1</v>
      </c>
      <c r="AB815" s="20">
        <v>5</v>
      </c>
      <c r="AC815" s="20">
        <v>100</v>
      </c>
      <c r="AD815" s="20">
        <v>0</v>
      </c>
    </row>
    <row r="816" spans="1:31">
      <c r="A816" s="37">
        <v>31147</v>
      </c>
      <c r="B816" s="20" t="s">
        <v>7487</v>
      </c>
      <c r="C816" s="21" t="s">
        <v>8842</v>
      </c>
      <c r="K816" s="20">
        <v>6</v>
      </c>
      <c r="W816" s="20">
        <f>IF(Q816&lt;&gt;0,3,IF(K816="","",VLOOKUP(K816,'#状态名词'!$J$1:$K$15,2,FALSE)))</f>
        <v>3</v>
      </c>
      <c r="AA816" s="20">
        <v>1</v>
      </c>
      <c r="AB816" s="20">
        <v>31146</v>
      </c>
      <c r="AC816" s="20">
        <v>100</v>
      </c>
      <c r="AD816" s="20">
        <v>1</v>
      </c>
    </row>
    <row r="817" spans="1:31">
      <c r="A817" s="20">
        <v>31148</v>
      </c>
      <c r="B817" s="20" t="s">
        <v>7488</v>
      </c>
      <c r="C817" s="21" t="s">
        <v>7517</v>
      </c>
      <c r="K817" s="20">
        <v>15</v>
      </c>
      <c r="W817" s="20">
        <f>IF(Q817&lt;&gt;0,3,IF(K817="","",VLOOKUP(K817,'#状态名词'!$J$1:$K$15,2,FALSE)))</f>
        <v>0</v>
      </c>
      <c r="AA817" s="20">
        <v>1</v>
      </c>
      <c r="AB817" s="20">
        <v>31148</v>
      </c>
      <c r="AC817" s="20">
        <v>100</v>
      </c>
      <c r="AD817" s="20">
        <v>1</v>
      </c>
    </row>
    <row r="818" spans="1:31">
      <c r="A818" s="20">
        <v>31149</v>
      </c>
      <c r="B818" s="20" t="s">
        <v>7489</v>
      </c>
      <c r="C818" s="21" t="s">
        <v>7518</v>
      </c>
      <c r="K818" s="20">
        <v>15</v>
      </c>
      <c r="W818" s="20">
        <f>IF(Q818&lt;&gt;0,3,IF(K818="","",VLOOKUP(K818,'#状态名词'!$J$1:$K$15,2,FALSE)))</f>
        <v>0</v>
      </c>
      <c r="AA818" s="20">
        <v>1</v>
      </c>
      <c r="AB818" s="20">
        <v>31149</v>
      </c>
      <c r="AC818" s="20">
        <v>100</v>
      </c>
      <c r="AD818" s="20">
        <v>1</v>
      </c>
    </row>
    <row r="819" spans="1:31">
      <c r="A819" s="20">
        <v>31150</v>
      </c>
      <c r="B819" s="20" t="s">
        <v>8139</v>
      </c>
      <c r="C819" s="21" t="s">
        <v>8154</v>
      </c>
      <c r="K819" s="20">
        <v>6</v>
      </c>
      <c r="W819" s="20">
        <f>IF(Q819&lt;&gt;0,3,IF(K819="","",VLOOKUP(K819,'#状态名词'!$J$1:$K$15,2,FALSE)))</f>
        <v>3</v>
      </c>
      <c r="AA819" s="20">
        <v>1</v>
      </c>
      <c r="AB819" s="20">
        <v>31147</v>
      </c>
      <c r="AC819" s="20">
        <v>100</v>
      </c>
      <c r="AD819" s="20">
        <v>1</v>
      </c>
    </row>
    <row r="820" spans="1:31">
      <c r="A820" s="20">
        <v>31151</v>
      </c>
      <c r="B820" s="20" t="s">
        <v>7485</v>
      </c>
      <c r="C820" s="21" t="s">
        <v>8140</v>
      </c>
      <c r="G820" s="20">
        <v>33848</v>
      </c>
      <c r="K820" s="20">
        <v>9</v>
      </c>
      <c r="W820" s="20">
        <f>IF(Q820&lt;&gt;0,3,IF(K820="","",VLOOKUP(K820,'#状态名词'!$J$1:$K$15,2,FALSE)))</f>
        <v>3</v>
      </c>
      <c r="AA820" s="20">
        <v>1</v>
      </c>
      <c r="AB820" s="20">
        <v>13</v>
      </c>
      <c r="AC820" s="20">
        <v>100</v>
      </c>
      <c r="AD820" s="20">
        <v>0</v>
      </c>
      <c r="AE820" s="20">
        <v>2</v>
      </c>
    </row>
    <row r="821" spans="1:31">
      <c r="A821" s="75">
        <v>31152</v>
      </c>
      <c r="B821" s="20" t="s">
        <v>8839</v>
      </c>
      <c r="C821" s="21" t="s">
        <v>8843</v>
      </c>
      <c r="W821" s="20" t="str">
        <f>IF(Q821&lt;&gt;0,3,IF(K821="","",VLOOKUP(K821,'#状态名词'!$J$1:$K$15,2,FALSE)))</f>
        <v/>
      </c>
      <c r="Y821" s="20">
        <v>1</v>
      </c>
      <c r="Z821" s="20">
        <v>31154</v>
      </c>
      <c r="AA821" s="20">
        <v>1</v>
      </c>
      <c r="AB821" s="20">
        <v>31152</v>
      </c>
      <c r="AC821" s="20">
        <v>100</v>
      </c>
      <c r="AD821" s="20">
        <v>1</v>
      </c>
    </row>
    <row r="822" spans="1:31">
      <c r="A822" s="75">
        <v>31153</v>
      </c>
      <c r="B822" s="20" t="s">
        <v>8841</v>
      </c>
      <c r="C822" s="21" t="s">
        <v>8845</v>
      </c>
      <c r="W822" s="20" t="str">
        <f>IF(Q822&lt;&gt;0,3,IF(K822="","",VLOOKUP(K822,'#状态名词'!$J$1:$K$15,2,FALSE)))</f>
        <v/>
      </c>
      <c r="AA822" s="20">
        <v>1</v>
      </c>
      <c r="AB822" s="20">
        <v>31153</v>
      </c>
      <c r="AC822" s="20">
        <v>100</v>
      </c>
      <c r="AD822" s="20">
        <v>1</v>
      </c>
    </row>
    <row r="823" spans="1:31">
      <c r="A823" s="75">
        <v>31154</v>
      </c>
      <c r="B823" s="20" t="s">
        <v>8839</v>
      </c>
      <c r="C823" s="21" t="s">
        <v>8843</v>
      </c>
      <c r="K823" s="20">
        <v>6</v>
      </c>
      <c r="W823" s="20">
        <f>IF(Q823&lt;&gt;0,3,IF(K823="","",VLOOKUP(K823,'#状态名词'!$J$1:$K$15,2,FALSE)))</f>
        <v>3</v>
      </c>
      <c r="AA823" s="20">
        <v>1</v>
      </c>
      <c r="AB823" s="20">
        <v>31154</v>
      </c>
      <c r="AC823" s="20">
        <v>100</v>
      </c>
      <c r="AD823" s="20">
        <v>1</v>
      </c>
    </row>
    <row r="824" spans="1:31">
      <c r="A824" s="75">
        <v>31155</v>
      </c>
      <c r="B824" s="20" t="s">
        <v>9226</v>
      </c>
      <c r="C824" s="21" t="s">
        <v>9229</v>
      </c>
      <c r="K824" s="20">
        <v>9</v>
      </c>
      <c r="W824" s="20">
        <f>IF(Q824&lt;&gt;0,3,IF(K824="","",VLOOKUP(K824,'#状态名词'!$J$1:$K$15,2,FALSE)))</f>
        <v>3</v>
      </c>
      <c r="AA824" s="20">
        <v>1</v>
      </c>
      <c r="AB824" s="20">
        <v>31155</v>
      </c>
      <c r="AC824" s="20">
        <v>8</v>
      </c>
      <c r="AD824" s="20">
        <v>1</v>
      </c>
    </row>
    <row r="825" spans="1:31">
      <c r="A825" s="75">
        <v>31156</v>
      </c>
      <c r="B825" s="20" t="s">
        <v>9227</v>
      </c>
      <c r="C825" s="21" t="s">
        <v>9230</v>
      </c>
      <c r="K825" s="20">
        <v>9</v>
      </c>
      <c r="W825" s="20">
        <f>IF(Q825&lt;&gt;0,3,IF(K825="","",VLOOKUP(K825,'#状态名词'!$J$1:$K$15,2,FALSE)))</f>
        <v>3</v>
      </c>
      <c r="AA825" s="20">
        <v>1</v>
      </c>
      <c r="AB825" s="20">
        <v>31156</v>
      </c>
      <c r="AC825" s="20">
        <v>100</v>
      </c>
      <c r="AD825" s="20">
        <v>0</v>
      </c>
    </row>
    <row r="826" spans="1:31">
      <c r="A826" s="75">
        <v>31157</v>
      </c>
      <c r="B826" s="20" t="s">
        <v>9228</v>
      </c>
      <c r="C826" s="21" t="s">
        <v>9231</v>
      </c>
      <c r="W826" s="20" t="str">
        <f>IF(Q826&lt;&gt;0,3,IF(K826="","",VLOOKUP(K826,'#状态名词'!$J$1:$K$15,2,FALSE)))</f>
        <v/>
      </c>
      <c r="AA826" s="20">
        <v>1</v>
      </c>
      <c r="AB826" s="20">
        <v>31157</v>
      </c>
      <c r="AC826" s="20">
        <v>100</v>
      </c>
      <c r="AD826" s="20">
        <v>1</v>
      </c>
    </row>
    <row r="827" spans="1:31">
      <c r="A827" s="75">
        <v>31158</v>
      </c>
      <c r="B827" s="20" t="s">
        <v>9238</v>
      </c>
      <c r="C827" s="21" t="s">
        <v>9239</v>
      </c>
      <c r="AA827" s="20">
        <v>1</v>
      </c>
      <c r="AB827" s="20">
        <v>31158</v>
      </c>
      <c r="AC827" s="20">
        <v>100</v>
      </c>
      <c r="AD827" s="20">
        <v>1</v>
      </c>
    </row>
    <row r="828" spans="1:31">
      <c r="A828" s="20">
        <v>32001</v>
      </c>
      <c r="B828" s="20" t="s">
        <v>4574</v>
      </c>
      <c r="C828" s="21" t="s">
        <v>6656</v>
      </c>
      <c r="K828" s="20">
        <v>12</v>
      </c>
      <c r="W828" s="20">
        <f>IF(Q828&lt;&gt;0,3,IF(K828="","",VLOOKUP(K828,'#状态名词'!$J$1:$K$15,2,FALSE)))</f>
        <v>0</v>
      </c>
      <c r="AA828" s="20">
        <v>1</v>
      </c>
      <c r="AB828" s="20">
        <v>32001</v>
      </c>
      <c r="AC828" s="20">
        <v>100</v>
      </c>
      <c r="AD828" s="20">
        <v>1</v>
      </c>
    </row>
    <row r="829" spans="1:31">
      <c r="A829" s="20">
        <v>32002</v>
      </c>
      <c r="B829" s="20" t="s">
        <v>4575</v>
      </c>
      <c r="C829" s="21" t="s">
        <v>4576</v>
      </c>
      <c r="K829" s="20">
        <v>12</v>
      </c>
      <c r="W829" s="20">
        <f>IF(Q829&lt;&gt;0,3,IF(K829="","",VLOOKUP(K829,'#状态名词'!$J$1:$K$15,2,FALSE)))</f>
        <v>0</v>
      </c>
      <c r="AA829" s="20">
        <v>1</v>
      </c>
      <c r="AB829" s="20">
        <v>32002</v>
      </c>
      <c r="AC829" s="20">
        <v>100</v>
      </c>
      <c r="AD829" s="20">
        <v>1</v>
      </c>
    </row>
    <row r="830" spans="1:31">
      <c r="A830" s="20">
        <v>32003</v>
      </c>
      <c r="B830" s="20" t="s">
        <v>4577</v>
      </c>
      <c r="C830" s="21" t="s">
        <v>4578</v>
      </c>
      <c r="K830" s="20">
        <v>14</v>
      </c>
      <c r="W830" s="20">
        <f>IF(Q830&lt;&gt;0,3,IF(K830="","",VLOOKUP(K830,'#状态名词'!$J$1:$K$15,2,FALSE)))</f>
        <v>0</v>
      </c>
      <c r="AA830" s="20">
        <v>1</v>
      </c>
      <c r="AB830" s="20">
        <v>32003</v>
      </c>
      <c r="AC830" s="20">
        <v>100</v>
      </c>
      <c r="AD830" s="20">
        <v>1</v>
      </c>
    </row>
    <row r="831" spans="1:31">
      <c r="A831" s="20">
        <v>32004</v>
      </c>
      <c r="B831" s="20" t="s">
        <v>4579</v>
      </c>
      <c r="C831" s="21" t="s">
        <v>4580</v>
      </c>
      <c r="K831" s="20">
        <v>12</v>
      </c>
      <c r="W831" s="20">
        <f>IF(Q831&lt;&gt;0,3,IF(K831="","",VLOOKUP(K831,'#状态名词'!$J$1:$K$15,2,FALSE)))</f>
        <v>0</v>
      </c>
      <c r="AA831" s="20">
        <v>1</v>
      </c>
      <c r="AB831" s="20">
        <v>32004</v>
      </c>
      <c r="AC831" s="20">
        <v>100</v>
      </c>
      <c r="AD831" s="20">
        <v>1</v>
      </c>
    </row>
    <row r="832" spans="1:31">
      <c r="A832" s="20">
        <v>32005</v>
      </c>
      <c r="B832" s="20" t="s">
        <v>4581</v>
      </c>
      <c r="C832" s="21" t="s">
        <v>747</v>
      </c>
      <c r="K832" s="20">
        <v>12</v>
      </c>
      <c r="W832" s="20">
        <f>IF(Q832&lt;&gt;0,3,IF(K832="","",VLOOKUP(K832,'#状态名词'!$J$1:$K$15,2,FALSE)))</f>
        <v>0</v>
      </c>
      <c r="AA832" s="20">
        <v>1</v>
      </c>
      <c r="AB832" s="20">
        <v>32005</v>
      </c>
      <c r="AC832" s="20">
        <v>100</v>
      </c>
      <c r="AD832" s="20">
        <v>1</v>
      </c>
    </row>
    <row r="833" spans="1:31">
      <c r="A833" s="20">
        <v>32006</v>
      </c>
      <c r="B833" s="20" t="s">
        <v>1442</v>
      </c>
      <c r="C833" s="21" t="s">
        <v>6538</v>
      </c>
      <c r="Q833" s="20">
        <v>1</v>
      </c>
      <c r="R833" s="20">
        <v>0</v>
      </c>
      <c r="S833" s="20">
        <v>8</v>
      </c>
      <c r="W833" s="20">
        <f>IF(Q833&lt;&gt;0,3,IF(K833="","",VLOOKUP(K833,'#状态名词'!$J$1:$K$15,2,FALSE)))</f>
        <v>3</v>
      </c>
      <c r="AA833" s="20">
        <v>1</v>
      </c>
      <c r="AB833" s="20">
        <v>32006</v>
      </c>
      <c r="AC833" s="20">
        <v>100</v>
      </c>
      <c r="AD833" s="20">
        <v>1</v>
      </c>
    </row>
    <row r="834" spans="1:31">
      <c r="A834" s="20">
        <v>32007</v>
      </c>
      <c r="B834" s="20" t="s">
        <v>4582</v>
      </c>
      <c r="C834" s="21" t="s">
        <v>1443</v>
      </c>
      <c r="K834" s="20">
        <v>14</v>
      </c>
      <c r="W834" s="20">
        <f>IF(Q834&lt;&gt;0,3,IF(K834="","",VLOOKUP(K834,'#状态名词'!$J$1:$K$15,2,FALSE)))</f>
        <v>0</v>
      </c>
      <c r="AA834" s="20">
        <v>1</v>
      </c>
      <c r="AB834" s="20">
        <v>32007</v>
      </c>
      <c r="AC834" s="20">
        <v>100</v>
      </c>
      <c r="AD834" s="20">
        <v>1</v>
      </c>
    </row>
    <row r="835" spans="1:31">
      <c r="A835" s="20">
        <v>32008</v>
      </c>
      <c r="B835" s="20" t="s">
        <v>4583</v>
      </c>
      <c r="C835" s="21" t="s">
        <v>1444</v>
      </c>
      <c r="K835" s="20">
        <v>12</v>
      </c>
      <c r="W835" s="20">
        <f>IF(Q835&lt;&gt;0,3,IF(K835="","",VLOOKUP(K835,'#状态名词'!$J$1:$K$15,2,FALSE)))</f>
        <v>0</v>
      </c>
      <c r="AA835" s="20">
        <v>1</v>
      </c>
      <c r="AB835" s="20">
        <v>32008</v>
      </c>
      <c r="AC835" s="20">
        <v>100</v>
      </c>
      <c r="AD835" s="20">
        <v>1</v>
      </c>
    </row>
    <row r="836" spans="1:31">
      <c r="A836" s="20">
        <v>32009</v>
      </c>
      <c r="B836" s="20" t="s">
        <v>7146</v>
      </c>
      <c r="C836" s="21" t="s">
        <v>7147</v>
      </c>
      <c r="K836" s="20">
        <v>12</v>
      </c>
      <c r="W836" s="20">
        <f>IF(Q836&lt;&gt;0,3,IF(K836="","",VLOOKUP(K836,'#状态名词'!$J$1:$K$15,2,FALSE)))</f>
        <v>0</v>
      </c>
      <c r="AA836" s="20">
        <v>1</v>
      </c>
      <c r="AB836" s="20">
        <v>31</v>
      </c>
      <c r="AC836" s="20">
        <v>50</v>
      </c>
      <c r="AD836" s="20">
        <v>1</v>
      </c>
      <c r="AE836" s="20">
        <v>2</v>
      </c>
    </row>
    <row r="837" spans="1:31">
      <c r="W837" s="20" t="str">
        <f>IF(Q837&lt;&gt;0,3,IF(K837="","",VLOOKUP(K837,'#状态名词'!$J$1:$K$15,2,FALSE)))</f>
        <v/>
      </c>
      <c r="AA837" s="20">
        <v>1</v>
      </c>
      <c r="AB837" s="20">
        <v>42</v>
      </c>
      <c r="AC837" s="20">
        <v>50</v>
      </c>
      <c r="AD837" s="20">
        <v>1</v>
      </c>
      <c r="AE837" s="20">
        <v>2</v>
      </c>
    </row>
    <row r="838" spans="1:31">
      <c r="A838" s="20">
        <v>32010</v>
      </c>
      <c r="B838" s="20" t="s">
        <v>7589</v>
      </c>
      <c r="C838" s="16" t="s">
        <v>7926</v>
      </c>
      <c r="K838" s="20">
        <v>14</v>
      </c>
      <c r="W838" s="20">
        <f>IF(Q838&lt;&gt;0,3,IF(K838="","",VLOOKUP(K838,'#状态名词'!$J$1:$K$15,2,FALSE)))</f>
        <v>0</v>
      </c>
      <c r="AA838" s="20">
        <v>1</v>
      </c>
      <c r="AB838" s="20">
        <v>32010</v>
      </c>
      <c r="AC838" s="20">
        <v>100</v>
      </c>
      <c r="AD838" s="20">
        <v>1</v>
      </c>
    </row>
    <row r="839" spans="1:31">
      <c r="A839" s="37">
        <v>32011</v>
      </c>
      <c r="B839" s="20" t="s">
        <v>7590</v>
      </c>
      <c r="C839" s="16" t="s">
        <v>7741</v>
      </c>
      <c r="K839" s="20">
        <v>15</v>
      </c>
      <c r="W839" s="20">
        <f>IF(Q839&lt;&gt;0,3,IF(K839="","",VLOOKUP(K839,'#状态名词'!$J$1:$K$15,2,FALSE)))</f>
        <v>0</v>
      </c>
      <c r="AA839" s="20">
        <v>1</v>
      </c>
      <c r="AB839" s="20">
        <v>32011</v>
      </c>
      <c r="AC839" s="20">
        <v>100</v>
      </c>
      <c r="AD839" s="20">
        <v>1</v>
      </c>
    </row>
    <row r="840" spans="1:31">
      <c r="A840" s="20">
        <v>32012</v>
      </c>
      <c r="B840" s="20" t="s">
        <v>7591</v>
      </c>
      <c r="C840" s="16" t="s">
        <v>7585</v>
      </c>
      <c r="K840" s="20">
        <v>14</v>
      </c>
      <c r="W840" s="20">
        <f>IF(Q840&lt;&gt;0,3,IF(K840="","",VLOOKUP(K840,'#状态名词'!$J$1:$K$15,2,FALSE)))</f>
        <v>0</v>
      </c>
      <c r="AA840" s="20">
        <v>1</v>
      </c>
      <c r="AB840" s="20">
        <v>32012</v>
      </c>
      <c r="AC840" s="20">
        <v>100</v>
      </c>
      <c r="AD840" s="20">
        <v>1</v>
      </c>
    </row>
    <row r="841" spans="1:31">
      <c r="A841" s="20">
        <v>32013</v>
      </c>
      <c r="B841" s="20" t="s">
        <v>7592</v>
      </c>
      <c r="C841" s="16" t="s">
        <v>7739</v>
      </c>
      <c r="K841" s="20">
        <v>12</v>
      </c>
      <c r="W841" s="20">
        <f>IF(Q841&lt;&gt;0,3,IF(K841="","",VLOOKUP(K841,'#状态名词'!$J$1:$K$15,2,FALSE)))</f>
        <v>0</v>
      </c>
      <c r="AA841" s="20">
        <v>1</v>
      </c>
      <c r="AB841" s="20">
        <v>51</v>
      </c>
      <c r="AC841" s="20">
        <v>100</v>
      </c>
      <c r="AD841" s="20">
        <v>1</v>
      </c>
      <c r="AE841" s="20">
        <v>2</v>
      </c>
    </row>
    <row r="842" spans="1:31">
      <c r="A842" s="20">
        <v>32014</v>
      </c>
      <c r="B842" s="20" t="s">
        <v>7594</v>
      </c>
      <c r="C842" s="16" t="s">
        <v>7587</v>
      </c>
      <c r="K842" s="20">
        <v>12</v>
      </c>
      <c r="W842" s="20">
        <f>IF(Q842&lt;&gt;0,3,IF(K842="","",VLOOKUP(K842,'#状态名词'!$J$1:$K$15,2,FALSE)))</f>
        <v>0</v>
      </c>
      <c r="AA842" s="20">
        <v>1</v>
      </c>
      <c r="AB842" s="20">
        <v>32014</v>
      </c>
      <c r="AC842" s="20">
        <v>100</v>
      </c>
      <c r="AD842" s="20">
        <v>1</v>
      </c>
    </row>
    <row r="843" spans="1:31">
      <c r="A843" s="20">
        <v>32015</v>
      </c>
      <c r="B843" s="20" t="s">
        <v>7595</v>
      </c>
      <c r="C843" s="16" t="s">
        <v>7588</v>
      </c>
      <c r="K843" s="20">
        <v>12</v>
      </c>
      <c r="W843" s="20">
        <f>IF(Q843&lt;&gt;0,3,IF(K843="","",VLOOKUP(K843,'#状态名词'!$J$1:$K$15,2,FALSE)))</f>
        <v>0</v>
      </c>
      <c r="AA843" s="20">
        <v>1</v>
      </c>
      <c r="AB843" s="20">
        <v>32015</v>
      </c>
      <c r="AC843" s="20">
        <v>100</v>
      </c>
      <c r="AD843" s="20">
        <v>1</v>
      </c>
    </row>
    <row r="844" spans="1:31">
      <c r="A844" s="20">
        <v>32016</v>
      </c>
      <c r="B844" s="20" t="s">
        <v>7593</v>
      </c>
      <c r="C844" s="16" t="s">
        <v>7586</v>
      </c>
      <c r="K844" s="20">
        <v>12</v>
      </c>
      <c r="W844" s="20">
        <f>IF(Q844&lt;&gt;0,3,IF(K844="","",VLOOKUP(K844,'#状态名词'!$J$1:$K$15,2,FALSE)))</f>
        <v>0</v>
      </c>
      <c r="AA844" s="20">
        <v>1</v>
      </c>
      <c r="AB844" s="20">
        <v>32016</v>
      </c>
      <c r="AC844" s="20">
        <v>100</v>
      </c>
      <c r="AD844" s="20">
        <v>1</v>
      </c>
    </row>
    <row r="845" spans="1:31">
      <c r="A845" s="16">
        <v>32017</v>
      </c>
      <c r="B845" s="20" t="s">
        <v>7738</v>
      </c>
      <c r="C845" s="16" t="s">
        <v>7737</v>
      </c>
      <c r="K845" s="20">
        <v>12</v>
      </c>
      <c r="W845" s="20">
        <f>IF(Q845&lt;&gt;0,3,IF(K845="","",VLOOKUP(K845,'#状态名词'!$J$1:$K$15,2,FALSE)))</f>
        <v>0</v>
      </c>
      <c r="AA845" s="20">
        <v>1</v>
      </c>
      <c r="AB845" s="20">
        <v>32017</v>
      </c>
      <c r="AC845" s="20">
        <v>100</v>
      </c>
      <c r="AD845" s="20">
        <v>1</v>
      </c>
    </row>
    <row r="846" spans="1:31">
      <c r="A846" s="16">
        <v>32018</v>
      </c>
      <c r="B846" s="20" t="s">
        <v>9004</v>
      </c>
      <c r="C846" s="16" t="s">
        <v>9005</v>
      </c>
      <c r="K846" s="20">
        <v>12</v>
      </c>
      <c r="W846" s="20">
        <v>0</v>
      </c>
      <c r="AA846" s="20">
        <v>1</v>
      </c>
      <c r="AB846" s="20">
        <v>32018</v>
      </c>
      <c r="AC846" s="20">
        <v>100</v>
      </c>
      <c r="AD846" s="20">
        <v>1</v>
      </c>
    </row>
    <row r="847" spans="1:31">
      <c r="A847" s="20">
        <v>33001</v>
      </c>
      <c r="B847" s="20" t="s">
        <v>3747</v>
      </c>
      <c r="C847" s="30" t="s">
        <v>6819</v>
      </c>
      <c r="K847" s="20">
        <v>0</v>
      </c>
      <c r="Q847" s="20">
        <v>1</v>
      </c>
      <c r="R847" s="20">
        <v>1</v>
      </c>
      <c r="S847" s="20">
        <v>3</v>
      </c>
      <c r="W847" s="20">
        <f>IF(Q847&lt;&gt;0,3,IF(K847="","",VLOOKUP(K847,'#状态名词'!$J$1:$K$15,2,FALSE)))</f>
        <v>3</v>
      </c>
      <c r="AA847" s="20">
        <v>1</v>
      </c>
      <c r="AB847" s="20">
        <v>33001</v>
      </c>
      <c r="AC847" s="20">
        <v>100</v>
      </c>
      <c r="AD847" s="20">
        <v>1</v>
      </c>
    </row>
    <row r="848" spans="1:31">
      <c r="A848" s="20">
        <v>33002</v>
      </c>
      <c r="B848" s="20" t="s">
        <v>3748</v>
      </c>
      <c r="C848" s="30" t="s">
        <v>6820</v>
      </c>
      <c r="K848" s="20">
        <v>0</v>
      </c>
      <c r="Q848" s="20">
        <v>1</v>
      </c>
      <c r="R848" s="20">
        <v>0</v>
      </c>
      <c r="S848" s="20">
        <v>6</v>
      </c>
      <c r="W848" s="20">
        <f>IF(Q848&lt;&gt;0,3,IF(K848="","",VLOOKUP(K848,'#状态名词'!$J$1:$K$15,2,FALSE)))</f>
        <v>3</v>
      </c>
      <c r="AA848" s="20">
        <v>1</v>
      </c>
      <c r="AB848" s="20">
        <v>33001</v>
      </c>
      <c r="AC848" s="20">
        <v>100</v>
      </c>
      <c r="AD848" s="20">
        <v>1</v>
      </c>
    </row>
    <row r="849" spans="1:30">
      <c r="A849" s="20">
        <v>33003</v>
      </c>
      <c r="B849" s="20" t="s">
        <v>3749</v>
      </c>
      <c r="C849" s="30" t="s">
        <v>6821</v>
      </c>
      <c r="K849" s="20">
        <v>0</v>
      </c>
      <c r="W849" s="20">
        <f>IF(Q849&lt;&gt;0,3,IF(K849="","",VLOOKUP(K849,'#状态名词'!$J$1:$K$15,2,FALSE)))</f>
        <v>0</v>
      </c>
      <c r="AA849" s="20">
        <v>1</v>
      </c>
      <c r="AB849" s="20">
        <v>33003</v>
      </c>
      <c r="AC849" s="20">
        <v>100</v>
      </c>
      <c r="AD849" s="20">
        <v>1</v>
      </c>
    </row>
    <row r="850" spans="1:30" ht="27">
      <c r="A850" s="20">
        <v>33004</v>
      </c>
      <c r="B850" s="68" t="s">
        <v>7874</v>
      </c>
      <c r="C850" s="69" t="s">
        <v>7878</v>
      </c>
      <c r="G850" s="20">
        <v>1</v>
      </c>
      <c r="K850" s="20">
        <v>9</v>
      </c>
      <c r="W850" s="20">
        <f>IF(Q850&lt;&gt;0,3,IF(K850="","",VLOOKUP(K850,'#状态名词'!$J$1:$K$15,2,FALSE)))</f>
        <v>3</v>
      </c>
      <c r="AA850" s="20">
        <v>1</v>
      </c>
      <c r="AB850" s="20">
        <v>33004</v>
      </c>
      <c r="AC850" s="20">
        <v>18</v>
      </c>
      <c r="AD850" s="20">
        <v>1</v>
      </c>
    </row>
    <row r="851" spans="1:30" ht="27">
      <c r="A851" s="20">
        <v>33005</v>
      </c>
      <c r="B851" s="68" t="s">
        <v>7875</v>
      </c>
      <c r="C851" s="69" t="s">
        <v>7879</v>
      </c>
      <c r="G851" s="20">
        <v>1</v>
      </c>
      <c r="K851" s="20">
        <v>9</v>
      </c>
      <c r="W851" s="20">
        <f>IF(Q851&lt;&gt;0,3,IF(K851="","",VLOOKUP(K851,'#状态名词'!$J$1:$K$15,2,FALSE)))</f>
        <v>3</v>
      </c>
      <c r="AA851" s="20">
        <v>1</v>
      </c>
      <c r="AB851" s="20">
        <v>33005</v>
      </c>
      <c r="AC851" s="20">
        <v>18</v>
      </c>
      <c r="AD851" s="20">
        <v>1</v>
      </c>
    </row>
    <row r="852" spans="1:30">
      <c r="A852" s="20">
        <v>33006</v>
      </c>
      <c r="B852" s="70" t="s">
        <v>7876</v>
      </c>
      <c r="C852" s="69" t="s">
        <v>7877</v>
      </c>
      <c r="F852" s="20" t="s">
        <v>7880</v>
      </c>
      <c r="K852" s="20">
        <v>5</v>
      </c>
      <c r="N852" s="20">
        <v>3</v>
      </c>
      <c r="O852" s="20">
        <v>1</v>
      </c>
      <c r="W852" s="20">
        <f>IF(Q852&lt;&gt;0,3,IF(K852="","",VLOOKUP(K852,'#状态名词'!$J$1:$K$15,2,FALSE)))</f>
        <v>1</v>
      </c>
    </row>
    <row r="853" spans="1:30">
      <c r="A853" s="20">
        <v>33007</v>
      </c>
      <c r="B853" s="70" t="s">
        <v>7876</v>
      </c>
      <c r="C853" s="69" t="s">
        <v>7881</v>
      </c>
      <c r="F853" s="20" t="s">
        <v>7880</v>
      </c>
      <c r="K853" s="20">
        <v>5</v>
      </c>
      <c r="N853" s="20">
        <v>3</v>
      </c>
      <c r="O853" s="20">
        <v>0</v>
      </c>
      <c r="W853" s="20">
        <f>IF(Q853&lt;&gt;0,3,IF(K853="","",VLOOKUP(K853,'#状态名词'!$J$1:$K$15,2,FALSE)))</f>
        <v>1</v>
      </c>
    </row>
    <row r="854" spans="1:30">
      <c r="A854" s="20">
        <v>33501</v>
      </c>
      <c r="B854" s="20" t="s">
        <v>3750</v>
      </c>
      <c r="C854" s="30" t="s">
        <v>6499</v>
      </c>
      <c r="K854" s="20">
        <v>6</v>
      </c>
      <c r="W854" s="20">
        <f>IF(Q854&lt;&gt;0,3,IF(K854="","",VLOOKUP(K854,'#状态名词'!$J$1:$K$15,2,FALSE)))</f>
        <v>3</v>
      </c>
      <c r="AA854" s="20">
        <v>1</v>
      </c>
      <c r="AB854" s="20">
        <v>21</v>
      </c>
      <c r="AC854" s="20">
        <v>0.5</v>
      </c>
      <c r="AD854" s="20">
        <v>0</v>
      </c>
    </row>
    <row r="855" spans="1:30">
      <c r="A855" s="20">
        <v>33502</v>
      </c>
      <c r="B855" s="19" t="s">
        <v>3751</v>
      </c>
      <c r="C855" s="30" t="s">
        <v>6500</v>
      </c>
      <c r="K855" s="20">
        <v>6</v>
      </c>
      <c r="W855" s="20">
        <f>IF(Q855&lt;&gt;0,3,IF(K855="","",VLOOKUP(K855,'#状态名词'!$J$1:$K$15,2,FALSE)))</f>
        <v>3</v>
      </c>
      <c r="AA855" s="20">
        <v>1</v>
      </c>
      <c r="AB855" s="20">
        <v>23</v>
      </c>
      <c r="AC855" s="20">
        <v>0.5</v>
      </c>
      <c r="AD855" s="20">
        <v>0</v>
      </c>
    </row>
    <row r="856" spans="1:30">
      <c r="A856" s="20">
        <v>33503</v>
      </c>
      <c r="B856" s="20" t="s">
        <v>3752</v>
      </c>
      <c r="C856" s="30" t="s">
        <v>6501</v>
      </c>
      <c r="K856" s="20">
        <v>6</v>
      </c>
      <c r="W856" s="20">
        <f>IF(Q856&lt;&gt;0,3,IF(K856="","",VLOOKUP(K856,'#状态名词'!$J$1:$K$15,2,FALSE)))</f>
        <v>3</v>
      </c>
      <c r="AA856" s="20">
        <v>1</v>
      </c>
      <c r="AB856" s="20">
        <v>22</v>
      </c>
      <c r="AC856" s="20">
        <v>1</v>
      </c>
      <c r="AD856" s="20">
        <v>0</v>
      </c>
    </row>
    <row r="857" spans="1:30">
      <c r="A857" s="20">
        <v>33504</v>
      </c>
      <c r="B857" s="20" t="s">
        <v>3753</v>
      </c>
      <c r="C857" s="30" t="s">
        <v>6502</v>
      </c>
      <c r="K857" s="20">
        <v>9</v>
      </c>
      <c r="W857" s="20">
        <f>IF(Q857&lt;&gt;0,3,IF(K857="","",VLOOKUP(K857,'#状态名词'!$J$1:$K$15,2,FALSE)))</f>
        <v>3</v>
      </c>
      <c r="AA857" s="20">
        <v>1</v>
      </c>
      <c r="AB857" s="20">
        <v>33504</v>
      </c>
      <c r="AC857" s="20">
        <v>100</v>
      </c>
      <c r="AD857" s="20">
        <v>1</v>
      </c>
    </row>
    <row r="858" spans="1:30">
      <c r="A858" s="20">
        <v>33505</v>
      </c>
      <c r="B858" s="20" t="s">
        <v>3755</v>
      </c>
      <c r="C858" s="30" t="s">
        <v>6503</v>
      </c>
      <c r="K858" s="20">
        <v>9</v>
      </c>
      <c r="W858" s="20">
        <f>IF(Q858&lt;&gt;0,3,IF(K858="","",VLOOKUP(K858,'#状态名词'!$J$1:$K$15,2,FALSE)))</f>
        <v>3</v>
      </c>
      <c r="AA858" s="20">
        <v>1</v>
      </c>
      <c r="AB858" s="20">
        <v>33505</v>
      </c>
      <c r="AC858" s="20">
        <v>100</v>
      </c>
      <c r="AD858" s="20">
        <v>1</v>
      </c>
    </row>
    <row r="859" spans="1:30">
      <c r="A859" s="20">
        <v>33506</v>
      </c>
      <c r="B859" s="20" t="s">
        <v>3757</v>
      </c>
      <c r="C859" s="30" t="s">
        <v>6504</v>
      </c>
      <c r="K859" s="20">
        <v>9</v>
      </c>
      <c r="W859" s="20">
        <f>IF(Q859&lt;&gt;0,3,IF(K859="","",VLOOKUP(K859,'#状态名词'!$J$1:$K$15,2,FALSE)))</f>
        <v>3</v>
      </c>
      <c r="AA859" s="20">
        <v>1</v>
      </c>
      <c r="AB859" s="20">
        <v>33506</v>
      </c>
      <c r="AC859" s="20">
        <v>100</v>
      </c>
      <c r="AD859" s="20">
        <v>1</v>
      </c>
    </row>
    <row r="860" spans="1:30">
      <c r="A860" s="20">
        <v>33507</v>
      </c>
      <c r="B860" s="20" t="s">
        <v>3759</v>
      </c>
      <c r="C860" s="30" t="s">
        <v>3760</v>
      </c>
      <c r="K860" s="20">
        <v>0</v>
      </c>
      <c r="W860" s="20">
        <f>IF(Q860&lt;&gt;0,3,IF(K860="","",VLOOKUP(K860,'#状态名词'!$J$1:$K$15,2,FALSE)))</f>
        <v>0</v>
      </c>
      <c r="AA860" s="20">
        <v>1</v>
      </c>
      <c r="AB860" s="20">
        <v>33507</v>
      </c>
      <c r="AC860" s="20">
        <v>100</v>
      </c>
      <c r="AD860" s="20">
        <v>1</v>
      </c>
    </row>
    <row r="861" spans="1:30">
      <c r="A861" s="20">
        <v>33508</v>
      </c>
      <c r="B861" s="19" t="s">
        <v>3761</v>
      </c>
      <c r="C861" s="30" t="s">
        <v>3762</v>
      </c>
      <c r="K861" s="20">
        <v>0</v>
      </c>
      <c r="W861" s="20">
        <f>IF(Q861&lt;&gt;0,3,IF(K861="","",VLOOKUP(K861,'#状态名词'!$J$1:$K$15,2,FALSE)))</f>
        <v>0</v>
      </c>
      <c r="AA861" s="20">
        <v>1</v>
      </c>
      <c r="AB861" s="20">
        <v>33508</v>
      </c>
      <c r="AC861" s="20">
        <v>100</v>
      </c>
      <c r="AD861" s="20">
        <v>1</v>
      </c>
    </row>
    <row r="862" spans="1:30">
      <c r="A862" s="20">
        <v>33509</v>
      </c>
      <c r="B862" s="20" t="s">
        <v>3763</v>
      </c>
      <c r="C862" s="30" t="s">
        <v>3764</v>
      </c>
      <c r="K862" s="20">
        <v>0</v>
      </c>
      <c r="W862" s="20">
        <f>IF(Q862&lt;&gt;0,3,IF(K862="","",VLOOKUP(K862,'#状态名词'!$J$1:$K$15,2,FALSE)))</f>
        <v>0</v>
      </c>
      <c r="AA862" s="20">
        <v>1</v>
      </c>
      <c r="AB862" s="20">
        <v>33509</v>
      </c>
      <c r="AC862" s="20">
        <v>100</v>
      </c>
      <c r="AD862" s="20">
        <v>1</v>
      </c>
    </row>
    <row r="863" spans="1:30">
      <c r="A863" s="20">
        <v>33510</v>
      </c>
      <c r="B863" s="20" t="s">
        <v>3765</v>
      </c>
      <c r="C863" s="30" t="s">
        <v>6505</v>
      </c>
      <c r="K863" s="20">
        <v>9</v>
      </c>
      <c r="W863" s="20">
        <f>IF(Q863&lt;&gt;0,3,IF(K863="","",VLOOKUP(K863,'#状态名词'!$J$1:$K$15,2,FALSE)))</f>
        <v>3</v>
      </c>
      <c r="AA863" s="20">
        <v>1</v>
      </c>
      <c r="AB863" s="20">
        <v>33510</v>
      </c>
      <c r="AC863" s="20">
        <v>10</v>
      </c>
      <c r="AD863" s="20">
        <v>1</v>
      </c>
    </row>
    <row r="864" spans="1:30">
      <c r="A864" s="20">
        <v>33511</v>
      </c>
      <c r="B864" s="20" t="s">
        <v>3767</v>
      </c>
      <c r="C864" s="30" t="s">
        <v>6506</v>
      </c>
      <c r="K864" s="20">
        <v>9</v>
      </c>
      <c r="W864" s="20">
        <f>IF(Q864&lt;&gt;0,3,IF(K864="","",VLOOKUP(K864,'#状态名词'!$J$1:$K$15,2,FALSE)))</f>
        <v>3</v>
      </c>
      <c r="AA864" s="20">
        <v>1</v>
      </c>
      <c r="AB864" s="20">
        <v>33511</v>
      </c>
      <c r="AC864" s="20">
        <v>1</v>
      </c>
      <c r="AD864" s="20">
        <v>1</v>
      </c>
    </row>
    <row r="865" spans="1:31">
      <c r="A865" s="20">
        <v>33512</v>
      </c>
      <c r="B865" s="20" t="s">
        <v>3769</v>
      </c>
      <c r="C865" s="30" t="s">
        <v>7927</v>
      </c>
      <c r="K865" s="20">
        <v>9</v>
      </c>
      <c r="W865" s="20">
        <f>IF(Q865&lt;&gt;0,3,IF(K865="","",VLOOKUP(K865,'#状态名词'!$J$1:$K$15,2,FALSE)))</f>
        <v>3</v>
      </c>
      <c r="AA865" s="20">
        <v>1</v>
      </c>
      <c r="AB865" s="20">
        <v>33512</v>
      </c>
      <c r="AC865" s="20">
        <v>100</v>
      </c>
      <c r="AD865" s="20">
        <v>0</v>
      </c>
    </row>
    <row r="866" spans="1:31">
      <c r="A866" s="20">
        <v>33513</v>
      </c>
      <c r="B866" s="20" t="s">
        <v>3771</v>
      </c>
      <c r="C866" s="30" t="s">
        <v>6507</v>
      </c>
      <c r="K866" s="20">
        <v>9</v>
      </c>
      <c r="W866" s="20">
        <f>IF(Q866&lt;&gt;0,3,IF(K866="","",VLOOKUP(K866,'#状态名词'!$J$1:$K$15,2,FALSE)))</f>
        <v>3</v>
      </c>
      <c r="AA866" s="20">
        <v>1</v>
      </c>
      <c r="AB866" s="20">
        <v>51</v>
      </c>
      <c r="AC866" s="20">
        <v>20</v>
      </c>
      <c r="AD866" s="20">
        <v>1</v>
      </c>
      <c r="AE866" s="20">
        <v>5</v>
      </c>
    </row>
    <row r="867" spans="1:31">
      <c r="A867" s="20">
        <v>33514</v>
      </c>
      <c r="B867" s="19" t="s">
        <v>3772</v>
      </c>
      <c r="C867" s="30" t="s">
        <v>6508</v>
      </c>
      <c r="K867" s="20">
        <v>9</v>
      </c>
      <c r="W867" s="20">
        <f>IF(Q867&lt;&gt;0,3,IF(K867="","",VLOOKUP(K867,'#状态名词'!$J$1:$K$15,2,FALSE)))</f>
        <v>3</v>
      </c>
      <c r="AA867" s="20">
        <v>1</v>
      </c>
      <c r="AB867" s="20">
        <v>34</v>
      </c>
      <c r="AC867" s="20">
        <v>20</v>
      </c>
      <c r="AD867" s="20">
        <v>1</v>
      </c>
      <c r="AE867" s="20">
        <v>5</v>
      </c>
    </row>
    <row r="868" spans="1:31">
      <c r="A868" s="20">
        <v>33515</v>
      </c>
      <c r="B868" s="20" t="s">
        <v>3773</v>
      </c>
      <c r="C868" s="30" t="s">
        <v>6509</v>
      </c>
      <c r="K868" s="20">
        <v>9</v>
      </c>
      <c r="W868" s="20">
        <f>IF(Q868&lt;&gt;0,3,IF(K868="","",VLOOKUP(K868,'#状态名词'!$J$1:$K$15,2,FALSE)))</f>
        <v>3</v>
      </c>
      <c r="AA868" s="20">
        <v>1</v>
      </c>
      <c r="AB868" s="20">
        <v>44</v>
      </c>
      <c r="AC868" s="20">
        <v>20</v>
      </c>
      <c r="AD868" s="20">
        <v>1</v>
      </c>
      <c r="AE868" s="20">
        <v>5</v>
      </c>
    </row>
    <row r="869" spans="1:31">
      <c r="A869" s="20">
        <v>33516</v>
      </c>
      <c r="B869" s="20" t="s">
        <v>3774</v>
      </c>
      <c r="C869" s="30" t="s">
        <v>6510</v>
      </c>
      <c r="K869" s="20">
        <v>9</v>
      </c>
      <c r="W869" s="20">
        <f>IF(Q869&lt;&gt;0,3,IF(K869="","",VLOOKUP(K869,'#状态名词'!$J$1:$K$15,2,FALSE)))</f>
        <v>3</v>
      </c>
      <c r="AA869" s="20">
        <v>1</v>
      </c>
      <c r="AB869" s="20">
        <v>43</v>
      </c>
      <c r="AC869" s="20">
        <v>20</v>
      </c>
      <c r="AD869" s="20">
        <v>1</v>
      </c>
      <c r="AE869" s="20">
        <v>5</v>
      </c>
    </row>
    <row r="870" spans="1:31">
      <c r="A870" s="20">
        <v>33517</v>
      </c>
      <c r="B870" s="20" t="s">
        <v>3775</v>
      </c>
      <c r="C870" s="30" t="s">
        <v>6511</v>
      </c>
      <c r="K870" s="20">
        <v>9</v>
      </c>
      <c r="W870" s="20">
        <f>IF(Q870&lt;&gt;0,3,IF(K870="","",VLOOKUP(K870,'#状态名词'!$J$1:$K$15,2,FALSE)))</f>
        <v>3</v>
      </c>
      <c r="AA870" s="20">
        <v>1</v>
      </c>
      <c r="AB870" s="20">
        <v>36</v>
      </c>
      <c r="AC870" s="20">
        <v>20</v>
      </c>
      <c r="AD870" s="20">
        <v>1</v>
      </c>
      <c r="AE870" s="20">
        <v>5</v>
      </c>
    </row>
    <row r="871" spans="1:31">
      <c r="A871" s="20">
        <v>33518</v>
      </c>
      <c r="B871" s="20" t="s">
        <v>3776</v>
      </c>
      <c r="C871" s="30" t="s">
        <v>7028</v>
      </c>
      <c r="K871" s="20">
        <v>9</v>
      </c>
      <c r="W871" s="20">
        <f>IF(Q871&lt;&gt;0,3,IF(K871="","",VLOOKUP(K871,'#状态名词'!$J$1:$K$15,2,FALSE)))</f>
        <v>3</v>
      </c>
      <c r="AA871" s="20">
        <v>1</v>
      </c>
      <c r="AB871" s="20">
        <v>41</v>
      </c>
      <c r="AC871" s="20">
        <v>20</v>
      </c>
      <c r="AD871" s="20">
        <v>1</v>
      </c>
      <c r="AE871" s="20">
        <v>5</v>
      </c>
    </row>
    <row r="872" spans="1:31" ht="27">
      <c r="A872" s="20">
        <v>33519</v>
      </c>
      <c r="B872" s="20" t="s">
        <v>3777</v>
      </c>
      <c r="C872" s="30" t="s">
        <v>7801</v>
      </c>
      <c r="K872" s="20">
        <v>6</v>
      </c>
      <c r="W872" s="20">
        <f>IF(Q872&lt;&gt;0,3,IF(K872="","",VLOOKUP(K872,'#状态名词'!$J$1:$K$15,2,FALSE)))</f>
        <v>3</v>
      </c>
      <c r="AA872" s="20">
        <v>1</v>
      </c>
      <c r="AB872" s="20">
        <v>33519</v>
      </c>
      <c r="AC872" s="20">
        <v>5</v>
      </c>
      <c r="AD872" s="20">
        <v>1</v>
      </c>
    </row>
    <row r="873" spans="1:31" ht="27">
      <c r="A873" s="20">
        <v>33520</v>
      </c>
      <c r="B873" s="19" t="s">
        <v>3779</v>
      </c>
      <c r="C873" s="30" t="s">
        <v>7802</v>
      </c>
      <c r="K873" s="20">
        <v>6</v>
      </c>
      <c r="W873" s="20">
        <f>IF(Q873&lt;&gt;0,3,IF(K873="","",VLOOKUP(K873,'#状态名词'!$J$1:$K$15,2,FALSE)))</f>
        <v>3</v>
      </c>
      <c r="AA873" s="20">
        <v>1</v>
      </c>
      <c r="AB873" s="20">
        <v>33520</v>
      </c>
      <c r="AC873" s="20">
        <v>5</v>
      </c>
      <c r="AD873" s="20">
        <v>1</v>
      </c>
    </row>
    <row r="874" spans="1:31" ht="27">
      <c r="A874" s="20">
        <v>33521</v>
      </c>
      <c r="B874" s="20" t="s">
        <v>3781</v>
      </c>
      <c r="C874" s="30" t="s">
        <v>7803</v>
      </c>
      <c r="K874" s="20">
        <v>6</v>
      </c>
      <c r="W874" s="20">
        <f>IF(Q874&lt;&gt;0,3,IF(K874="","",VLOOKUP(K874,'#状态名词'!$J$1:$K$15,2,FALSE)))</f>
        <v>3</v>
      </c>
      <c r="AA874" s="20">
        <v>1</v>
      </c>
      <c r="AB874" s="20">
        <v>33521</v>
      </c>
      <c r="AC874" s="20">
        <v>5</v>
      </c>
      <c r="AD874" s="20">
        <v>1</v>
      </c>
    </row>
    <row r="875" spans="1:31" ht="27">
      <c r="A875" s="20">
        <v>33522</v>
      </c>
      <c r="B875" s="20" t="s">
        <v>3783</v>
      </c>
      <c r="C875" s="30" t="s">
        <v>7928</v>
      </c>
      <c r="K875" s="20">
        <v>9</v>
      </c>
      <c r="W875" s="20">
        <f>IF(Q875&lt;&gt;0,3,IF(K875="","",VLOOKUP(K875,'#状态名词'!$J$1:$K$15,2,FALSE)))</f>
        <v>3</v>
      </c>
      <c r="AA875" s="20">
        <v>1</v>
      </c>
      <c r="AB875" s="20">
        <v>33522</v>
      </c>
      <c r="AC875" s="20">
        <v>5</v>
      </c>
      <c r="AD875" s="20">
        <v>1</v>
      </c>
    </row>
    <row r="876" spans="1:31" ht="27">
      <c r="A876" s="20">
        <v>33523</v>
      </c>
      <c r="B876" s="20" t="s">
        <v>3785</v>
      </c>
      <c r="C876" s="30" t="s">
        <v>7929</v>
      </c>
      <c r="K876" s="20">
        <v>9</v>
      </c>
      <c r="W876" s="20">
        <f>IF(Q876&lt;&gt;0,3,IF(K876="","",VLOOKUP(K876,'#状态名词'!$J$1:$K$15,2,FALSE)))</f>
        <v>3</v>
      </c>
      <c r="AA876" s="20">
        <v>1</v>
      </c>
      <c r="AB876" s="20">
        <v>33523</v>
      </c>
      <c r="AC876" s="20">
        <v>5</v>
      </c>
      <c r="AD876" s="20">
        <v>1</v>
      </c>
    </row>
    <row r="877" spans="1:31" ht="27">
      <c r="A877" s="20">
        <v>33524</v>
      </c>
      <c r="B877" s="20" t="s">
        <v>3787</v>
      </c>
      <c r="C877" s="30" t="s">
        <v>7930</v>
      </c>
      <c r="K877" s="20">
        <v>9</v>
      </c>
      <c r="W877" s="20">
        <f>IF(Q877&lt;&gt;0,3,IF(K877="","",VLOOKUP(K877,'#状态名词'!$J$1:$K$15,2,FALSE)))</f>
        <v>3</v>
      </c>
      <c r="AA877" s="20">
        <v>1</v>
      </c>
      <c r="AB877" s="20">
        <v>33524</v>
      </c>
      <c r="AC877" s="20">
        <v>5</v>
      </c>
      <c r="AD877" s="20">
        <v>1</v>
      </c>
    </row>
    <row r="878" spans="1:31">
      <c r="A878" s="20">
        <v>33525</v>
      </c>
      <c r="B878" s="20" t="s">
        <v>3789</v>
      </c>
      <c r="C878" s="30" t="s">
        <v>6513</v>
      </c>
      <c r="K878" s="20">
        <v>6</v>
      </c>
      <c r="W878" s="20">
        <f>IF(Q878&lt;&gt;0,3,IF(K878="","",VLOOKUP(K878,'#状态名词'!$J$1:$K$15,2,FALSE)))</f>
        <v>3</v>
      </c>
      <c r="AA878" s="20">
        <v>1</v>
      </c>
      <c r="AB878" s="20">
        <v>52</v>
      </c>
      <c r="AC878" s="20">
        <v>10</v>
      </c>
      <c r="AD878" s="20">
        <v>1</v>
      </c>
    </row>
    <row r="879" spans="1:31">
      <c r="C879" s="32"/>
      <c r="W879" s="20" t="str">
        <f>IF(Q879&lt;&gt;0,3,IF(K879="","",VLOOKUP(K879,'#状态名词'!$J$1:$K$15,2,FALSE)))</f>
        <v/>
      </c>
      <c r="AA879" s="20">
        <v>1</v>
      </c>
      <c r="AB879" s="20">
        <v>12</v>
      </c>
      <c r="AC879" s="20">
        <v>1</v>
      </c>
      <c r="AD879" s="20">
        <v>1</v>
      </c>
    </row>
    <row r="880" spans="1:31">
      <c r="A880" s="20">
        <v>33526</v>
      </c>
      <c r="B880" s="20" t="s">
        <v>3790</v>
      </c>
      <c r="C880" s="32" t="s">
        <v>6512</v>
      </c>
      <c r="K880" s="20">
        <v>9</v>
      </c>
      <c r="W880" s="20">
        <f>IF(Q880&lt;&gt;0,3,IF(K880="","",VLOOKUP(K880,'#状态名词'!$J$1:$K$15,2,FALSE)))</f>
        <v>3</v>
      </c>
      <c r="AA880" s="20">
        <v>1</v>
      </c>
      <c r="AB880" s="20">
        <v>34</v>
      </c>
      <c r="AC880" s="20">
        <v>10</v>
      </c>
      <c r="AD880" s="20">
        <v>1</v>
      </c>
    </row>
    <row r="881" spans="1:30">
      <c r="C881" s="32"/>
      <c r="W881" s="20" t="str">
        <f>IF(Q881&lt;&gt;0,3,IF(K881="","",VLOOKUP(K881,'#状态名词'!$J$1:$K$15,2,FALSE)))</f>
        <v/>
      </c>
      <c r="AA881" s="20">
        <v>1</v>
      </c>
      <c r="AB881" s="20">
        <v>36</v>
      </c>
      <c r="AC881" s="20">
        <v>10</v>
      </c>
      <c r="AD881" s="20">
        <v>1</v>
      </c>
    </row>
    <row r="882" spans="1:30">
      <c r="C882" s="32"/>
      <c r="W882" s="20" t="str">
        <f>IF(Q882&lt;&gt;0,3,IF(K882="","",VLOOKUP(K882,'#状态名词'!$J$1:$K$15,2,FALSE)))</f>
        <v/>
      </c>
      <c r="AA882" s="20">
        <v>1</v>
      </c>
      <c r="AB882" s="20">
        <v>43</v>
      </c>
      <c r="AC882" s="20">
        <v>10</v>
      </c>
      <c r="AD882" s="20">
        <v>1</v>
      </c>
    </row>
    <row r="883" spans="1:30">
      <c r="C883" s="32"/>
      <c r="W883" s="20" t="str">
        <f>IF(Q883&lt;&gt;0,3,IF(K883="","",VLOOKUP(K883,'#状态名词'!$J$1:$K$15,2,FALSE)))</f>
        <v/>
      </c>
      <c r="AA883" s="20">
        <v>1</v>
      </c>
      <c r="AB883" s="20">
        <v>44</v>
      </c>
      <c r="AC883" s="20">
        <v>10</v>
      </c>
      <c r="AD883" s="20">
        <v>1</v>
      </c>
    </row>
    <row r="884" spans="1:30">
      <c r="C884" s="32"/>
      <c r="W884" s="20" t="str">
        <f>IF(Q884&lt;&gt;0,3,IF(K884="","",VLOOKUP(K884,'#状态名词'!$J$1:$K$15,2,FALSE)))</f>
        <v/>
      </c>
      <c r="AA884" s="20">
        <v>1</v>
      </c>
      <c r="AB884" s="20">
        <v>2</v>
      </c>
      <c r="AC884" s="20">
        <v>10</v>
      </c>
      <c r="AD884" s="20">
        <v>1</v>
      </c>
    </row>
    <row r="885" spans="1:30">
      <c r="C885" s="32"/>
      <c r="W885" s="20" t="str">
        <f>IF(Q885&lt;&gt;0,3,IF(K885="","",VLOOKUP(K885,'#状态名词'!$J$1:$K$15,2,FALSE)))</f>
        <v/>
      </c>
      <c r="AA885" s="20">
        <v>1</v>
      </c>
      <c r="AB885" s="20">
        <v>4</v>
      </c>
      <c r="AC885" s="20">
        <v>10</v>
      </c>
      <c r="AD885" s="20">
        <v>1</v>
      </c>
    </row>
    <row r="886" spans="1:30">
      <c r="A886" s="20">
        <v>33527</v>
      </c>
      <c r="B886" s="20" t="s">
        <v>3791</v>
      </c>
      <c r="C886" s="32" t="s">
        <v>3792</v>
      </c>
      <c r="K886" s="20">
        <v>0</v>
      </c>
      <c r="W886" s="20">
        <f>IF(Q886&lt;&gt;0,3,IF(K886="","",VLOOKUP(K886,'#状态名词'!$J$1:$K$15,2,FALSE)))</f>
        <v>0</v>
      </c>
      <c r="AA886" s="20">
        <v>1</v>
      </c>
      <c r="AB886" s="20">
        <v>33527</v>
      </c>
      <c r="AC886" s="20">
        <v>100</v>
      </c>
      <c r="AD886" s="20">
        <v>1</v>
      </c>
    </row>
    <row r="887" spans="1:30">
      <c r="A887" s="20">
        <v>33528</v>
      </c>
      <c r="B887" s="20" t="s">
        <v>3793</v>
      </c>
      <c r="C887" s="32" t="s">
        <v>6514</v>
      </c>
      <c r="K887" s="20">
        <v>9</v>
      </c>
      <c r="W887" s="20">
        <f>IF(Q887&lt;&gt;0,3,IF(K887="","",VLOOKUP(K887,'#状态名词'!$J$1:$K$15,2,FALSE)))</f>
        <v>3</v>
      </c>
      <c r="AA887" s="20">
        <v>1</v>
      </c>
      <c r="AB887" s="20">
        <v>34</v>
      </c>
      <c r="AC887" s="20">
        <v>10</v>
      </c>
      <c r="AD887" s="20">
        <v>1</v>
      </c>
    </row>
    <row r="888" spans="1:30">
      <c r="C888" s="32"/>
      <c r="W888" s="20" t="str">
        <f>IF(Q888&lt;&gt;0,3,IF(K888="","",VLOOKUP(K888,'#状态名词'!$J$1:$K$15,2,FALSE)))</f>
        <v/>
      </c>
      <c r="AA888" s="20">
        <v>1</v>
      </c>
      <c r="AB888" s="20">
        <v>11</v>
      </c>
      <c r="AC888" s="20">
        <v>1</v>
      </c>
      <c r="AD888" s="20">
        <v>1</v>
      </c>
    </row>
    <row r="889" spans="1:30">
      <c r="A889" s="20">
        <v>33529</v>
      </c>
      <c r="B889" s="20" t="s">
        <v>3794</v>
      </c>
      <c r="C889" s="32" t="s">
        <v>7819</v>
      </c>
      <c r="K889" s="20">
        <v>9</v>
      </c>
      <c r="W889" s="20">
        <f>IF(Q889&lt;&gt;0,3,IF(K889="","",VLOOKUP(K889,'#状态名词'!$J$1:$K$15,2,FALSE)))</f>
        <v>3</v>
      </c>
      <c r="AA889" s="20">
        <v>1</v>
      </c>
      <c r="AB889" s="20">
        <v>33529</v>
      </c>
      <c r="AC889" s="20">
        <v>2</v>
      </c>
      <c r="AD889" s="20">
        <v>1</v>
      </c>
    </row>
    <row r="890" spans="1:30">
      <c r="A890" s="20">
        <v>33530</v>
      </c>
      <c r="B890" s="20" t="s">
        <v>3796</v>
      </c>
      <c r="C890" s="32" t="s">
        <v>6837</v>
      </c>
      <c r="K890" s="20">
        <v>9</v>
      </c>
      <c r="W890" s="20">
        <f>IF(Q890&lt;&gt;0,3,IF(K890="","",VLOOKUP(K890,'#状态名词'!$J$1:$K$15,2,FALSE)))</f>
        <v>3</v>
      </c>
      <c r="AA890" s="20">
        <v>1</v>
      </c>
      <c r="AB890" s="20">
        <v>33530</v>
      </c>
      <c r="AC890" s="20">
        <v>100</v>
      </c>
      <c r="AD890" s="20">
        <v>1</v>
      </c>
    </row>
    <row r="891" spans="1:30">
      <c r="C891" s="32"/>
      <c r="W891" s="20" t="str">
        <f>IF(Q891&lt;&gt;0,3,IF(K891="","",VLOOKUP(K891,'#状态名词'!$J$1:$K$15,2,FALSE)))</f>
        <v/>
      </c>
      <c r="AA891" s="20">
        <v>1</v>
      </c>
      <c r="AB891" s="20">
        <v>33528</v>
      </c>
      <c r="AC891" s="20">
        <v>100</v>
      </c>
      <c r="AD891" s="20">
        <v>0</v>
      </c>
    </row>
    <row r="892" spans="1:30">
      <c r="A892" s="20">
        <v>33531</v>
      </c>
      <c r="B892" s="20" t="s">
        <v>5745</v>
      </c>
      <c r="C892" s="32" t="s">
        <v>6838</v>
      </c>
      <c r="W892" s="20" t="str">
        <f>IF(Q892&lt;&gt;0,3,IF(K892="","",VLOOKUP(K892,'#状态名词'!$J$1:$K$15,2,FALSE)))</f>
        <v/>
      </c>
      <c r="AA892" s="20">
        <v>1</v>
      </c>
      <c r="AB892" s="20">
        <v>33532</v>
      </c>
      <c r="AC892" s="20">
        <v>8</v>
      </c>
      <c r="AD892" s="20">
        <v>1</v>
      </c>
    </row>
    <row r="893" spans="1:30">
      <c r="A893" s="20">
        <v>33532</v>
      </c>
      <c r="B893" s="20" t="s">
        <v>5746</v>
      </c>
      <c r="C893" s="32" t="s">
        <v>8111</v>
      </c>
      <c r="W893" s="20" t="str">
        <f>IF(Q893&lt;&gt;0,3,IF(K893="","",VLOOKUP(K893,'#状态名词'!$J$1:$K$15,2,FALSE)))</f>
        <v/>
      </c>
      <c r="AA893" s="20">
        <v>1</v>
      </c>
      <c r="AB893" s="20">
        <v>33533</v>
      </c>
      <c r="AC893" s="20">
        <v>100</v>
      </c>
      <c r="AD893" s="20">
        <v>1</v>
      </c>
    </row>
    <row r="894" spans="1:30">
      <c r="A894" s="20">
        <v>33533</v>
      </c>
      <c r="B894" s="20" t="s">
        <v>5747</v>
      </c>
      <c r="C894" s="32" t="s">
        <v>6634</v>
      </c>
      <c r="W894" s="20" t="str">
        <f>IF(Q894&lt;&gt;0,3,IF(K894="","",VLOOKUP(K894,'#状态名词'!$J$1:$K$15,2,FALSE)))</f>
        <v/>
      </c>
      <c r="AA894" s="20">
        <v>1</v>
      </c>
      <c r="AB894" s="20">
        <v>33534</v>
      </c>
      <c r="AC894" s="20">
        <v>100</v>
      </c>
      <c r="AD894" s="20">
        <v>1</v>
      </c>
    </row>
    <row r="895" spans="1:30">
      <c r="A895" s="20">
        <v>33534</v>
      </c>
      <c r="B895" s="20" t="s">
        <v>5748</v>
      </c>
      <c r="C895" s="32" t="s">
        <v>4464</v>
      </c>
      <c r="K895" s="20">
        <v>9</v>
      </c>
      <c r="W895" s="20">
        <f>IF(Q895&lt;&gt;0,3,IF(K895="","",VLOOKUP(K895,'#状态名词'!$J$1:$K$15,2,FALSE)))</f>
        <v>3</v>
      </c>
      <c r="AA895" s="20">
        <v>1</v>
      </c>
      <c r="AB895" s="20">
        <v>33535</v>
      </c>
      <c r="AC895" s="20">
        <v>15</v>
      </c>
      <c r="AD895" s="20">
        <v>1</v>
      </c>
    </row>
    <row r="896" spans="1:30">
      <c r="A896" s="20">
        <v>33535</v>
      </c>
      <c r="B896" s="20" t="s">
        <v>5749</v>
      </c>
      <c r="C896" s="32" t="s">
        <v>7820</v>
      </c>
      <c r="G896" s="20">
        <v>31136</v>
      </c>
      <c r="K896" s="20">
        <v>9</v>
      </c>
      <c r="W896" s="20">
        <f>IF(Q896&lt;&gt;0,3,IF(K896="","",VLOOKUP(K896,'#状态名词'!$J$1:$K$15,2,FALSE)))</f>
        <v>3</v>
      </c>
      <c r="AA896" s="20">
        <v>1</v>
      </c>
      <c r="AB896" s="20">
        <v>33536</v>
      </c>
      <c r="AC896" s="20">
        <v>100</v>
      </c>
      <c r="AD896" s="20">
        <v>1</v>
      </c>
    </row>
    <row r="897" spans="1:31">
      <c r="A897" s="20">
        <v>33536</v>
      </c>
      <c r="B897" s="20" t="s">
        <v>5750</v>
      </c>
      <c r="C897" s="32" t="s">
        <v>6839</v>
      </c>
      <c r="K897" s="20">
        <v>9</v>
      </c>
      <c r="W897" s="20">
        <f>IF(Q897&lt;&gt;0,3,IF(K897="","",VLOOKUP(K897,'#状态名词'!$J$1:$K$15,2,FALSE)))</f>
        <v>3</v>
      </c>
      <c r="AA897" s="20">
        <v>1</v>
      </c>
      <c r="AB897" s="20">
        <v>33537</v>
      </c>
      <c r="AC897" s="20">
        <v>100</v>
      </c>
      <c r="AD897" s="20">
        <v>1</v>
      </c>
    </row>
    <row r="898" spans="1:31">
      <c r="A898" s="20">
        <v>33537</v>
      </c>
      <c r="B898" s="20" t="s">
        <v>5751</v>
      </c>
      <c r="C898" s="32" t="s">
        <v>6450</v>
      </c>
      <c r="W898" s="20" t="str">
        <f>IF(Q898&lt;&gt;0,3,IF(K898="","",VLOOKUP(K898,'#状态名词'!$J$1:$K$15,2,FALSE)))</f>
        <v/>
      </c>
      <c r="AA898" s="20">
        <v>1</v>
      </c>
      <c r="AB898" s="20">
        <v>33538</v>
      </c>
      <c r="AC898" s="20">
        <v>100</v>
      </c>
      <c r="AD898" s="20">
        <v>1</v>
      </c>
    </row>
    <row r="899" spans="1:31">
      <c r="A899" s="20">
        <v>33538</v>
      </c>
      <c r="B899" s="20" t="s">
        <v>5752</v>
      </c>
      <c r="C899" s="32" t="s">
        <v>6515</v>
      </c>
      <c r="K899" s="20">
        <v>9</v>
      </c>
      <c r="W899" s="20">
        <f>IF(Q899&lt;&gt;0,3,IF(K899="","",VLOOKUP(K899,'#状态名词'!$J$1:$K$15,2,FALSE)))</f>
        <v>3</v>
      </c>
      <c r="AA899" s="20">
        <v>1</v>
      </c>
      <c r="AB899" s="20">
        <v>42</v>
      </c>
      <c r="AC899" s="20">
        <v>2</v>
      </c>
      <c r="AD899" s="20">
        <v>1</v>
      </c>
      <c r="AE899" s="20">
        <v>10</v>
      </c>
    </row>
    <row r="900" spans="1:31">
      <c r="A900" s="20">
        <v>33539</v>
      </c>
      <c r="B900" s="20" t="s">
        <v>5753</v>
      </c>
      <c r="C900" s="32" t="s">
        <v>6516</v>
      </c>
      <c r="K900" s="20">
        <v>9</v>
      </c>
      <c r="W900" s="20">
        <f>IF(Q900&lt;&gt;0,3,IF(K900="","",VLOOKUP(K900,'#状态名词'!$J$1:$K$15,2,FALSE)))</f>
        <v>3</v>
      </c>
      <c r="AA900" s="20">
        <v>1</v>
      </c>
      <c r="AB900" s="20">
        <v>21</v>
      </c>
      <c r="AC900" s="20">
        <v>5</v>
      </c>
      <c r="AD900" s="20">
        <v>0</v>
      </c>
      <c r="AE900" s="20">
        <v>2</v>
      </c>
    </row>
    <row r="901" spans="1:31">
      <c r="A901" s="20">
        <v>33540</v>
      </c>
      <c r="B901" s="20" t="s">
        <v>5754</v>
      </c>
      <c r="C901" s="32" t="s">
        <v>6517</v>
      </c>
      <c r="K901" s="20">
        <v>6</v>
      </c>
      <c r="W901" s="20">
        <f>IF(Q901&lt;&gt;0,3,IF(K901="","",VLOOKUP(K901,'#状态名词'!$J$1:$K$15,2,FALSE)))</f>
        <v>3</v>
      </c>
      <c r="AA901" s="20">
        <v>1</v>
      </c>
      <c r="AB901" s="20">
        <v>2</v>
      </c>
      <c r="AC901" s="20">
        <v>40</v>
      </c>
      <c r="AD901" s="20">
        <v>0</v>
      </c>
      <c r="AE901" s="20">
        <v>1</v>
      </c>
    </row>
    <row r="902" spans="1:31">
      <c r="A902" s="20">
        <v>33541</v>
      </c>
      <c r="B902" s="20" t="s">
        <v>5755</v>
      </c>
      <c r="C902" s="32" t="s">
        <v>7821</v>
      </c>
      <c r="K902" s="20">
        <v>6</v>
      </c>
      <c r="W902" s="20">
        <f>IF(Q902&lt;&gt;0,3,IF(K902="","",VLOOKUP(K902,'#状态名词'!$J$1:$K$15,2,FALSE)))</f>
        <v>3</v>
      </c>
      <c r="AA902" s="20">
        <v>1</v>
      </c>
      <c r="AB902" s="20">
        <v>33542</v>
      </c>
      <c r="AC902" s="20">
        <v>1</v>
      </c>
      <c r="AD902" s="20">
        <v>1</v>
      </c>
    </row>
    <row r="903" spans="1:31">
      <c r="A903" s="20">
        <v>33542</v>
      </c>
      <c r="B903" s="20" t="s">
        <v>5756</v>
      </c>
      <c r="C903" s="32" t="s">
        <v>4469</v>
      </c>
      <c r="W903" s="20" t="str">
        <f>IF(Q903&lt;&gt;0,3,IF(K903="","",VLOOKUP(K903,'#状态名词'!$J$1:$K$15,2,FALSE)))</f>
        <v/>
      </c>
      <c r="Y903" s="20">
        <v>0</v>
      </c>
      <c r="Z903" s="20">
        <v>33689</v>
      </c>
      <c r="AA903" s="20">
        <v>1</v>
      </c>
      <c r="AB903" s="20">
        <v>33543</v>
      </c>
      <c r="AC903" s="20">
        <v>100</v>
      </c>
      <c r="AD903" s="20">
        <v>1</v>
      </c>
    </row>
    <row r="904" spans="1:31">
      <c r="A904" s="20">
        <v>33543</v>
      </c>
      <c r="B904" s="20" t="s">
        <v>5757</v>
      </c>
      <c r="C904" s="32" t="s">
        <v>6840</v>
      </c>
      <c r="K904" s="20">
        <v>9</v>
      </c>
      <c r="W904" s="20">
        <f>IF(Q904&lt;&gt;0,3,IF(K904="","",VLOOKUP(K904,'#状态名词'!$J$1:$K$15,2,FALSE)))</f>
        <v>3</v>
      </c>
      <c r="AA904" s="20">
        <v>1</v>
      </c>
      <c r="AB904" s="20">
        <v>33544</v>
      </c>
      <c r="AC904" s="20">
        <v>100</v>
      </c>
      <c r="AD904" s="20">
        <v>1</v>
      </c>
    </row>
    <row r="905" spans="1:31">
      <c r="C905" s="32"/>
      <c r="W905" s="20" t="str">
        <f>IF(Q905&lt;&gt;0,3,IF(K905="","",VLOOKUP(K905,'#状态名词'!$J$1:$K$15,2,FALSE)))</f>
        <v/>
      </c>
      <c r="AA905" s="20">
        <v>1</v>
      </c>
      <c r="AB905" s="20">
        <v>33545</v>
      </c>
      <c r="AC905" s="20">
        <v>100</v>
      </c>
      <c r="AD905" s="20">
        <v>0</v>
      </c>
    </row>
    <row r="906" spans="1:31">
      <c r="A906" s="20">
        <v>33544</v>
      </c>
      <c r="B906" s="20" t="s">
        <v>5758</v>
      </c>
      <c r="C906" s="32" t="s">
        <v>4471</v>
      </c>
      <c r="K906" s="20">
        <v>9</v>
      </c>
      <c r="W906" s="20">
        <f>IF(Q906&lt;&gt;0,3,IF(K906="","",VLOOKUP(K906,'#状态名词'!$J$1:$K$15,2,FALSE)))</f>
        <v>3</v>
      </c>
      <c r="AA906" s="20">
        <v>1</v>
      </c>
      <c r="AB906" s="20">
        <v>22</v>
      </c>
      <c r="AC906" s="20">
        <v>100</v>
      </c>
      <c r="AD906" s="20">
        <v>0</v>
      </c>
      <c r="AE906" s="20">
        <v>1</v>
      </c>
    </row>
    <row r="907" spans="1:31">
      <c r="A907" s="20">
        <v>33545</v>
      </c>
      <c r="B907" s="20" t="s">
        <v>5759</v>
      </c>
      <c r="C907" s="32" t="s">
        <v>6841</v>
      </c>
      <c r="K907" s="20">
        <v>9</v>
      </c>
      <c r="W907" s="20">
        <f>IF(Q907&lt;&gt;0,3,IF(K907="","",VLOOKUP(K907,'#状态名词'!$J$1:$K$15,2,FALSE)))</f>
        <v>3</v>
      </c>
      <c r="AA907" s="20">
        <v>1</v>
      </c>
      <c r="AB907" s="20">
        <v>33546</v>
      </c>
      <c r="AC907" s="20">
        <v>100</v>
      </c>
      <c r="AD907" s="20">
        <v>1</v>
      </c>
    </row>
    <row r="908" spans="1:31">
      <c r="C908" s="32"/>
      <c r="W908" s="20" t="str">
        <f>IF(Q908&lt;&gt;0,3,IF(K908="","",VLOOKUP(K908,'#状态名词'!$J$1:$K$15,2,FALSE)))</f>
        <v/>
      </c>
      <c r="AA908" s="20">
        <v>1</v>
      </c>
      <c r="AB908" s="20">
        <v>33547</v>
      </c>
      <c r="AC908" s="20">
        <v>100</v>
      </c>
      <c r="AD908" s="20">
        <v>0</v>
      </c>
    </row>
    <row r="909" spans="1:31">
      <c r="A909" s="20">
        <v>33546</v>
      </c>
      <c r="B909" s="20" t="s">
        <v>5760</v>
      </c>
      <c r="C909" s="32" t="s">
        <v>4473</v>
      </c>
      <c r="K909" s="20">
        <v>10</v>
      </c>
      <c r="W909" s="20">
        <f>IF(Q909&lt;&gt;0,3,IF(K909="","",VLOOKUP(K909,'#状态名词'!$J$1:$K$15,2,FALSE)))</f>
        <v>3</v>
      </c>
      <c r="AA909" s="20">
        <v>1</v>
      </c>
      <c r="AB909" s="20">
        <v>42</v>
      </c>
      <c r="AC909" s="20">
        <v>100</v>
      </c>
      <c r="AD909" s="20">
        <v>1</v>
      </c>
      <c r="AE909" s="20">
        <v>3</v>
      </c>
    </row>
    <row r="910" spans="1:31">
      <c r="A910" s="20">
        <v>33547</v>
      </c>
      <c r="B910" s="20" t="s">
        <v>5761</v>
      </c>
      <c r="C910" s="32" t="s">
        <v>4474</v>
      </c>
      <c r="K910" s="20">
        <v>9</v>
      </c>
      <c r="W910" s="20">
        <f>IF(Q910&lt;&gt;0,3,IF(K910="","",VLOOKUP(K910,'#状态名词'!$J$1:$K$15,2,FALSE)))</f>
        <v>3</v>
      </c>
      <c r="AA910" s="20">
        <v>1</v>
      </c>
      <c r="AB910" s="20">
        <v>33548</v>
      </c>
      <c r="AC910" s="20">
        <v>100</v>
      </c>
      <c r="AD910" s="20">
        <v>1</v>
      </c>
    </row>
    <row r="911" spans="1:31">
      <c r="A911" s="20">
        <v>33548</v>
      </c>
      <c r="B911" s="20" t="s">
        <v>5762</v>
      </c>
      <c r="C911" s="32" t="s">
        <v>4475</v>
      </c>
      <c r="K911" s="20">
        <v>9</v>
      </c>
      <c r="W911" s="20">
        <f>IF(Q911&lt;&gt;0,3,IF(K911="","",VLOOKUP(K911,'#状态名词'!$J$1:$K$15,2,FALSE)))</f>
        <v>3</v>
      </c>
      <c r="AA911" s="20">
        <v>1</v>
      </c>
      <c r="AB911" s="20">
        <v>43</v>
      </c>
      <c r="AC911" s="20">
        <v>15</v>
      </c>
      <c r="AD911" s="20">
        <v>1</v>
      </c>
      <c r="AE911" s="20">
        <v>1</v>
      </c>
    </row>
    <row r="912" spans="1:31">
      <c r="A912" s="20">
        <v>33549</v>
      </c>
      <c r="B912" s="20" t="s">
        <v>5763</v>
      </c>
      <c r="C912" s="32" t="s">
        <v>7822</v>
      </c>
      <c r="K912" s="20">
        <v>10</v>
      </c>
      <c r="W912" s="20">
        <f>IF(Q912&lt;&gt;0,3,IF(K912="","",VLOOKUP(K912,'#状态名词'!$J$1:$K$15,2,FALSE)))</f>
        <v>3</v>
      </c>
      <c r="AA912" s="20">
        <v>1</v>
      </c>
      <c r="AB912" s="20">
        <v>33550</v>
      </c>
      <c r="AC912" s="20">
        <v>100</v>
      </c>
      <c r="AD912" s="20">
        <v>1</v>
      </c>
    </row>
    <row r="913" spans="1:31">
      <c r="A913" s="20">
        <v>33550</v>
      </c>
      <c r="B913" s="20" t="s">
        <v>5764</v>
      </c>
      <c r="C913" s="32" t="s">
        <v>4477</v>
      </c>
      <c r="K913" s="20">
        <v>9</v>
      </c>
      <c r="W913" s="20">
        <f>IF(Q913&lt;&gt;0,3,IF(K913="","",VLOOKUP(K913,'#状态名词'!$J$1:$K$15,2,FALSE)))</f>
        <v>3</v>
      </c>
      <c r="AA913" s="20">
        <v>1</v>
      </c>
      <c r="AB913" s="20">
        <v>42</v>
      </c>
      <c r="AC913" s="20">
        <v>100</v>
      </c>
      <c r="AD913" s="20">
        <v>1</v>
      </c>
      <c r="AE913" s="20">
        <v>1</v>
      </c>
    </row>
    <row r="914" spans="1:31">
      <c r="A914" s="20">
        <v>33551</v>
      </c>
      <c r="B914" s="20" t="s">
        <v>5765</v>
      </c>
      <c r="C914" s="32" t="s">
        <v>4478</v>
      </c>
      <c r="K914" s="20">
        <v>6</v>
      </c>
      <c r="W914" s="20">
        <f>IF(Q914&lt;&gt;0,3,IF(K914="","",VLOOKUP(K914,'#状态名词'!$J$1:$K$15,2,FALSE)))</f>
        <v>3</v>
      </c>
      <c r="AA914" s="20">
        <v>1</v>
      </c>
      <c r="AB914" s="20">
        <v>44</v>
      </c>
      <c r="AC914" s="20">
        <v>15</v>
      </c>
      <c r="AD914" s="20">
        <v>1</v>
      </c>
      <c r="AE914" s="20">
        <v>1</v>
      </c>
    </row>
    <row r="915" spans="1:31">
      <c r="A915" s="20">
        <v>33552</v>
      </c>
      <c r="B915" s="20" t="s">
        <v>5766</v>
      </c>
      <c r="C915" s="32" t="s">
        <v>6842</v>
      </c>
      <c r="K915" s="20">
        <v>6</v>
      </c>
      <c r="W915" s="20">
        <f>IF(Q915&lt;&gt;0,3,IF(K915="","",VLOOKUP(K915,'#状态名词'!$J$1:$K$15,2,FALSE)))</f>
        <v>3</v>
      </c>
      <c r="AA915" s="20">
        <v>1</v>
      </c>
      <c r="AB915" s="20">
        <v>33552</v>
      </c>
      <c r="AC915" s="20">
        <v>100</v>
      </c>
      <c r="AD915" s="20">
        <v>1</v>
      </c>
    </row>
    <row r="916" spans="1:31">
      <c r="A916" s="20">
        <v>33553</v>
      </c>
      <c r="B916" s="20" t="s">
        <v>5767</v>
      </c>
      <c r="C916" s="32" t="s">
        <v>4479</v>
      </c>
      <c r="K916" s="20">
        <v>9</v>
      </c>
      <c r="W916" s="20">
        <f>IF(Q916&lt;&gt;0,3,IF(K916="","",VLOOKUP(K916,'#状态名词'!$J$1:$K$15,2,FALSE)))</f>
        <v>3</v>
      </c>
      <c r="AA916" s="20">
        <v>1</v>
      </c>
      <c r="AB916" s="20">
        <v>33553</v>
      </c>
      <c r="AC916" s="20">
        <v>100</v>
      </c>
      <c r="AD916" s="20">
        <v>1</v>
      </c>
    </row>
    <row r="917" spans="1:31">
      <c r="A917" s="20">
        <v>33554</v>
      </c>
      <c r="B917" s="20" t="s">
        <v>5768</v>
      </c>
      <c r="C917" s="32" t="s">
        <v>6843</v>
      </c>
      <c r="W917" s="20" t="str">
        <f>IF(Q917&lt;&gt;0,3,IF(K917="","",VLOOKUP(K917,'#状态名词'!$J$1:$K$15,2,FALSE)))</f>
        <v/>
      </c>
      <c r="AA917" s="20">
        <v>1</v>
      </c>
      <c r="AB917" s="20">
        <v>33554</v>
      </c>
      <c r="AC917" s="20">
        <v>100</v>
      </c>
      <c r="AD917" s="20">
        <v>1</v>
      </c>
    </row>
    <row r="918" spans="1:31">
      <c r="A918" s="20">
        <v>33555</v>
      </c>
      <c r="B918" s="20" t="s">
        <v>5769</v>
      </c>
      <c r="C918" s="32" t="s">
        <v>6646</v>
      </c>
      <c r="Q918" s="20">
        <v>1</v>
      </c>
      <c r="R918" s="20">
        <v>2</v>
      </c>
      <c r="S918" s="20">
        <v>1</v>
      </c>
      <c r="W918" s="20">
        <f>IF(Q918&lt;&gt;0,3,IF(K918="","",VLOOKUP(K918,'#状态名词'!$J$1:$K$15,2,FALSE)))</f>
        <v>3</v>
      </c>
      <c r="AA918" s="20">
        <v>1</v>
      </c>
      <c r="AB918" s="20">
        <v>33555</v>
      </c>
      <c r="AC918" s="20">
        <v>100</v>
      </c>
      <c r="AD918" s="20">
        <v>1</v>
      </c>
    </row>
    <row r="919" spans="1:31">
      <c r="A919" s="20">
        <v>33556</v>
      </c>
      <c r="B919" s="20" t="s">
        <v>5770</v>
      </c>
      <c r="C919" s="32" t="s">
        <v>6636</v>
      </c>
      <c r="W919" s="20" t="str">
        <f>IF(Q919&lt;&gt;0,3,IF(K919="","",VLOOKUP(K919,'#状态名词'!$J$1:$K$15,2,FALSE)))</f>
        <v/>
      </c>
      <c r="AA919" s="20">
        <v>1</v>
      </c>
      <c r="AB919" s="20">
        <v>33556</v>
      </c>
      <c r="AC919" s="20">
        <v>100</v>
      </c>
      <c r="AD919" s="20">
        <v>1</v>
      </c>
    </row>
    <row r="920" spans="1:31">
      <c r="A920" s="20">
        <v>33557</v>
      </c>
      <c r="B920" s="20" t="s">
        <v>5771</v>
      </c>
      <c r="C920" s="32" t="s">
        <v>3648</v>
      </c>
      <c r="Q920" s="20">
        <v>3</v>
      </c>
      <c r="R920" s="20">
        <v>1</v>
      </c>
      <c r="S920" s="20">
        <v>35</v>
      </c>
      <c r="W920" s="20">
        <f>IF(Q920&lt;&gt;0,3,IF(K920="","",VLOOKUP(K920,'#状态名词'!$J$1:$K$15,2,FALSE)))</f>
        <v>3</v>
      </c>
      <c r="AA920" s="20">
        <v>1</v>
      </c>
      <c r="AB920" s="20">
        <v>33557</v>
      </c>
      <c r="AC920" s="20">
        <v>100</v>
      </c>
      <c r="AD920" s="20">
        <v>1</v>
      </c>
    </row>
    <row r="921" spans="1:31">
      <c r="A921" s="20">
        <v>33558</v>
      </c>
      <c r="B921" s="20" t="s">
        <v>5772</v>
      </c>
      <c r="C921" s="32" t="s">
        <v>6651</v>
      </c>
      <c r="G921" s="20">
        <v>41012</v>
      </c>
      <c r="K921" s="20">
        <v>9</v>
      </c>
      <c r="W921" s="20">
        <f>IF(Q921&lt;&gt;0,3,IF(K921="","",VLOOKUP(K921,'#状态名词'!$J$1:$K$15,2,FALSE)))</f>
        <v>3</v>
      </c>
      <c r="AA921" s="20">
        <v>1</v>
      </c>
      <c r="AB921" s="20">
        <v>33558</v>
      </c>
      <c r="AC921" s="20">
        <v>100</v>
      </c>
      <c r="AD921" s="20">
        <v>1</v>
      </c>
    </row>
    <row r="922" spans="1:31">
      <c r="A922" s="20">
        <v>33559</v>
      </c>
      <c r="B922" s="20" t="s">
        <v>5773</v>
      </c>
      <c r="C922" s="32" t="s">
        <v>6624</v>
      </c>
      <c r="W922" s="20" t="str">
        <f>IF(Q922&lt;&gt;0,3,IF(K922="","",VLOOKUP(K922,'#状态名词'!$J$1:$K$15,2,FALSE)))</f>
        <v/>
      </c>
      <c r="AA922" s="20">
        <v>1</v>
      </c>
      <c r="AB922" s="20">
        <v>33559</v>
      </c>
      <c r="AC922" s="20">
        <v>100</v>
      </c>
      <c r="AD922" s="20">
        <v>1</v>
      </c>
    </row>
    <row r="923" spans="1:31">
      <c r="A923" s="20">
        <v>33560</v>
      </c>
      <c r="B923" s="20" t="s">
        <v>5774</v>
      </c>
      <c r="C923" s="32" t="s">
        <v>6532</v>
      </c>
      <c r="G923" s="20">
        <v>41012</v>
      </c>
      <c r="K923" s="20">
        <v>9</v>
      </c>
      <c r="W923" s="20">
        <f>IF(Q923&lt;&gt;0,3,IF(K923="","",VLOOKUP(K923,'#状态名词'!$J$1:$K$15,2,FALSE)))</f>
        <v>3</v>
      </c>
      <c r="AA923" s="20">
        <v>1</v>
      </c>
      <c r="AB923" s="20">
        <v>33560</v>
      </c>
      <c r="AC923" s="20">
        <v>100</v>
      </c>
      <c r="AD923" s="20">
        <v>1</v>
      </c>
    </row>
    <row r="924" spans="1:31">
      <c r="A924" s="20">
        <v>33561</v>
      </c>
      <c r="B924" s="32" t="s">
        <v>4483</v>
      </c>
      <c r="C924" s="34" t="s">
        <v>6826</v>
      </c>
      <c r="W924" s="20" t="str">
        <f>IF(Q924&lt;&gt;0,3,IF(K924="","",VLOOKUP(K924,'#状态名词'!$J$1:$K$15,2,FALSE)))</f>
        <v/>
      </c>
      <c r="AA924" s="20">
        <v>1</v>
      </c>
      <c r="AB924" s="20">
        <v>33561</v>
      </c>
      <c r="AC924" s="20">
        <v>100</v>
      </c>
      <c r="AD924" s="20">
        <v>1</v>
      </c>
    </row>
    <row r="925" spans="1:31">
      <c r="A925" s="20">
        <v>33562</v>
      </c>
      <c r="B925" s="32" t="s">
        <v>3798</v>
      </c>
      <c r="C925" s="34" t="s">
        <v>6827</v>
      </c>
      <c r="K925" s="20">
        <v>0</v>
      </c>
      <c r="W925" s="20">
        <f>IF(Q925&lt;&gt;0,3,IF(K925="","",VLOOKUP(K925,'#状态名词'!$J$1:$K$15,2,FALSE)))</f>
        <v>0</v>
      </c>
      <c r="AA925" s="20">
        <v>1</v>
      </c>
      <c r="AB925" s="20">
        <v>33562</v>
      </c>
      <c r="AC925" s="20">
        <v>100</v>
      </c>
      <c r="AD925" s="20">
        <v>1</v>
      </c>
    </row>
    <row r="926" spans="1:31">
      <c r="A926" s="20">
        <v>33563</v>
      </c>
      <c r="B926" s="32" t="s">
        <v>3799</v>
      </c>
      <c r="C926" s="34" t="s">
        <v>6824</v>
      </c>
      <c r="K926" s="20">
        <v>0</v>
      </c>
      <c r="W926" s="20">
        <f>IF(Q926&lt;&gt;0,3,IF(K926="","",VLOOKUP(K926,'#状态名词'!$J$1:$K$15,2,FALSE)))</f>
        <v>0</v>
      </c>
      <c r="AA926" s="20">
        <v>1</v>
      </c>
      <c r="AB926" s="20">
        <v>33563</v>
      </c>
      <c r="AC926" s="20">
        <v>100</v>
      </c>
      <c r="AD926" s="20">
        <v>1</v>
      </c>
    </row>
    <row r="927" spans="1:31">
      <c r="A927" s="20">
        <v>33564</v>
      </c>
      <c r="B927" s="32" t="s">
        <v>3800</v>
      </c>
      <c r="C927" s="34" t="s">
        <v>6825</v>
      </c>
      <c r="K927" s="20">
        <v>0</v>
      </c>
      <c r="W927" s="20">
        <f>IF(Q927&lt;&gt;0,3,IF(K927="","",VLOOKUP(K927,'#状态名词'!$J$1:$K$15,2,FALSE)))</f>
        <v>0</v>
      </c>
      <c r="AA927" s="20">
        <v>1</v>
      </c>
      <c r="AB927" s="20">
        <v>33564</v>
      </c>
      <c r="AC927" s="20">
        <v>100</v>
      </c>
      <c r="AD927" s="20">
        <v>1</v>
      </c>
    </row>
    <row r="928" spans="1:31">
      <c r="A928" s="20">
        <v>33565</v>
      </c>
      <c r="B928" s="32" t="s">
        <v>5778</v>
      </c>
      <c r="C928" s="34" t="s">
        <v>6844</v>
      </c>
      <c r="K928" s="20">
        <v>9</v>
      </c>
      <c r="W928" s="20">
        <f>IF(Q928&lt;&gt;0,3,IF(K928="","",VLOOKUP(K928,'#状态名词'!$J$1:$K$15,2,FALSE)))</f>
        <v>3</v>
      </c>
      <c r="AA928" s="20">
        <v>1</v>
      </c>
      <c r="AB928" s="20">
        <v>33565</v>
      </c>
      <c r="AC928" s="20">
        <v>25</v>
      </c>
      <c r="AD928" s="20">
        <v>1</v>
      </c>
    </row>
    <row r="929" spans="1:33">
      <c r="A929" s="20">
        <v>33566</v>
      </c>
      <c r="B929" s="32" t="s">
        <v>5780</v>
      </c>
      <c r="C929" s="34" t="s">
        <v>6845</v>
      </c>
      <c r="K929" s="20">
        <v>9</v>
      </c>
      <c r="W929" s="20">
        <f>IF(Q929&lt;&gt;0,3,IF(K929="","",VLOOKUP(K929,'#状态名词'!$J$1:$K$15,2,FALSE)))</f>
        <v>3</v>
      </c>
      <c r="AA929" s="20">
        <v>1</v>
      </c>
      <c r="AB929" s="20">
        <v>33566</v>
      </c>
      <c r="AC929" s="20">
        <v>30</v>
      </c>
      <c r="AD929" s="20">
        <v>1</v>
      </c>
    </row>
    <row r="930" spans="1:33">
      <c r="A930" s="20">
        <v>33567</v>
      </c>
      <c r="B930" s="32" t="s">
        <v>5782</v>
      </c>
      <c r="C930" s="34" t="s">
        <v>6518</v>
      </c>
      <c r="K930" s="20">
        <v>9</v>
      </c>
      <c r="W930" s="20">
        <f>IF(Q930&lt;&gt;0,3,IF(K930="","",VLOOKUP(K930,'#状态名词'!$J$1:$K$15,2,FALSE)))</f>
        <v>3</v>
      </c>
      <c r="AA930" s="20">
        <v>1</v>
      </c>
      <c r="AB930" s="20">
        <v>31</v>
      </c>
      <c r="AC930" s="20">
        <v>30</v>
      </c>
      <c r="AD930" s="20">
        <v>1</v>
      </c>
      <c r="AE930" s="20">
        <v>1</v>
      </c>
    </row>
    <row r="931" spans="1:33">
      <c r="A931" s="20">
        <v>33568</v>
      </c>
      <c r="B931" s="32" t="s">
        <v>5783</v>
      </c>
      <c r="C931" s="34" t="s">
        <v>6519</v>
      </c>
      <c r="K931" s="20">
        <v>9</v>
      </c>
      <c r="W931" s="20">
        <f>IF(Q931&lt;&gt;0,3,IF(K931="","",VLOOKUP(K931,'#状态名词'!$J$1:$K$15,2,FALSE)))</f>
        <v>3</v>
      </c>
      <c r="AA931" s="20">
        <v>1</v>
      </c>
      <c r="AB931" s="20">
        <v>31</v>
      </c>
      <c r="AC931" s="20">
        <v>30</v>
      </c>
      <c r="AD931" s="20">
        <v>1</v>
      </c>
      <c r="AE931" s="20">
        <v>2</v>
      </c>
    </row>
    <row r="932" spans="1:33">
      <c r="B932" s="32"/>
      <c r="C932" s="34"/>
      <c r="W932" s="20" t="str">
        <f>IF(Q932&lt;&gt;0,3,IF(K932="","",VLOOKUP(K932,'#状态名词'!$J$1:$K$15,2,FALSE)))</f>
        <v/>
      </c>
      <c r="AA932" s="20">
        <v>1</v>
      </c>
      <c r="AB932" s="20">
        <v>43</v>
      </c>
      <c r="AC932" s="20">
        <v>30</v>
      </c>
      <c r="AD932" s="20">
        <v>1</v>
      </c>
      <c r="AE932" s="20">
        <v>1</v>
      </c>
    </row>
    <row r="933" spans="1:33">
      <c r="A933" s="20">
        <v>33569</v>
      </c>
      <c r="B933" s="32" t="s">
        <v>5784</v>
      </c>
      <c r="C933" s="34" t="s">
        <v>5785</v>
      </c>
      <c r="K933" s="20">
        <v>6</v>
      </c>
      <c r="W933" s="20">
        <f>IF(Q933&lt;&gt;0,3,IF(K933="","",VLOOKUP(K933,'#状态名词'!$J$1:$K$15,2,FALSE)))</f>
        <v>3</v>
      </c>
      <c r="AA933" s="20">
        <v>1</v>
      </c>
      <c r="AB933" s="20">
        <v>12</v>
      </c>
      <c r="AC933" s="20">
        <v>100</v>
      </c>
      <c r="AD933" s="20">
        <v>0</v>
      </c>
      <c r="AE933" s="20">
        <v>2</v>
      </c>
    </row>
    <row r="934" spans="1:33">
      <c r="B934" s="32"/>
      <c r="C934" s="34"/>
      <c r="W934" s="20" t="str">
        <f>IF(Q934&lt;&gt;0,3,IF(K934="","",VLOOKUP(K934,'#状态名词'!$J$1:$K$15,2,FALSE)))</f>
        <v/>
      </c>
      <c r="AA934" s="20">
        <v>1</v>
      </c>
      <c r="AB934" s="20">
        <v>44</v>
      </c>
      <c r="AC934" s="20">
        <v>100</v>
      </c>
      <c r="AD934" s="20">
        <v>0</v>
      </c>
      <c r="AE934" s="20">
        <v>1</v>
      </c>
    </row>
    <row r="935" spans="1:33">
      <c r="A935" s="20">
        <v>33570</v>
      </c>
      <c r="B935" s="32" t="s">
        <v>5786</v>
      </c>
      <c r="C935" s="34" t="s">
        <v>5787</v>
      </c>
      <c r="K935" s="20">
        <v>6</v>
      </c>
      <c r="W935" s="20">
        <f>IF(Q935&lt;&gt;0,3,IF(K935="","",VLOOKUP(K935,'#状态名词'!$J$1:$K$15,2,FALSE)))</f>
        <v>3</v>
      </c>
      <c r="AA935" s="20">
        <v>1</v>
      </c>
      <c r="AB935" s="20">
        <v>12</v>
      </c>
      <c r="AC935" s="20">
        <v>100</v>
      </c>
      <c r="AD935" s="20">
        <v>0</v>
      </c>
      <c r="AE935" s="20">
        <v>5</v>
      </c>
    </row>
    <row r="936" spans="1:33">
      <c r="B936" s="32"/>
      <c r="C936" s="34"/>
      <c r="W936" s="20" t="str">
        <f>IF(Q936&lt;&gt;0,3,IF(K936="","",VLOOKUP(K936,'#状态名词'!$J$1:$K$15,2,FALSE)))</f>
        <v/>
      </c>
      <c r="AA936" s="20">
        <v>1</v>
      </c>
      <c r="AB936" s="20">
        <v>44</v>
      </c>
      <c r="AC936" s="20">
        <v>100</v>
      </c>
      <c r="AD936" s="20">
        <v>0</v>
      </c>
      <c r="AE936" s="20">
        <v>2</v>
      </c>
    </row>
    <row r="937" spans="1:33">
      <c r="A937" s="20">
        <v>33571</v>
      </c>
      <c r="B937" s="32" t="s">
        <v>5788</v>
      </c>
      <c r="C937" s="34" t="s">
        <v>3701</v>
      </c>
      <c r="W937" s="20" t="str">
        <f>IF(Q937&lt;&gt;0,3,IF(K937="","",VLOOKUP(K937,'#状态名词'!$J$1:$K$15,2,FALSE)))</f>
        <v/>
      </c>
      <c r="AA937" s="20">
        <v>1</v>
      </c>
      <c r="AB937" s="20">
        <v>33571</v>
      </c>
      <c r="AC937" s="20">
        <v>100</v>
      </c>
      <c r="AD937" s="20">
        <v>1</v>
      </c>
    </row>
    <row r="938" spans="1:33">
      <c r="A938" s="20">
        <v>33572</v>
      </c>
      <c r="B938" s="32" t="s">
        <v>5789</v>
      </c>
      <c r="C938" s="34" t="s">
        <v>5790</v>
      </c>
      <c r="W938" s="20" t="str">
        <f>IF(Q938&lt;&gt;0,3,IF(K938="","",VLOOKUP(K938,'#状态名词'!$J$1:$K$15,2,FALSE)))</f>
        <v/>
      </c>
      <c r="AA938" s="20">
        <v>1</v>
      </c>
      <c r="AB938" s="20">
        <v>33572</v>
      </c>
      <c r="AC938" s="20">
        <v>100</v>
      </c>
      <c r="AD938" s="20">
        <v>1</v>
      </c>
    </row>
    <row r="939" spans="1:33">
      <c r="A939" s="20">
        <v>33573</v>
      </c>
      <c r="B939" s="32" t="s">
        <v>5791</v>
      </c>
      <c r="C939" s="34" t="s">
        <v>6846</v>
      </c>
      <c r="K939" s="20">
        <v>9</v>
      </c>
      <c r="W939" s="20">
        <f>IF(Q939&lt;&gt;0,3,IF(K939="","",VLOOKUP(K939,'#状态名词'!$J$1:$K$15,2,FALSE)))</f>
        <v>3</v>
      </c>
      <c r="AA939" s="20">
        <v>1</v>
      </c>
      <c r="AB939" s="20">
        <v>33573</v>
      </c>
      <c r="AC939" s="20">
        <v>100</v>
      </c>
      <c r="AD939" s="20">
        <v>1</v>
      </c>
    </row>
    <row r="940" spans="1:33">
      <c r="A940" s="20">
        <v>33574</v>
      </c>
      <c r="B940" s="32" t="s">
        <v>5793</v>
      </c>
      <c r="C940" s="34" t="s">
        <v>6847</v>
      </c>
      <c r="K940" s="20">
        <v>9</v>
      </c>
      <c r="W940" s="20">
        <f>IF(Q940&lt;&gt;0,3,IF(K940="","",VLOOKUP(K940,'#状态名词'!$J$1:$K$15,2,FALSE)))</f>
        <v>3</v>
      </c>
      <c r="AA940" s="20">
        <v>1</v>
      </c>
      <c r="AB940" s="20">
        <v>33574</v>
      </c>
      <c r="AC940" s="20">
        <v>100</v>
      </c>
      <c r="AD940" s="20">
        <v>1</v>
      </c>
    </row>
    <row r="941" spans="1:33">
      <c r="A941" s="20">
        <v>33575</v>
      </c>
      <c r="B941" s="32" t="s">
        <v>5795</v>
      </c>
      <c r="C941" s="34" t="s">
        <v>7196</v>
      </c>
      <c r="K941" s="20">
        <v>9</v>
      </c>
      <c r="W941" s="20">
        <f>IF(Q941&lt;&gt;0,3,IF(K941="","",VLOOKUP(K941,'#状态名词'!$J$1:$K$15,2,FALSE)))</f>
        <v>3</v>
      </c>
      <c r="AA941" s="20">
        <v>1</v>
      </c>
      <c r="AB941" s="20">
        <v>33575</v>
      </c>
      <c r="AC941" s="20">
        <v>100</v>
      </c>
      <c r="AD941" s="20">
        <v>1</v>
      </c>
    </row>
    <row r="942" spans="1:33">
      <c r="A942" s="20">
        <v>33576</v>
      </c>
      <c r="B942" s="32" t="s">
        <v>5797</v>
      </c>
      <c r="C942" s="34" t="s">
        <v>7197</v>
      </c>
      <c r="K942" s="20">
        <v>9</v>
      </c>
      <c r="W942" s="20">
        <f>IF(Q942&lt;&gt;0,3,IF(K942="","",VLOOKUP(K942,'#状态名词'!$J$1:$K$15,2,FALSE)))</f>
        <v>3</v>
      </c>
      <c r="AA942" s="20">
        <v>1</v>
      </c>
      <c r="AB942" s="20">
        <v>33576</v>
      </c>
      <c r="AC942" s="20">
        <v>100</v>
      </c>
      <c r="AD942" s="20">
        <v>1</v>
      </c>
    </row>
    <row r="943" spans="1:33">
      <c r="A943" s="20">
        <v>33577</v>
      </c>
      <c r="B943" s="32" t="s">
        <v>5799</v>
      </c>
      <c r="C943" s="34" t="s">
        <v>6119</v>
      </c>
      <c r="W943" s="20" t="str">
        <f>IF(Q943&lt;&gt;0,3,IF(K943="","",VLOOKUP(K943,'#状态名词'!$J$1:$K$15,2,FALSE)))</f>
        <v/>
      </c>
      <c r="AF943" s="20">
        <v>33577</v>
      </c>
      <c r="AG943" s="20">
        <v>1</v>
      </c>
    </row>
    <row r="944" spans="1:33">
      <c r="A944" s="20">
        <v>33578</v>
      </c>
      <c r="B944" s="32" t="s">
        <v>5801</v>
      </c>
      <c r="C944" s="34" t="s">
        <v>6118</v>
      </c>
      <c r="W944" s="20" t="str">
        <f>IF(Q944&lt;&gt;0,3,IF(K944="","",VLOOKUP(K944,'#状态名词'!$J$1:$K$15,2,FALSE)))</f>
        <v/>
      </c>
      <c r="AF944" s="20">
        <v>33578</v>
      </c>
      <c r="AG944" s="20">
        <v>1</v>
      </c>
    </row>
    <row r="945" spans="1:31">
      <c r="A945" s="20">
        <v>33579</v>
      </c>
      <c r="B945" s="32" t="s">
        <v>5803</v>
      </c>
      <c r="C945" s="34" t="s">
        <v>5804</v>
      </c>
      <c r="K945" s="20">
        <v>9</v>
      </c>
      <c r="W945" s="20">
        <f>IF(Q945&lt;&gt;0,3,IF(K945="","",VLOOKUP(K945,'#状态名词'!$J$1:$K$15,2,FALSE)))</f>
        <v>3</v>
      </c>
      <c r="AA945" s="20">
        <v>1</v>
      </c>
      <c r="AB945" s="20">
        <v>42</v>
      </c>
      <c r="AC945" s="20">
        <v>20</v>
      </c>
      <c r="AD945" s="20">
        <v>1</v>
      </c>
      <c r="AE945" s="20">
        <v>1</v>
      </c>
    </row>
    <row r="946" spans="1:31">
      <c r="B946" s="32"/>
      <c r="C946" s="34"/>
      <c r="W946" s="20" t="str">
        <f>IF(Q946&lt;&gt;0,3,IF(K946="","",VLOOKUP(K946,'#状态名词'!$J$1:$K$15,2,FALSE)))</f>
        <v/>
      </c>
      <c r="AA946" s="20">
        <v>1</v>
      </c>
      <c r="AB946" s="20">
        <v>31</v>
      </c>
      <c r="AC946" s="20">
        <v>2</v>
      </c>
      <c r="AD946" s="20">
        <v>1</v>
      </c>
      <c r="AE946" s="20">
        <v>10</v>
      </c>
    </row>
    <row r="947" spans="1:31">
      <c r="B947" s="32"/>
      <c r="C947" s="34"/>
      <c r="W947" s="20" t="str">
        <f>IF(Q947&lt;&gt;0,3,IF(K947="","",VLOOKUP(K947,'#状态名词'!$J$1:$K$15,2,FALSE)))</f>
        <v/>
      </c>
      <c r="AA947" s="20">
        <v>1</v>
      </c>
      <c r="AB947" s="20">
        <v>34</v>
      </c>
      <c r="AC947" s="20">
        <v>20</v>
      </c>
      <c r="AD947" s="20">
        <v>1</v>
      </c>
      <c r="AE947" s="20">
        <v>1</v>
      </c>
    </row>
    <row r="948" spans="1:31">
      <c r="B948" s="32"/>
      <c r="C948" s="34"/>
      <c r="W948" s="20" t="str">
        <f>IF(Q948&lt;&gt;0,3,IF(K948="","",VLOOKUP(K948,'#状态名词'!$J$1:$K$15,2,FALSE)))</f>
        <v/>
      </c>
      <c r="AA948" s="20">
        <v>1</v>
      </c>
      <c r="AB948" s="20">
        <v>35</v>
      </c>
      <c r="AC948" s="20">
        <v>20</v>
      </c>
      <c r="AD948" s="20">
        <v>1</v>
      </c>
      <c r="AE948" s="20">
        <v>1</v>
      </c>
    </row>
    <row r="949" spans="1:31">
      <c r="B949" s="32"/>
      <c r="C949" s="34"/>
      <c r="W949" s="20" t="str">
        <f>IF(Q949&lt;&gt;0,3,IF(K949="","",VLOOKUP(K949,'#状态名词'!$J$1:$K$15,2,FALSE)))</f>
        <v/>
      </c>
      <c r="AA949" s="20">
        <v>1</v>
      </c>
      <c r="AB949" s="20">
        <v>36</v>
      </c>
      <c r="AC949" s="20">
        <v>20</v>
      </c>
      <c r="AD949" s="20">
        <v>1</v>
      </c>
      <c r="AE949" s="20">
        <v>1</v>
      </c>
    </row>
    <row r="950" spans="1:31">
      <c r="B950" s="32"/>
      <c r="C950" s="34"/>
      <c r="W950" s="20" t="str">
        <f>IF(Q950&lt;&gt;0,3,IF(K950="","",VLOOKUP(K950,'#状态名词'!$J$1:$K$15,2,FALSE)))</f>
        <v/>
      </c>
      <c r="AA950" s="20">
        <v>1</v>
      </c>
      <c r="AB950" s="20">
        <v>41</v>
      </c>
      <c r="AC950" s="20">
        <v>20</v>
      </c>
      <c r="AD950" s="20">
        <v>1</v>
      </c>
      <c r="AE950" s="20">
        <v>1</v>
      </c>
    </row>
    <row r="951" spans="1:31">
      <c r="B951" s="32"/>
      <c r="C951" s="34"/>
      <c r="W951" s="20" t="str">
        <f>IF(Q951&lt;&gt;0,3,IF(K951="","",VLOOKUP(K951,'#状态名词'!$J$1:$K$15,2,FALSE)))</f>
        <v/>
      </c>
      <c r="AA951" s="20">
        <v>1</v>
      </c>
      <c r="AB951" s="20">
        <v>51</v>
      </c>
      <c r="AC951" s="20">
        <v>20</v>
      </c>
      <c r="AD951" s="20">
        <v>1</v>
      </c>
      <c r="AE951" s="20">
        <v>1</v>
      </c>
    </row>
    <row r="952" spans="1:31">
      <c r="A952" s="20">
        <v>33580</v>
      </c>
      <c r="B952" s="32" t="s">
        <v>5805</v>
      </c>
      <c r="C952" s="34" t="s">
        <v>5806</v>
      </c>
      <c r="K952" s="20">
        <v>9</v>
      </c>
      <c r="W952" s="20">
        <f>IF(Q952&lt;&gt;0,3,IF(K952="","",VLOOKUP(K952,'#状态名词'!$J$1:$K$15,2,FALSE)))</f>
        <v>3</v>
      </c>
      <c r="AA952" s="20">
        <v>1</v>
      </c>
      <c r="AB952" s="20">
        <v>42</v>
      </c>
      <c r="AC952" s="20">
        <v>20</v>
      </c>
      <c r="AD952" s="20">
        <v>1</v>
      </c>
      <c r="AE952" s="20">
        <v>2</v>
      </c>
    </row>
    <row r="953" spans="1:31">
      <c r="B953" s="32"/>
      <c r="C953" s="34"/>
      <c r="W953" s="20" t="str">
        <f>IF(Q953&lt;&gt;0,3,IF(K953="","",VLOOKUP(K953,'#状态名词'!$J$1:$K$15,2,FALSE)))</f>
        <v/>
      </c>
      <c r="AA953" s="20">
        <v>1</v>
      </c>
      <c r="AB953" s="20">
        <v>31</v>
      </c>
      <c r="AC953" s="20">
        <v>2</v>
      </c>
      <c r="AD953" s="20">
        <v>1</v>
      </c>
      <c r="AE953" s="20">
        <v>20</v>
      </c>
    </row>
    <row r="954" spans="1:31">
      <c r="B954" s="32"/>
      <c r="C954" s="34"/>
      <c r="W954" s="20" t="str">
        <f>IF(Q954&lt;&gt;0,3,IF(K954="","",VLOOKUP(K954,'#状态名词'!$J$1:$K$15,2,FALSE)))</f>
        <v/>
      </c>
      <c r="AA954" s="20">
        <v>1</v>
      </c>
      <c r="AB954" s="20">
        <v>34</v>
      </c>
      <c r="AC954" s="20">
        <v>20</v>
      </c>
      <c r="AD954" s="20">
        <v>1</v>
      </c>
      <c r="AE954" s="20">
        <v>2</v>
      </c>
    </row>
    <row r="955" spans="1:31">
      <c r="B955" s="32"/>
      <c r="C955" s="34"/>
      <c r="W955" s="20" t="str">
        <f>IF(Q955&lt;&gt;0,3,IF(K955="","",VLOOKUP(K955,'#状态名词'!$J$1:$K$15,2,FALSE)))</f>
        <v/>
      </c>
      <c r="AA955" s="20">
        <v>1</v>
      </c>
      <c r="AB955" s="20">
        <v>35</v>
      </c>
      <c r="AC955" s="20">
        <v>20</v>
      </c>
      <c r="AD955" s="20">
        <v>1</v>
      </c>
      <c r="AE955" s="20">
        <v>2</v>
      </c>
    </row>
    <row r="956" spans="1:31">
      <c r="B956" s="32"/>
      <c r="C956" s="34"/>
      <c r="W956" s="20" t="str">
        <f>IF(Q956&lt;&gt;0,3,IF(K956="","",VLOOKUP(K956,'#状态名词'!$J$1:$K$15,2,FALSE)))</f>
        <v/>
      </c>
      <c r="AA956" s="20">
        <v>1</v>
      </c>
      <c r="AB956" s="20">
        <v>36</v>
      </c>
      <c r="AC956" s="20">
        <v>20</v>
      </c>
      <c r="AD956" s="20">
        <v>1</v>
      </c>
      <c r="AE956" s="20">
        <v>2</v>
      </c>
    </row>
    <row r="957" spans="1:31">
      <c r="B957" s="32"/>
      <c r="C957" s="34"/>
      <c r="W957" s="20" t="str">
        <f>IF(Q957&lt;&gt;0,3,IF(K957="","",VLOOKUP(K957,'#状态名词'!$J$1:$K$15,2,FALSE)))</f>
        <v/>
      </c>
      <c r="AA957" s="20">
        <v>1</v>
      </c>
      <c r="AB957" s="20">
        <v>41</v>
      </c>
      <c r="AC957" s="20">
        <v>20</v>
      </c>
      <c r="AD957" s="20">
        <v>1</v>
      </c>
      <c r="AE957" s="20">
        <v>2</v>
      </c>
    </row>
    <row r="958" spans="1:31">
      <c r="B958" s="32"/>
      <c r="C958" s="34"/>
      <c r="W958" s="20" t="str">
        <f>IF(Q958&lt;&gt;0,3,IF(K958="","",VLOOKUP(K958,'#状态名词'!$J$1:$K$15,2,FALSE)))</f>
        <v/>
      </c>
      <c r="AA958" s="20">
        <v>1</v>
      </c>
      <c r="AB958" s="20">
        <v>51</v>
      </c>
      <c r="AC958" s="20">
        <v>20</v>
      </c>
      <c r="AD958" s="20">
        <v>1</v>
      </c>
      <c r="AE958" s="20">
        <v>2</v>
      </c>
    </row>
    <row r="959" spans="1:31">
      <c r="A959" s="20">
        <v>33581</v>
      </c>
      <c r="B959" s="32" t="s">
        <v>5807</v>
      </c>
      <c r="C959" s="34" t="s">
        <v>6848</v>
      </c>
      <c r="Q959" s="20">
        <v>1</v>
      </c>
      <c r="R959" s="20">
        <v>2</v>
      </c>
      <c r="S959" s="20">
        <v>1</v>
      </c>
      <c r="W959" s="20">
        <f>IF(Q959&lt;&gt;0,3,IF(K959="","",VLOOKUP(K959,'#状态名词'!$J$1:$K$15,2,FALSE)))</f>
        <v>3</v>
      </c>
      <c r="AA959" s="20">
        <v>1</v>
      </c>
      <c r="AB959" s="20">
        <v>33581</v>
      </c>
      <c r="AC959" s="20">
        <v>100</v>
      </c>
      <c r="AD959" s="20">
        <v>1</v>
      </c>
    </row>
    <row r="960" spans="1:31">
      <c r="A960" s="20">
        <v>33582</v>
      </c>
      <c r="B960" s="32" t="s">
        <v>5809</v>
      </c>
      <c r="C960" s="34" t="s">
        <v>6849</v>
      </c>
      <c r="Q960" s="20">
        <v>1</v>
      </c>
      <c r="R960" s="20">
        <v>2</v>
      </c>
      <c r="S960" s="20">
        <v>1</v>
      </c>
      <c r="W960" s="20">
        <f>IF(Q960&lt;&gt;0,3,IF(K960="","",VLOOKUP(K960,'#状态名词'!$J$1:$K$15,2,FALSE)))</f>
        <v>3</v>
      </c>
      <c r="AA960" s="20">
        <v>1</v>
      </c>
      <c r="AB960" s="20">
        <v>33582</v>
      </c>
      <c r="AC960" s="20">
        <v>100</v>
      </c>
      <c r="AD960" s="20">
        <v>1</v>
      </c>
    </row>
    <row r="961" spans="1:31">
      <c r="A961" s="20">
        <v>33583</v>
      </c>
      <c r="B961" s="32" t="s">
        <v>5811</v>
      </c>
      <c r="C961" s="34" t="s">
        <v>5812</v>
      </c>
      <c r="K961" s="20">
        <v>6</v>
      </c>
      <c r="W961" s="20">
        <f>IF(Q961&lt;&gt;0,3,IF(K961="","",VLOOKUP(K961,'#状态名词'!$J$1:$K$15,2,FALSE)))</f>
        <v>3</v>
      </c>
      <c r="AA961" s="20">
        <v>1</v>
      </c>
      <c r="AB961" s="20">
        <v>22</v>
      </c>
      <c r="AC961" s="20">
        <v>100</v>
      </c>
      <c r="AD961" s="20">
        <v>0</v>
      </c>
      <c r="AE961" s="20">
        <v>1</v>
      </c>
    </row>
    <row r="962" spans="1:31">
      <c r="A962" s="20">
        <v>33584</v>
      </c>
      <c r="B962" s="32" t="s">
        <v>5813</v>
      </c>
      <c r="C962" s="34" t="s">
        <v>5814</v>
      </c>
      <c r="K962" s="20">
        <v>6</v>
      </c>
      <c r="W962" s="20">
        <f>IF(Q962&lt;&gt;0,3,IF(K962="","",VLOOKUP(K962,'#状态名词'!$J$1:$K$15,2,FALSE)))</f>
        <v>3</v>
      </c>
      <c r="AA962" s="20">
        <v>1</v>
      </c>
      <c r="AB962" s="20">
        <v>22</v>
      </c>
      <c r="AC962" s="20">
        <v>100</v>
      </c>
      <c r="AD962" s="20">
        <v>0</v>
      </c>
      <c r="AE962" s="20">
        <v>2</v>
      </c>
    </row>
    <row r="963" spans="1:31">
      <c r="A963" s="20">
        <v>33585</v>
      </c>
      <c r="B963" s="32" t="s">
        <v>5815</v>
      </c>
      <c r="C963" s="34" t="s">
        <v>5816</v>
      </c>
      <c r="K963" s="20">
        <v>6</v>
      </c>
      <c r="W963" s="20">
        <f>IF(Q963&lt;&gt;0,3,IF(K963="","",VLOOKUP(K963,'#状态名词'!$J$1:$K$15,2,FALSE)))</f>
        <v>3</v>
      </c>
      <c r="AA963" s="20">
        <v>1</v>
      </c>
      <c r="AB963" s="20">
        <v>44</v>
      </c>
      <c r="AC963" s="20">
        <v>100</v>
      </c>
      <c r="AD963" s="20">
        <v>1</v>
      </c>
      <c r="AE963" s="20">
        <v>1</v>
      </c>
    </row>
    <row r="964" spans="1:31">
      <c r="A964" s="20">
        <v>33586</v>
      </c>
      <c r="B964" s="32" t="s">
        <v>5817</v>
      </c>
      <c r="C964" s="34" t="s">
        <v>5818</v>
      </c>
      <c r="K964" s="20">
        <v>6</v>
      </c>
      <c r="W964" s="20">
        <f>IF(Q964&lt;&gt;0,3,IF(K964="","",VLOOKUP(K964,'#状态名词'!$J$1:$K$15,2,FALSE)))</f>
        <v>3</v>
      </c>
      <c r="AA964" s="20">
        <v>1</v>
      </c>
      <c r="AB964" s="20">
        <v>44</v>
      </c>
      <c r="AC964" s="20">
        <v>100</v>
      </c>
      <c r="AD964" s="20">
        <v>1</v>
      </c>
      <c r="AE964" s="20">
        <v>2</v>
      </c>
    </row>
    <row r="965" spans="1:31">
      <c r="A965" s="20">
        <v>33587</v>
      </c>
      <c r="B965" s="32" t="s">
        <v>5819</v>
      </c>
      <c r="C965" s="34" t="s">
        <v>5820</v>
      </c>
      <c r="Q965" s="20">
        <v>1</v>
      </c>
      <c r="R965" s="20">
        <v>0</v>
      </c>
      <c r="S965" s="20">
        <v>10</v>
      </c>
      <c r="W965" s="20">
        <f>IF(Q965&lt;&gt;0,3,IF(K965="","",VLOOKUP(K965,'#状态名词'!$J$1:$K$15,2,FALSE)))</f>
        <v>3</v>
      </c>
      <c r="AA965" s="20">
        <v>1</v>
      </c>
      <c r="AB965" s="20">
        <v>33587</v>
      </c>
      <c r="AC965" s="20">
        <v>100</v>
      </c>
      <c r="AD965" s="20">
        <v>1</v>
      </c>
    </row>
    <row r="966" spans="1:31">
      <c r="A966" s="20">
        <v>33588</v>
      </c>
      <c r="B966" s="32" t="s">
        <v>5821</v>
      </c>
      <c r="C966" s="34" t="s">
        <v>5822</v>
      </c>
      <c r="Q966" s="20">
        <v>1</v>
      </c>
      <c r="R966" s="20">
        <v>0</v>
      </c>
      <c r="S966" s="20">
        <v>10</v>
      </c>
      <c r="W966" s="20">
        <f>IF(Q966&lt;&gt;0,3,IF(K966="","",VLOOKUP(K966,'#状态名词'!$J$1:$K$15,2,FALSE)))</f>
        <v>3</v>
      </c>
      <c r="AA966" s="20">
        <v>1</v>
      </c>
      <c r="AB966" s="20">
        <v>33588</v>
      </c>
      <c r="AC966" s="20">
        <v>100</v>
      </c>
      <c r="AD966" s="20">
        <v>1</v>
      </c>
    </row>
    <row r="967" spans="1:31">
      <c r="A967" s="20">
        <v>33589</v>
      </c>
      <c r="B967" s="32" t="s">
        <v>5823</v>
      </c>
      <c r="C967" s="34" t="s">
        <v>7105</v>
      </c>
      <c r="W967" s="20" t="str">
        <f>IF(Q967&lt;&gt;0,3,IF(K967="","",VLOOKUP(K967,'#状态名词'!$J$1:$K$15,2,FALSE)))</f>
        <v/>
      </c>
      <c r="AA967" s="20">
        <v>1</v>
      </c>
      <c r="AB967" s="20">
        <v>33589</v>
      </c>
      <c r="AC967" s="20">
        <v>100</v>
      </c>
      <c r="AD967" s="20">
        <v>1</v>
      </c>
    </row>
    <row r="968" spans="1:31">
      <c r="A968" s="20">
        <v>33590</v>
      </c>
      <c r="B968" s="32" t="s">
        <v>5825</v>
      </c>
      <c r="C968" s="34" t="s">
        <v>7106</v>
      </c>
      <c r="W968" s="20" t="str">
        <f>IF(Q968&lt;&gt;0,3,IF(K968="","",VLOOKUP(K968,'#状态名词'!$J$1:$K$15,2,FALSE)))</f>
        <v/>
      </c>
      <c r="AA968" s="20">
        <v>1</v>
      </c>
      <c r="AB968" s="20">
        <v>33590</v>
      </c>
      <c r="AC968" s="20">
        <v>100</v>
      </c>
      <c r="AD968" s="20">
        <v>1</v>
      </c>
    </row>
    <row r="969" spans="1:31">
      <c r="A969" s="20">
        <v>33591</v>
      </c>
      <c r="B969" s="32" t="s">
        <v>5827</v>
      </c>
      <c r="C969" s="34" t="s">
        <v>7107</v>
      </c>
      <c r="W969" s="20" t="str">
        <f>IF(Q969&lt;&gt;0,3,IF(K969="","",VLOOKUP(K969,'#状态名词'!$J$1:$K$15,2,FALSE)))</f>
        <v/>
      </c>
      <c r="AA969" s="20">
        <v>1</v>
      </c>
      <c r="AB969" s="20">
        <v>33591</v>
      </c>
      <c r="AC969" s="20">
        <v>100</v>
      </c>
      <c r="AD969" s="20">
        <v>1</v>
      </c>
    </row>
    <row r="970" spans="1:31">
      <c r="A970" s="20">
        <v>33592</v>
      </c>
      <c r="B970" s="32" t="s">
        <v>5829</v>
      </c>
      <c r="C970" s="34" t="s">
        <v>7108</v>
      </c>
      <c r="W970" s="20" t="str">
        <f>IF(Q970&lt;&gt;0,3,IF(K970="","",VLOOKUP(K970,'#状态名词'!$J$1:$K$15,2,FALSE)))</f>
        <v/>
      </c>
      <c r="AA970" s="20">
        <v>1</v>
      </c>
      <c r="AB970" s="20">
        <v>33592</v>
      </c>
      <c r="AC970" s="20">
        <v>100</v>
      </c>
      <c r="AD970" s="20">
        <v>1</v>
      </c>
    </row>
    <row r="971" spans="1:31">
      <c r="A971" s="20">
        <v>33593</v>
      </c>
      <c r="B971" s="32" t="s">
        <v>5831</v>
      </c>
      <c r="C971" s="34" t="s">
        <v>5832</v>
      </c>
      <c r="W971" s="20" t="str">
        <f>IF(Q971&lt;&gt;0,3,IF(K971="","",VLOOKUP(K971,'#状态名词'!$J$1:$K$15,2,FALSE)))</f>
        <v/>
      </c>
      <c r="AA971" s="20">
        <v>1</v>
      </c>
      <c r="AB971" s="20">
        <v>33593</v>
      </c>
      <c r="AC971" s="20">
        <v>100</v>
      </c>
      <c r="AD971" s="20">
        <v>0</v>
      </c>
    </row>
    <row r="972" spans="1:31">
      <c r="A972" s="20">
        <v>33594</v>
      </c>
      <c r="B972" s="32" t="s">
        <v>5833</v>
      </c>
      <c r="C972" s="34" t="s">
        <v>5834</v>
      </c>
      <c r="W972" s="20" t="str">
        <f>IF(Q972&lt;&gt;0,3,IF(K972="","",VLOOKUP(K972,'#状态名词'!$J$1:$K$15,2,FALSE)))</f>
        <v/>
      </c>
      <c r="AA972" s="20">
        <v>1</v>
      </c>
      <c r="AB972" s="20">
        <v>33594</v>
      </c>
      <c r="AC972" s="20">
        <v>100</v>
      </c>
      <c r="AD972" s="20">
        <v>0</v>
      </c>
    </row>
    <row r="973" spans="1:31">
      <c r="A973" s="20">
        <v>33595</v>
      </c>
      <c r="B973" s="32" t="s">
        <v>5835</v>
      </c>
      <c r="C973" s="34" t="s">
        <v>5836</v>
      </c>
      <c r="W973" s="20" t="str">
        <f>IF(Q973&lt;&gt;0,3,IF(K973="","",VLOOKUP(K973,'#状态名词'!$J$1:$K$15,2,FALSE)))</f>
        <v/>
      </c>
      <c r="AA973" s="20">
        <v>1</v>
      </c>
      <c r="AB973" s="20">
        <v>33595</v>
      </c>
      <c r="AC973" s="20">
        <v>100</v>
      </c>
      <c r="AD973" s="20">
        <v>0</v>
      </c>
    </row>
    <row r="974" spans="1:31">
      <c r="A974" s="20">
        <v>33596</v>
      </c>
      <c r="B974" s="32" t="s">
        <v>5837</v>
      </c>
      <c r="C974" s="34" t="s">
        <v>5838</v>
      </c>
      <c r="W974" s="20" t="str">
        <f>IF(Q974&lt;&gt;0,3,IF(K974="","",VLOOKUP(K974,'#状态名词'!$J$1:$K$15,2,FALSE)))</f>
        <v/>
      </c>
      <c r="AA974" s="20">
        <v>1</v>
      </c>
      <c r="AB974" s="20">
        <v>33596</v>
      </c>
      <c r="AC974" s="20">
        <v>100</v>
      </c>
      <c r="AD974" s="20">
        <v>0</v>
      </c>
    </row>
    <row r="975" spans="1:31">
      <c r="A975" s="20">
        <v>33597</v>
      </c>
      <c r="B975" s="32" t="s">
        <v>5839</v>
      </c>
      <c r="C975" s="34" t="s">
        <v>6850</v>
      </c>
      <c r="K975" s="20">
        <v>9</v>
      </c>
      <c r="W975" s="20">
        <f>IF(Q975&lt;&gt;0,3,IF(K975="","",VLOOKUP(K975,'#状态名词'!$J$1:$K$15,2,FALSE)))</f>
        <v>3</v>
      </c>
      <c r="AA975" s="20">
        <v>1</v>
      </c>
      <c r="AB975" s="20">
        <v>33597</v>
      </c>
      <c r="AC975" s="20">
        <v>10</v>
      </c>
      <c r="AD975" s="20">
        <v>1</v>
      </c>
    </row>
    <row r="976" spans="1:31">
      <c r="A976" s="20">
        <v>33598</v>
      </c>
      <c r="B976" s="32" t="s">
        <v>5841</v>
      </c>
      <c r="C976" s="34" t="s">
        <v>6851</v>
      </c>
      <c r="K976" s="20">
        <v>9</v>
      </c>
      <c r="W976" s="20">
        <f>IF(Q976&lt;&gt;0,3,IF(K976="","",VLOOKUP(K976,'#状态名词'!$J$1:$K$15,2,FALSE)))</f>
        <v>3</v>
      </c>
      <c r="AA976" s="20">
        <v>1</v>
      </c>
      <c r="AB976" s="20">
        <v>33598</v>
      </c>
      <c r="AC976" s="20">
        <v>10</v>
      </c>
      <c r="AD976" s="20">
        <v>1</v>
      </c>
    </row>
    <row r="977" spans="1:31">
      <c r="A977" s="20">
        <v>33599</v>
      </c>
      <c r="B977" s="32" t="s">
        <v>5843</v>
      </c>
      <c r="C977" s="34" t="s">
        <v>6852</v>
      </c>
      <c r="K977" s="20">
        <v>9</v>
      </c>
      <c r="W977" s="20">
        <f>IF(Q977&lt;&gt;0,3,IF(K977="","",VLOOKUP(K977,'#状态名词'!$J$1:$K$15,2,FALSE)))</f>
        <v>3</v>
      </c>
      <c r="AA977" s="20">
        <v>1</v>
      </c>
      <c r="AB977" s="20">
        <v>33599</v>
      </c>
      <c r="AC977" s="20">
        <v>10</v>
      </c>
      <c r="AD977" s="20">
        <v>1</v>
      </c>
    </row>
    <row r="978" spans="1:31">
      <c r="A978" s="20">
        <v>33600</v>
      </c>
      <c r="B978" s="32" t="s">
        <v>5845</v>
      </c>
      <c r="C978" s="34" t="s">
        <v>6853</v>
      </c>
      <c r="K978" s="20">
        <v>9</v>
      </c>
      <c r="W978" s="20">
        <f>IF(Q978&lt;&gt;0,3,IF(K978="","",VLOOKUP(K978,'#状态名词'!$J$1:$K$15,2,FALSE)))</f>
        <v>3</v>
      </c>
      <c r="AA978" s="20">
        <v>1</v>
      </c>
      <c r="AB978" s="20">
        <v>33600</v>
      </c>
      <c r="AC978" s="20">
        <v>10</v>
      </c>
      <c r="AD978" s="20">
        <v>1</v>
      </c>
    </row>
    <row r="979" spans="1:31">
      <c r="A979" s="20">
        <v>33601</v>
      </c>
      <c r="B979" s="32" t="s">
        <v>5847</v>
      </c>
      <c r="C979" s="34" t="s">
        <v>6854</v>
      </c>
      <c r="K979" s="20">
        <v>9</v>
      </c>
      <c r="W979" s="20">
        <f>IF(Q979&lt;&gt;0,3,IF(K979="","",VLOOKUP(K979,'#状态名词'!$J$1:$K$15,2,FALSE)))</f>
        <v>3</v>
      </c>
      <c r="AA979" s="20">
        <v>1</v>
      </c>
      <c r="AB979" s="20">
        <v>33601</v>
      </c>
      <c r="AC979" s="20">
        <v>10</v>
      </c>
      <c r="AD979" s="20">
        <v>1</v>
      </c>
    </row>
    <row r="980" spans="1:31">
      <c r="A980" s="20">
        <v>33602</v>
      </c>
      <c r="B980" s="32" t="s">
        <v>5849</v>
      </c>
      <c r="C980" s="34" t="s">
        <v>6855</v>
      </c>
      <c r="K980" s="20">
        <v>9</v>
      </c>
      <c r="W980" s="20">
        <f>IF(Q980&lt;&gt;0,3,IF(K980="","",VLOOKUP(K980,'#状态名词'!$J$1:$K$15,2,FALSE)))</f>
        <v>3</v>
      </c>
      <c r="AA980" s="20">
        <v>1</v>
      </c>
      <c r="AB980" s="20">
        <v>33602</v>
      </c>
      <c r="AC980" s="20">
        <v>10</v>
      </c>
      <c r="AD980" s="20">
        <v>1</v>
      </c>
    </row>
    <row r="981" spans="1:31">
      <c r="A981" s="20">
        <v>33603</v>
      </c>
      <c r="B981" s="32" t="s">
        <v>5851</v>
      </c>
      <c r="C981" s="34" t="s">
        <v>6856</v>
      </c>
      <c r="K981" s="20">
        <v>9</v>
      </c>
      <c r="W981" s="20">
        <f>IF(Q981&lt;&gt;0,3,IF(K981="","",VLOOKUP(K981,'#状态名词'!$J$1:$K$15,2,FALSE)))</f>
        <v>3</v>
      </c>
      <c r="AA981" s="20">
        <v>1</v>
      </c>
      <c r="AB981" s="20">
        <v>33603</v>
      </c>
      <c r="AC981" s="20">
        <v>10</v>
      </c>
      <c r="AD981" s="20">
        <v>1</v>
      </c>
    </row>
    <row r="982" spans="1:31">
      <c r="A982" s="20">
        <v>33604</v>
      </c>
      <c r="B982" s="32" t="s">
        <v>5853</v>
      </c>
      <c r="C982" s="34" t="s">
        <v>6857</v>
      </c>
      <c r="K982" s="20">
        <v>9</v>
      </c>
      <c r="W982" s="20">
        <f>IF(Q982&lt;&gt;0,3,IF(K982="","",VLOOKUP(K982,'#状态名词'!$J$1:$K$15,2,FALSE)))</f>
        <v>3</v>
      </c>
      <c r="AA982" s="20">
        <v>1</v>
      </c>
      <c r="AB982" s="20">
        <v>33604</v>
      </c>
      <c r="AC982" s="20">
        <v>10</v>
      </c>
      <c r="AD982" s="20">
        <v>1</v>
      </c>
    </row>
    <row r="983" spans="1:31">
      <c r="A983" s="20">
        <v>33605</v>
      </c>
      <c r="B983" s="32" t="s">
        <v>5855</v>
      </c>
      <c r="C983" s="34" t="s">
        <v>6858</v>
      </c>
      <c r="K983" s="20">
        <v>10</v>
      </c>
      <c r="W983" s="20">
        <f>IF(Q983&lt;&gt;0,3,IF(K983="","",VLOOKUP(K983,'#状态名词'!$J$1:$K$15,2,FALSE)))</f>
        <v>3</v>
      </c>
      <c r="AA983" s="20">
        <v>1</v>
      </c>
      <c r="AB983" s="20">
        <v>33605</v>
      </c>
      <c r="AC983" s="20">
        <v>100</v>
      </c>
      <c r="AD983" s="20">
        <v>1</v>
      </c>
    </row>
    <row r="984" spans="1:31">
      <c r="A984" s="20">
        <v>33606</v>
      </c>
      <c r="B984" s="32" t="s">
        <v>5857</v>
      </c>
      <c r="C984" s="34" t="s">
        <v>6859</v>
      </c>
      <c r="K984" s="20">
        <v>10</v>
      </c>
      <c r="W984" s="20">
        <f>IF(Q984&lt;&gt;0,3,IF(K984="","",VLOOKUP(K984,'#状态名词'!$J$1:$K$15,2,FALSE)))</f>
        <v>3</v>
      </c>
      <c r="AA984" s="20">
        <v>1</v>
      </c>
      <c r="AB984" s="20">
        <v>33606</v>
      </c>
      <c r="AC984" s="20">
        <v>100</v>
      </c>
      <c r="AD984" s="20">
        <v>1</v>
      </c>
    </row>
    <row r="985" spans="1:31">
      <c r="A985" s="20">
        <v>33607</v>
      </c>
      <c r="B985" s="32" t="s">
        <v>5859</v>
      </c>
      <c r="C985" s="34" t="s">
        <v>6860</v>
      </c>
      <c r="K985" s="20">
        <v>10</v>
      </c>
      <c r="W985" s="20">
        <f>IF(Q985&lt;&gt;0,3,IF(K985="","",VLOOKUP(K985,'#状态名词'!$J$1:$K$15,2,FALSE)))</f>
        <v>3</v>
      </c>
      <c r="AA985" s="20">
        <v>1</v>
      </c>
      <c r="AB985" s="20">
        <v>33607</v>
      </c>
      <c r="AC985" s="20">
        <v>100</v>
      </c>
      <c r="AD985" s="20">
        <v>1</v>
      </c>
    </row>
    <row r="986" spans="1:31">
      <c r="A986" s="20">
        <v>33608</v>
      </c>
      <c r="B986" s="32" t="s">
        <v>5861</v>
      </c>
      <c r="C986" s="34" t="s">
        <v>6861</v>
      </c>
      <c r="K986" s="20">
        <v>10</v>
      </c>
      <c r="W986" s="20">
        <f>IF(Q986&lt;&gt;0,3,IF(K986="","",VLOOKUP(K986,'#状态名词'!$J$1:$K$15,2,FALSE)))</f>
        <v>3</v>
      </c>
      <c r="AA986" s="20">
        <v>1</v>
      </c>
      <c r="AB986" s="20">
        <v>33608</v>
      </c>
      <c r="AC986" s="20">
        <v>100</v>
      </c>
      <c r="AD986" s="20">
        <v>1</v>
      </c>
    </row>
    <row r="987" spans="1:31">
      <c r="A987" s="20">
        <v>33609</v>
      </c>
      <c r="B987" s="32" t="s">
        <v>5863</v>
      </c>
      <c r="C987" s="34" t="s">
        <v>6862</v>
      </c>
      <c r="K987" s="20">
        <v>9</v>
      </c>
      <c r="W987" s="20">
        <f>IF(Q987&lt;&gt;0,3,IF(K987="","",VLOOKUP(K987,'#状态名词'!$J$1:$K$15,2,FALSE)))</f>
        <v>3</v>
      </c>
      <c r="AA987" s="20">
        <v>1</v>
      </c>
      <c r="AB987" s="20">
        <v>33609</v>
      </c>
      <c r="AC987" s="20">
        <v>100</v>
      </c>
      <c r="AD987" s="20">
        <v>1</v>
      </c>
    </row>
    <row r="988" spans="1:31">
      <c r="A988" s="20">
        <v>33610</v>
      </c>
      <c r="B988" s="32" t="s">
        <v>5865</v>
      </c>
      <c r="C988" s="34" t="s">
        <v>6863</v>
      </c>
      <c r="K988" s="20">
        <v>9</v>
      </c>
      <c r="W988" s="20">
        <f>IF(Q988&lt;&gt;0,3,IF(K988="","",VLOOKUP(K988,'#状态名词'!$J$1:$K$15,2,FALSE)))</f>
        <v>3</v>
      </c>
      <c r="AA988" s="20">
        <v>1</v>
      </c>
      <c r="AB988" s="20">
        <v>33610</v>
      </c>
      <c r="AC988" s="20">
        <v>100</v>
      </c>
      <c r="AD988" s="20">
        <v>1</v>
      </c>
    </row>
    <row r="989" spans="1:31">
      <c r="A989" s="20">
        <v>33611</v>
      </c>
      <c r="B989" s="32" t="s">
        <v>5867</v>
      </c>
      <c r="C989" s="34" t="s">
        <v>6864</v>
      </c>
      <c r="K989" s="20">
        <v>6</v>
      </c>
      <c r="W989" s="20">
        <f>IF(Q989&lt;&gt;0,3,IF(K989="","",VLOOKUP(K989,'#状态名词'!$J$1:$K$15,2,FALSE)))</f>
        <v>3</v>
      </c>
      <c r="AA989" s="20">
        <v>1</v>
      </c>
      <c r="AB989" s="20">
        <v>33611</v>
      </c>
      <c r="AC989" s="20">
        <v>100</v>
      </c>
      <c r="AD989" s="20">
        <v>1</v>
      </c>
    </row>
    <row r="990" spans="1:31">
      <c r="A990" s="20">
        <v>33612</v>
      </c>
      <c r="B990" s="32" t="s">
        <v>5869</v>
      </c>
      <c r="C990" s="34" t="s">
        <v>6865</v>
      </c>
      <c r="K990" s="20">
        <v>6</v>
      </c>
      <c r="W990" s="20">
        <f>IF(Q990&lt;&gt;0,3,IF(K990="","",VLOOKUP(K990,'#状态名词'!$J$1:$K$15,2,FALSE)))</f>
        <v>3</v>
      </c>
      <c r="AA990" s="20">
        <v>1</v>
      </c>
      <c r="AB990" s="20">
        <v>33612</v>
      </c>
      <c r="AC990" s="20">
        <v>100</v>
      </c>
      <c r="AD990" s="20">
        <v>1</v>
      </c>
    </row>
    <row r="991" spans="1:31">
      <c r="A991" s="20">
        <v>33613</v>
      </c>
      <c r="B991" s="20" t="s">
        <v>5871</v>
      </c>
      <c r="C991" s="34" t="s">
        <v>6520</v>
      </c>
      <c r="K991" s="20">
        <v>10</v>
      </c>
      <c r="W991" s="20">
        <f>IF(Q991&lt;&gt;0,3,IF(K991="","",VLOOKUP(K991,'#状态名词'!$J$1:$K$15,2,FALSE)))</f>
        <v>3</v>
      </c>
      <c r="AA991" s="20">
        <v>1</v>
      </c>
      <c r="AB991" s="20">
        <v>42</v>
      </c>
      <c r="AC991" s="20">
        <v>100</v>
      </c>
      <c r="AD991" s="20">
        <v>1</v>
      </c>
      <c r="AE991" s="20">
        <v>1</v>
      </c>
    </row>
    <row r="992" spans="1:31">
      <c r="A992" s="20">
        <v>33614</v>
      </c>
      <c r="B992" s="20" t="s">
        <v>5872</v>
      </c>
      <c r="C992" s="34" t="s">
        <v>6521</v>
      </c>
      <c r="K992" s="20">
        <v>10</v>
      </c>
      <c r="W992" s="20">
        <f>IF(Q992&lt;&gt;0,3,IF(K992="","",VLOOKUP(K992,'#状态名词'!$J$1:$K$15,2,FALSE)))</f>
        <v>3</v>
      </c>
      <c r="AA992" s="20">
        <v>1</v>
      </c>
      <c r="AB992" s="20">
        <v>42</v>
      </c>
      <c r="AC992" s="20">
        <v>100</v>
      </c>
      <c r="AD992" s="20">
        <v>1</v>
      </c>
      <c r="AE992" s="20">
        <v>2</v>
      </c>
    </row>
    <row r="993" spans="1:33">
      <c r="A993" s="20">
        <v>33615</v>
      </c>
      <c r="B993" s="20" t="s">
        <v>5873</v>
      </c>
      <c r="C993" s="34" t="s">
        <v>6522</v>
      </c>
      <c r="K993" s="20">
        <v>10</v>
      </c>
      <c r="W993" s="20">
        <f>IF(Q993&lt;&gt;0,3,IF(K993="","",VLOOKUP(K993,'#状态名词'!$J$1:$K$15,2,FALSE)))</f>
        <v>3</v>
      </c>
      <c r="AA993" s="20">
        <v>1</v>
      </c>
      <c r="AB993" s="20">
        <v>4</v>
      </c>
      <c r="AC993" s="20">
        <v>100</v>
      </c>
      <c r="AD993" s="20">
        <v>0</v>
      </c>
      <c r="AE993" s="20">
        <v>1</v>
      </c>
    </row>
    <row r="994" spans="1:33">
      <c r="A994" s="20">
        <v>33616</v>
      </c>
      <c r="B994" s="20" t="s">
        <v>5874</v>
      </c>
      <c r="C994" s="34" t="s">
        <v>6523</v>
      </c>
      <c r="K994" s="20">
        <v>10</v>
      </c>
      <c r="W994" s="20">
        <f>IF(Q994&lt;&gt;0,3,IF(K994="","",VLOOKUP(K994,'#状态名词'!$J$1:$K$15,2,FALSE)))</f>
        <v>3</v>
      </c>
      <c r="AA994" s="20">
        <v>1</v>
      </c>
      <c r="AB994" s="20">
        <v>4</v>
      </c>
      <c r="AC994" s="20">
        <v>100</v>
      </c>
      <c r="AD994" s="20">
        <v>0</v>
      </c>
      <c r="AE994" s="20">
        <v>2</v>
      </c>
    </row>
    <row r="995" spans="1:33">
      <c r="A995" s="20">
        <v>33617</v>
      </c>
      <c r="B995" s="20" t="s">
        <v>6919</v>
      </c>
      <c r="C995" s="34" t="s">
        <v>6907</v>
      </c>
      <c r="W995" s="20" t="str">
        <f>IF(Q995&lt;&gt;0,3,IF(K995="","",VLOOKUP(K995,'#状态名词'!$J$1:$K$15,2,FALSE)))</f>
        <v/>
      </c>
      <c r="AF995" s="20">
        <v>33617</v>
      </c>
      <c r="AG995" s="20">
        <v>2</v>
      </c>
    </row>
    <row r="996" spans="1:33">
      <c r="A996" s="20">
        <v>33618</v>
      </c>
      <c r="B996" s="20" t="s">
        <v>6920</v>
      </c>
      <c r="C996" s="34" t="s">
        <v>6908</v>
      </c>
      <c r="W996" s="20" t="str">
        <f>IF(Q996&lt;&gt;0,3,IF(K996="","",VLOOKUP(K996,'#状态名词'!$J$1:$K$15,2,FALSE)))</f>
        <v/>
      </c>
      <c r="AF996" s="20">
        <v>33618</v>
      </c>
      <c r="AG996" s="20">
        <v>2</v>
      </c>
    </row>
    <row r="997" spans="1:33">
      <c r="A997" s="20">
        <v>33619</v>
      </c>
      <c r="B997" s="20" t="s">
        <v>6921</v>
      </c>
      <c r="C997" s="34" t="s">
        <v>6909</v>
      </c>
      <c r="W997" s="20" t="str">
        <f>IF(Q997&lt;&gt;0,3,IF(K997="","",VLOOKUP(K997,'#状态名词'!$J$1:$K$15,2,FALSE)))</f>
        <v/>
      </c>
      <c r="AF997" s="20">
        <v>33619</v>
      </c>
      <c r="AG997" s="20">
        <v>2</v>
      </c>
    </row>
    <row r="998" spans="1:33">
      <c r="A998" s="20">
        <v>33620</v>
      </c>
      <c r="B998" s="20" t="s">
        <v>6922</v>
      </c>
      <c r="C998" s="34" t="s">
        <v>6910</v>
      </c>
      <c r="W998" s="20" t="str">
        <f>IF(Q998&lt;&gt;0,3,IF(K998="","",VLOOKUP(K998,'#状态名词'!$J$1:$K$15,2,FALSE)))</f>
        <v/>
      </c>
      <c r="AF998" s="20">
        <v>33620</v>
      </c>
      <c r="AG998" s="20">
        <v>2</v>
      </c>
    </row>
    <row r="999" spans="1:33">
      <c r="A999" s="20">
        <v>33621</v>
      </c>
      <c r="B999" s="20" t="s">
        <v>6923</v>
      </c>
      <c r="C999" s="34" t="s">
        <v>6911</v>
      </c>
      <c r="W999" s="20" t="str">
        <f>IF(Q999&lt;&gt;0,3,IF(K999="","",VLOOKUP(K999,'#状态名词'!$J$1:$K$15,2,FALSE)))</f>
        <v/>
      </c>
      <c r="AF999" s="20">
        <v>33621</v>
      </c>
      <c r="AG999" s="20">
        <v>2</v>
      </c>
    </row>
    <row r="1000" spans="1:33">
      <c r="A1000" s="20">
        <v>33622</v>
      </c>
      <c r="B1000" s="20" t="s">
        <v>6924</v>
      </c>
      <c r="C1000" s="34" t="s">
        <v>6912</v>
      </c>
      <c r="W1000" s="20" t="str">
        <f>IF(Q1000&lt;&gt;0,3,IF(K1000="","",VLOOKUP(K1000,'#状态名词'!$J$1:$K$15,2,FALSE)))</f>
        <v/>
      </c>
      <c r="AF1000" s="20">
        <v>33622</v>
      </c>
      <c r="AG1000" s="20">
        <v>2</v>
      </c>
    </row>
    <row r="1001" spans="1:33">
      <c r="A1001" s="20">
        <v>33623</v>
      </c>
      <c r="B1001" s="20" t="s">
        <v>6925</v>
      </c>
      <c r="C1001" s="34" t="s">
        <v>6913</v>
      </c>
      <c r="W1001" s="20" t="str">
        <f>IF(Q1001&lt;&gt;0,3,IF(K1001="","",VLOOKUP(K1001,'#状态名词'!$J$1:$K$15,2,FALSE)))</f>
        <v/>
      </c>
      <c r="AF1001" s="20">
        <v>33623</v>
      </c>
      <c r="AG1001" s="20">
        <v>2</v>
      </c>
    </row>
    <row r="1002" spans="1:33">
      <c r="A1002" s="20">
        <v>33624</v>
      </c>
      <c r="B1002" s="20" t="s">
        <v>6926</v>
      </c>
      <c r="C1002" s="34" t="s">
        <v>6914</v>
      </c>
      <c r="W1002" s="20" t="str">
        <f>IF(Q1002&lt;&gt;0,3,IF(K1002="","",VLOOKUP(K1002,'#状态名词'!$J$1:$K$15,2,FALSE)))</f>
        <v/>
      </c>
      <c r="AF1002" s="20">
        <v>33624</v>
      </c>
      <c r="AG1002" s="20">
        <v>2</v>
      </c>
    </row>
    <row r="1003" spans="1:33">
      <c r="A1003" s="20">
        <v>33625</v>
      </c>
      <c r="B1003" s="20" t="s">
        <v>6927</v>
      </c>
      <c r="C1003" s="34" t="s">
        <v>6915</v>
      </c>
      <c r="W1003" s="20" t="str">
        <f>IF(Q1003&lt;&gt;0,3,IF(K1003="","",VLOOKUP(K1003,'#状态名词'!$J$1:$K$15,2,FALSE)))</f>
        <v/>
      </c>
      <c r="AF1003" s="20">
        <v>33625</v>
      </c>
      <c r="AG1003" s="20">
        <v>2</v>
      </c>
    </row>
    <row r="1004" spans="1:33">
      <c r="A1004" s="20">
        <v>33626</v>
      </c>
      <c r="B1004" s="20" t="s">
        <v>6928</v>
      </c>
      <c r="C1004" s="34" t="s">
        <v>6916</v>
      </c>
      <c r="W1004" s="20" t="str">
        <f>IF(Q1004&lt;&gt;0,3,IF(K1004="","",VLOOKUP(K1004,'#状态名词'!$J$1:$K$15,2,FALSE)))</f>
        <v/>
      </c>
      <c r="AF1004" s="20">
        <v>33626</v>
      </c>
      <c r="AG1004" s="20">
        <v>2</v>
      </c>
    </row>
    <row r="1005" spans="1:33">
      <c r="A1005" s="20">
        <v>33627</v>
      </c>
      <c r="B1005" s="20" t="s">
        <v>6929</v>
      </c>
      <c r="C1005" s="34" t="s">
        <v>6917</v>
      </c>
      <c r="W1005" s="20" t="str">
        <f>IF(Q1005&lt;&gt;0,3,IF(K1005="","",VLOOKUP(K1005,'#状态名词'!$J$1:$K$15,2,FALSE)))</f>
        <v/>
      </c>
      <c r="AF1005" s="20">
        <v>33627</v>
      </c>
      <c r="AG1005" s="20">
        <v>2</v>
      </c>
    </row>
    <row r="1006" spans="1:33">
      <c r="A1006" s="20">
        <v>33628</v>
      </c>
      <c r="B1006" s="20" t="s">
        <v>6930</v>
      </c>
      <c r="C1006" s="34" t="s">
        <v>6918</v>
      </c>
      <c r="W1006" s="20" t="str">
        <f>IF(Q1006&lt;&gt;0,3,IF(K1006="","",VLOOKUP(K1006,'#状态名词'!$J$1:$K$15,2,FALSE)))</f>
        <v/>
      </c>
      <c r="AF1006" s="20">
        <v>33628</v>
      </c>
      <c r="AG1006" s="20">
        <v>2</v>
      </c>
    </row>
    <row r="1007" spans="1:33">
      <c r="A1007" s="20">
        <v>33629</v>
      </c>
      <c r="B1007" s="20" t="s">
        <v>5875</v>
      </c>
      <c r="C1007" s="34" t="s">
        <v>5876</v>
      </c>
      <c r="W1007" s="20" t="str">
        <f>IF(Q1007&lt;&gt;0,3,IF(K1007="","",VLOOKUP(K1007,'#状态名词'!$J$1:$K$15,2,FALSE)))</f>
        <v/>
      </c>
      <c r="AA1007" s="20">
        <v>1</v>
      </c>
      <c r="AB1007" s="20">
        <v>33629</v>
      </c>
      <c r="AC1007" s="20">
        <v>100</v>
      </c>
      <c r="AD1007" s="20">
        <v>0</v>
      </c>
    </row>
    <row r="1008" spans="1:33">
      <c r="A1008" s="20">
        <v>33630</v>
      </c>
      <c r="B1008" s="20" t="s">
        <v>5877</v>
      </c>
      <c r="C1008" s="34" t="s">
        <v>5878</v>
      </c>
      <c r="W1008" s="20" t="str">
        <f>IF(Q1008&lt;&gt;0,3,IF(K1008="","",VLOOKUP(K1008,'#状态名词'!$J$1:$K$15,2,FALSE)))</f>
        <v/>
      </c>
      <c r="AA1008" s="20">
        <v>1</v>
      </c>
      <c r="AB1008" s="20">
        <v>33630</v>
      </c>
      <c r="AC1008" s="20">
        <v>100</v>
      </c>
      <c r="AD1008" s="20">
        <v>0</v>
      </c>
    </row>
    <row r="1009" spans="1:31">
      <c r="A1009" s="20">
        <v>33631</v>
      </c>
      <c r="B1009" s="20" t="s">
        <v>5879</v>
      </c>
      <c r="C1009" s="34" t="s">
        <v>6866</v>
      </c>
      <c r="K1009" s="20">
        <v>9</v>
      </c>
      <c r="W1009" s="20">
        <f>IF(Q1009&lt;&gt;0,3,IF(K1009="","",VLOOKUP(K1009,'#状态名词'!$J$1:$K$15,2,FALSE)))</f>
        <v>3</v>
      </c>
      <c r="AA1009" s="20">
        <v>1</v>
      </c>
      <c r="AB1009" s="20">
        <v>33631</v>
      </c>
      <c r="AC1009" s="20">
        <v>5</v>
      </c>
      <c r="AD1009" s="20">
        <v>1</v>
      </c>
    </row>
    <row r="1010" spans="1:31">
      <c r="A1010" s="20">
        <v>33632</v>
      </c>
      <c r="B1010" s="20" t="s">
        <v>5881</v>
      </c>
      <c r="C1010" s="34" t="s">
        <v>6867</v>
      </c>
      <c r="K1010" s="20">
        <v>9</v>
      </c>
      <c r="W1010" s="20">
        <f>IF(Q1010&lt;&gt;0,3,IF(K1010="","",VLOOKUP(K1010,'#状态名词'!$J$1:$K$15,2,FALSE)))</f>
        <v>3</v>
      </c>
      <c r="AA1010" s="20">
        <v>1</v>
      </c>
      <c r="AB1010" s="20">
        <v>33632</v>
      </c>
      <c r="AC1010" s="20">
        <v>5</v>
      </c>
      <c r="AD1010" s="20">
        <v>1</v>
      </c>
    </row>
    <row r="1011" spans="1:31">
      <c r="A1011" s="20">
        <v>33633</v>
      </c>
      <c r="B1011" s="20" t="s">
        <v>5883</v>
      </c>
      <c r="C1011" s="34" t="s">
        <v>6868</v>
      </c>
      <c r="K1011" s="20">
        <v>9</v>
      </c>
      <c r="W1011" s="20">
        <f>IF(Q1011&lt;&gt;0,3,IF(K1011="","",VLOOKUP(K1011,'#状态名词'!$J$1:$K$15,2,FALSE)))</f>
        <v>3</v>
      </c>
      <c r="AA1011" s="20">
        <v>1</v>
      </c>
      <c r="AB1011" s="20">
        <v>33633</v>
      </c>
      <c r="AC1011" s="20">
        <v>1</v>
      </c>
      <c r="AD1011" s="20">
        <v>1</v>
      </c>
    </row>
    <row r="1012" spans="1:31">
      <c r="A1012" s="20">
        <v>33634</v>
      </c>
      <c r="B1012" s="20" t="s">
        <v>5885</v>
      </c>
      <c r="C1012" s="34" t="s">
        <v>6869</v>
      </c>
      <c r="K1012" s="20">
        <v>9</v>
      </c>
      <c r="W1012" s="20">
        <f>IF(Q1012&lt;&gt;0,3,IF(K1012="","",VLOOKUP(K1012,'#状态名词'!$J$1:$K$15,2,FALSE)))</f>
        <v>3</v>
      </c>
      <c r="AA1012" s="20">
        <v>1</v>
      </c>
      <c r="AB1012" s="20">
        <v>33634</v>
      </c>
      <c r="AC1012" s="20">
        <v>1</v>
      </c>
      <c r="AD1012" s="20">
        <v>1</v>
      </c>
    </row>
    <row r="1013" spans="1:31">
      <c r="A1013" s="20">
        <v>33635</v>
      </c>
      <c r="B1013" s="20" t="s">
        <v>5887</v>
      </c>
      <c r="C1013" s="34" t="s">
        <v>5888</v>
      </c>
      <c r="K1013" s="20">
        <v>9</v>
      </c>
      <c r="W1013" s="20">
        <f>IF(Q1013&lt;&gt;0,3,IF(K1013="","",VLOOKUP(K1013,'#状态名词'!$J$1:$K$15,2,FALSE)))</f>
        <v>3</v>
      </c>
      <c r="AA1013" s="20">
        <v>1</v>
      </c>
      <c r="AB1013" s="20">
        <v>50</v>
      </c>
      <c r="AC1013" s="20">
        <v>1</v>
      </c>
      <c r="AD1013" s="20">
        <v>1</v>
      </c>
      <c r="AE1013" s="20">
        <v>1</v>
      </c>
    </row>
    <row r="1014" spans="1:31">
      <c r="A1014" s="20">
        <v>33636</v>
      </c>
      <c r="B1014" s="20" t="s">
        <v>5889</v>
      </c>
      <c r="C1014" s="34" t="s">
        <v>5890</v>
      </c>
      <c r="K1014" s="20">
        <v>9</v>
      </c>
      <c r="W1014" s="20">
        <f>IF(Q1014&lt;&gt;0,3,IF(K1014="","",VLOOKUP(K1014,'#状态名词'!$J$1:$K$15,2,FALSE)))</f>
        <v>3</v>
      </c>
      <c r="AA1014" s="20">
        <v>1</v>
      </c>
      <c r="AB1014" s="20">
        <v>50</v>
      </c>
      <c r="AC1014" s="20">
        <v>1.5</v>
      </c>
      <c r="AD1014" s="20">
        <v>1</v>
      </c>
      <c r="AE1014" s="20">
        <v>1</v>
      </c>
    </row>
    <row r="1015" spans="1:31">
      <c r="A1015" s="20">
        <v>33637</v>
      </c>
      <c r="B1015" s="20" t="s">
        <v>5891</v>
      </c>
      <c r="C1015" s="34" t="s">
        <v>5892</v>
      </c>
      <c r="K1015" s="20">
        <v>9</v>
      </c>
      <c r="W1015" s="20">
        <f>IF(Q1015&lt;&gt;0,3,IF(K1015="","",VLOOKUP(K1015,'#状态名词'!$J$1:$K$15,2,FALSE)))</f>
        <v>3</v>
      </c>
      <c r="AA1015" s="20">
        <v>1</v>
      </c>
      <c r="AB1015" s="20">
        <v>21</v>
      </c>
      <c r="AC1015" s="20">
        <v>1</v>
      </c>
      <c r="AD1015" s="20">
        <v>0</v>
      </c>
      <c r="AE1015" s="20">
        <v>1</v>
      </c>
    </row>
    <row r="1016" spans="1:31">
      <c r="A1016" s="20">
        <v>33638</v>
      </c>
      <c r="B1016" s="20" t="s">
        <v>5893</v>
      </c>
      <c r="C1016" s="34" t="s">
        <v>5894</v>
      </c>
      <c r="K1016" s="20">
        <v>9</v>
      </c>
      <c r="W1016" s="20">
        <f>IF(Q1016&lt;&gt;0,3,IF(K1016="","",VLOOKUP(K1016,'#状态名词'!$J$1:$K$15,2,FALSE)))</f>
        <v>3</v>
      </c>
      <c r="AA1016" s="20">
        <v>1</v>
      </c>
      <c r="AB1016" s="20">
        <v>21</v>
      </c>
      <c r="AC1016" s="20">
        <v>1.5</v>
      </c>
      <c r="AD1016" s="20">
        <v>0</v>
      </c>
      <c r="AE1016" s="20">
        <v>1</v>
      </c>
    </row>
    <row r="1017" spans="1:31">
      <c r="A1017" s="20">
        <v>33639</v>
      </c>
      <c r="B1017" s="20" t="s">
        <v>5895</v>
      </c>
      <c r="C1017" s="34" t="s">
        <v>5896</v>
      </c>
      <c r="K1017" s="20">
        <v>9</v>
      </c>
      <c r="W1017" s="20">
        <f>IF(Q1017&lt;&gt;0,3,IF(K1017="","",VLOOKUP(K1017,'#状态名词'!$J$1:$K$15,2,FALSE)))</f>
        <v>3</v>
      </c>
      <c r="AA1017" s="20">
        <v>1</v>
      </c>
      <c r="AB1017" s="20">
        <v>23</v>
      </c>
      <c r="AC1017" s="20">
        <v>1</v>
      </c>
      <c r="AD1017" s="20">
        <v>0</v>
      </c>
      <c r="AE1017" s="20">
        <v>1</v>
      </c>
    </row>
    <row r="1018" spans="1:31">
      <c r="A1018" s="20">
        <v>33640</v>
      </c>
      <c r="B1018" s="20" t="s">
        <v>5897</v>
      </c>
      <c r="C1018" s="34" t="s">
        <v>5898</v>
      </c>
      <c r="K1018" s="20">
        <v>9</v>
      </c>
      <c r="W1018" s="20">
        <f>IF(Q1018&lt;&gt;0,3,IF(K1018="","",VLOOKUP(K1018,'#状态名词'!$J$1:$K$15,2,FALSE)))</f>
        <v>3</v>
      </c>
      <c r="AA1018" s="20">
        <v>1</v>
      </c>
      <c r="AB1018" s="20">
        <v>23</v>
      </c>
      <c r="AC1018" s="20">
        <v>1.5</v>
      </c>
      <c r="AD1018" s="20">
        <v>0</v>
      </c>
      <c r="AE1018" s="20">
        <v>1</v>
      </c>
    </row>
    <row r="1019" spans="1:31">
      <c r="A1019" s="20">
        <v>33641</v>
      </c>
      <c r="B1019" s="20" t="s">
        <v>2870</v>
      </c>
      <c r="C1019" s="34" t="s">
        <v>4503</v>
      </c>
      <c r="W1019" s="20" t="str">
        <f>IF(Q1019&lt;&gt;0,3,IF(K1019="","",VLOOKUP(K1019,'#状态名词'!$J$1:$K$15,2,FALSE)))</f>
        <v/>
      </c>
      <c r="AA1019" s="20">
        <v>1</v>
      </c>
      <c r="AB1019" s="20">
        <v>33641</v>
      </c>
      <c r="AC1019" s="20">
        <v>100</v>
      </c>
      <c r="AD1019" s="20">
        <v>1</v>
      </c>
    </row>
    <row r="1020" spans="1:31">
      <c r="A1020" s="20">
        <v>33642</v>
      </c>
      <c r="B1020" s="20" t="s">
        <v>2870</v>
      </c>
      <c r="C1020" s="34" t="s">
        <v>5899</v>
      </c>
      <c r="W1020" s="20" t="str">
        <f>IF(Q1020&lt;&gt;0,3,IF(K1020="","",VLOOKUP(K1020,'#状态名词'!$J$1:$K$15,2,FALSE)))</f>
        <v/>
      </c>
      <c r="AA1020" s="20">
        <v>1</v>
      </c>
      <c r="AB1020" s="20">
        <v>33642</v>
      </c>
      <c r="AC1020" s="20">
        <v>100</v>
      </c>
      <c r="AD1020" s="20">
        <v>1</v>
      </c>
    </row>
    <row r="1021" spans="1:31">
      <c r="A1021" s="20">
        <v>33643</v>
      </c>
      <c r="B1021" s="20" t="s">
        <v>2871</v>
      </c>
      <c r="C1021" s="34" t="s">
        <v>4496</v>
      </c>
      <c r="W1021" s="20" t="str">
        <f>IF(Q1021&lt;&gt;0,3,IF(K1021="","",VLOOKUP(K1021,'#状态名词'!$J$1:$K$15,2,FALSE)))</f>
        <v/>
      </c>
      <c r="AA1021" s="20">
        <v>1</v>
      </c>
      <c r="AB1021" s="20">
        <v>33643</v>
      </c>
      <c r="AC1021" s="20">
        <v>100</v>
      </c>
      <c r="AD1021" s="20">
        <v>1</v>
      </c>
    </row>
    <row r="1022" spans="1:31">
      <c r="A1022" s="20">
        <v>33644</v>
      </c>
      <c r="B1022" s="20" t="s">
        <v>2871</v>
      </c>
      <c r="C1022" s="34" t="s">
        <v>5900</v>
      </c>
      <c r="W1022" s="20" t="str">
        <f>IF(Q1022&lt;&gt;0,3,IF(K1022="","",VLOOKUP(K1022,'#状态名词'!$J$1:$K$15,2,FALSE)))</f>
        <v/>
      </c>
      <c r="AA1022" s="20">
        <v>1</v>
      </c>
      <c r="AB1022" s="20">
        <v>33644</v>
      </c>
      <c r="AC1022" s="20">
        <v>100</v>
      </c>
      <c r="AD1022" s="20">
        <v>1</v>
      </c>
    </row>
    <row r="1023" spans="1:31">
      <c r="A1023" s="20">
        <v>33645</v>
      </c>
      <c r="B1023" s="20" t="s">
        <v>2872</v>
      </c>
      <c r="C1023" s="34" t="s">
        <v>5901</v>
      </c>
      <c r="W1023" s="20" t="str">
        <f>IF(Q1023&lt;&gt;0,3,IF(K1023="","",VLOOKUP(K1023,'#状态名词'!$J$1:$K$15,2,FALSE)))</f>
        <v/>
      </c>
      <c r="AA1023" s="20">
        <v>1</v>
      </c>
      <c r="AB1023" s="20">
        <v>33645</v>
      </c>
      <c r="AC1023" s="20">
        <v>100</v>
      </c>
      <c r="AD1023" s="20">
        <v>1</v>
      </c>
    </row>
    <row r="1024" spans="1:31">
      <c r="A1024" s="20">
        <v>33646</v>
      </c>
      <c r="B1024" s="20" t="s">
        <v>2872</v>
      </c>
      <c r="C1024" s="34" t="s">
        <v>5902</v>
      </c>
      <c r="W1024" s="20" t="str">
        <f>IF(Q1024&lt;&gt;0,3,IF(K1024="","",VLOOKUP(K1024,'#状态名词'!$J$1:$K$15,2,FALSE)))</f>
        <v/>
      </c>
      <c r="AA1024" s="20">
        <v>1</v>
      </c>
      <c r="AB1024" s="20">
        <v>33646</v>
      </c>
      <c r="AC1024" s="20">
        <v>100</v>
      </c>
      <c r="AD1024" s="20">
        <v>1</v>
      </c>
    </row>
    <row r="1025" spans="1:31">
      <c r="A1025" s="20">
        <v>33647</v>
      </c>
      <c r="B1025" s="20" t="s">
        <v>2873</v>
      </c>
      <c r="C1025" s="34" t="s">
        <v>5903</v>
      </c>
      <c r="K1025" s="20">
        <v>9</v>
      </c>
      <c r="W1025" s="20">
        <f>IF(Q1025&lt;&gt;0,3,IF(K1025="","",VLOOKUP(K1025,'#状态名词'!$J$1:$K$15,2,FALSE)))</f>
        <v>3</v>
      </c>
      <c r="AA1025" s="20">
        <v>1</v>
      </c>
      <c r="AB1025" s="20">
        <v>31</v>
      </c>
      <c r="AC1025" s="20">
        <v>20</v>
      </c>
      <c r="AD1025" s="20">
        <v>1</v>
      </c>
      <c r="AE1025" s="20">
        <v>1</v>
      </c>
    </row>
    <row r="1026" spans="1:31">
      <c r="A1026" s="20">
        <v>33648</v>
      </c>
      <c r="B1026" s="20" t="s">
        <v>2873</v>
      </c>
      <c r="C1026" s="34" t="s">
        <v>5904</v>
      </c>
      <c r="K1026" s="20">
        <v>9</v>
      </c>
      <c r="W1026" s="20">
        <f>IF(Q1026&lt;&gt;0,3,IF(K1026="","",VLOOKUP(K1026,'#状态名词'!$J$1:$K$15,2,FALSE)))</f>
        <v>3</v>
      </c>
      <c r="AA1026" s="20">
        <v>1</v>
      </c>
      <c r="AB1026" s="20">
        <v>31</v>
      </c>
      <c r="AC1026" s="20">
        <v>30</v>
      </c>
      <c r="AD1026" s="20">
        <v>1</v>
      </c>
      <c r="AE1026" s="20">
        <v>1</v>
      </c>
    </row>
    <row r="1027" spans="1:31">
      <c r="A1027" s="20">
        <v>33649</v>
      </c>
      <c r="B1027" s="20" t="s">
        <v>2874</v>
      </c>
      <c r="C1027" s="34" t="s">
        <v>5905</v>
      </c>
      <c r="K1027" s="20">
        <v>9</v>
      </c>
      <c r="W1027" s="20">
        <f>IF(Q1027&lt;&gt;0,3,IF(K1027="","",VLOOKUP(K1027,'#状态名词'!$J$1:$K$15,2,FALSE)))</f>
        <v>3</v>
      </c>
      <c r="AA1027" s="20">
        <v>1</v>
      </c>
      <c r="AB1027" s="20">
        <v>36</v>
      </c>
      <c r="AC1027" s="20">
        <v>20</v>
      </c>
      <c r="AD1027" s="20">
        <v>1</v>
      </c>
      <c r="AE1027" s="20">
        <v>1</v>
      </c>
    </row>
    <row r="1028" spans="1:31">
      <c r="A1028" s="20">
        <v>33650</v>
      </c>
      <c r="B1028" s="20" t="s">
        <v>2874</v>
      </c>
      <c r="C1028" s="34" t="s">
        <v>5906</v>
      </c>
      <c r="K1028" s="20">
        <v>9</v>
      </c>
      <c r="W1028" s="20">
        <f>IF(Q1028&lt;&gt;0,3,IF(K1028="","",VLOOKUP(K1028,'#状态名词'!$J$1:$K$15,2,FALSE)))</f>
        <v>3</v>
      </c>
      <c r="AA1028" s="20">
        <v>1</v>
      </c>
      <c r="AB1028" s="20">
        <v>36</v>
      </c>
      <c r="AC1028" s="20">
        <v>30</v>
      </c>
      <c r="AD1028" s="20">
        <v>1</v>
      </c>
      <c r="AE1028" s="20">
        <v>1</v>
      </c>
    </row>
    <row r="1029" spans="1:31">
      <c r="A1029" s="20">
        <v>33651</v>
      </c>
      <c r="B1029" s="20" t="s">
        <v>2875</v>
      </c>
      <c r="C1029" s="34" t="s">
        <v>7228</v>
      </c>
      <c r="K1029" s="20">
        <v>9</v>
      </c>
      <c r="W1029" s="20">
        <f>IF(Q1029&lt;&gt;0,3,IF(K1029="","",VLOOKUP(K1029,'#状态名词'!$J$1:$K$15,2,FALSE)))</f>
        <v>3</v>
      </c>
      <c r="AA1029" s="20">
        <v>1</v>
      </c>
      <c r="AB1029" s="20">
        <v>11</v>
      </c>
      <c r="AC1029" s="20">
        <v>20</v>
      </c>
      <c r="AD1029" s="20">
        <v>0</v>
      </c>
      <c r="AE1029" s="20">
        <v>1</v>
      </c>
    </row>
    <row r="1030" spans="1:31">
      <c r="A1030" s="20">
        <v>33652</v>
      </c>
      <c r="B1030" s="20" t="s">
        <v>2875</v>
      </c>
      <c r="C1030" s="34" t="s">
        <v>7229</v>
      </c>
      <c r="K1030" s="20">
        <v>9</v>
      </c>
      <c r="W1030" s="20">
        <f>IF(Q1030&lt;&gt;0,3,IF(K1030="","",VLOOKUP(K1030,'#状态名词'!$J$1:$K$15,2,FALSE)))</f>
        <v>3</v>
      </c>
      <c r="AA1030" s="20">
        <v>1</v>
      </c>
      <c r="AB1030" s="20">
        <v>11</v>
      </c>
      <c r="AC1030" s="20">
        <v>30</v>
      </c>
      <c r="AD1030" s="20">
        <v>0</v>
      </c>
      <c r="AE1030" s="20">
        <v>1</v>
      </c>
    </row>
    <row r="1031" spans="1:31">
      <c r="A1031" s="20">
        <v>33653</v>
      </c>
      <c r="B1031" s="20" t="s">
        <v>5907</v>
      </c>
      <c r="C1031" s="34" t="s">
        <v>5908</v>
      </c>
      <c r="K1031" s="20">
        <v>6</v>
      </c>
      <c r="W1031" s="20">
        <f>IF(Q1031&lt;&gt;0,3,IF(K1031="","",VLOOKUP(K1031,'#状态名词'!$J$1:$K$15,2,FALSE)))</f>
        <v>3</v>
      </c>
      <c r="AA1031" s="20">
        <v>1</v>
      </c>
      <c r="AB1031" s="20">
        <v>41</v>
      </c>
      <c r="AC1031" s="20">
        <v>50</v>
      </c>
      <c r="AD1031" s="20">
        <v>1</v>
      </c>
      <c r="AE1031" s="20">
        <v>1</v>
      </c>
    </row>
    <row r="1032" spans="1:31">
      <c r="A1032" s="20">
        <v>33654</v>
      </c>
      <c r="B1032" s="20" t="s">
        <v>5909</v>
      </c>
      <c r="C1032" s="34" t="s">
        <v>5910</v>
      </c>
      <c r="K1032" s="20">
        <v>6</v>
      </c>
      <c r="W1032" s="20">
        <f>IF(Q1032&lt;&gt;0,3,IF(K1032="","",VLOOKUP(K1032,'#状态名词'!$J$1:$K$15,2,FALSE)))</f>
        <v>3</v>
      </c>
      <c r="AA1032" s="20">
        <v>1</v>
      </c>
      <c r="AB1032" s="20">
        <v>41</v>
      </c>
      <c r="AC1032" s="20">
        <v>50</v>
      </c>
      <c r="AD1032" s="20">
        <v>1</v>
      </c>
      <c r="AE1032" s="20">
        <v>2</v>
      </c>
    </row>
    <row r="1033" spans="1:31">
      <c r="A1033" s="20">
        <v>33655</v>
      </c>
      <c r="B1033" s="20" t="s">
        <v>5911</v>
      </c>
      <c r="C1033" s="34" t="s">
        <v>7888</v>
      </c>
      <c r="K1033" s="20">
        <v>6</v>
      </c>
      <c r="W1033" s="20">
        <f>IF(Q1033&lt;&gt;0,3,IF(K1033="","",VLOOKUP(K1033,'#状态名词'!$J$1:$K$15,2,FALSE)))</f>
        <v>3</v>
      </c>
      <c r="AA1033" s="20">
        <v>1</v>
      </c>
      <c r="AB1033" s="20">
        <v>51</v>
      </c>
      <c r="AC1033" s="20">
        <v>50</v>
      </c>
      <c r="AD1033" s="20">
        <v>1</v>
      </c>
      <c r="AE1033" s="20">
        <v>1</v>
      </c>
    </row>
    <row r="1034" spans="1:31">
      <c r="A1034" s="20">
        <v>33656</v>
      </c>
      <c r="B1034" s="20" t="s">
        <v>5912</v>
      </c>
      <c r="C1034" s="34" t="s">
        <v>7889</v>
      </c>
      <c r="K1034" s="20">
        <v>6</v>
      </c>
      <c r="W1034" s="20">
        <f>IF(Q1034&lt;&gt;0,3,IF(K1034="","",VLOOKUP(K1034,'#状态名词'!$J$1:$K$15,2,FALSE)))</f>
        <v>3</v>
      </c>
      <c r="AA1034" s="20">
        <v>1</v>
      </c>
      <c r="AB1034" s="20">
        <v>51</v>
      </c>
      <c r="AC1034" s="20">
        <v>50</v>
      </c>
      <c r="AD1034" s="20">
        <v>1</v>
      </c>
      <c r="AE1034" s="20">
        <v>2</v>
      </c>
    </row>
    <row r="1035" spans="1:31">
      <c r="A1035" s="20">
        <v>33657</v>
      </c>
      <c r="B1035" s="20" t="s">
        <v>5913</v>
      </c>
      <c r="C1035" s="34" t="s">
        <v>5914</v>
      </c>
      <c r="K1035" s="20">
        <v>6</v>
      </c>
      <c r="W1035" s="20">
        <f>IF(Q1035&lt;&gt;0,3,IF(K1035="","",VLOOKUP(K1035,'#状态名词'!$J$1:$K$15,2,FALSE)))</f>
        <v>3</v>
      </c>
      <c r="AA1035" s="20">
        <v>1</v>
      </c>
      <c r="AB1035" s="20">
        <v>21</v>
      </c>
      <c r="AC1035" s="20">
        <v>1</v>
      </c>
      <c r="AD1035" s="20">
        <v>0</v>
      </c>
      <c r="AE1035" s="20">
        <v>1</v>
      </c>
    </row>
    <row r="1036" spans="1:31">
      <c r="A1036" s="20">
        <v>33658</v>
      </c>
      <c r="B1036" s="20" t="s">
        <v>5915</v>
      </c>
      <c r="C1036" s="34" t="s">
        <v>5916</v>
      </c>
      <c r="K1036" s="20">
        <v>6</v>
      </c>
      <c r="W1036" s="20">
        <f>IF(Q1036&lt;&gt;0,3,IF(K1036="","",VLOOKUP(K1036,'#状态名词'!$J$1:$K$15,2,FALSE)))</f>
        <v>3</v>
      </c>
      <c r="AA1036" s="20">
        <v>1</v>
      </c>
      <c r="AB1036" s="20">
        <v>21</v>
      </c>
      <c r="AC1036" s="20">
        <v>1.5</v>
      </c>
      <c r="AD1036" s="20">
        <v>0</v>
      </c>
      <c r="AE1036" s="20">
        <v>1</v>
      </c>
    </row>
    <row r="1037" spans="1:31">
      <c r="A1037" s="20">
        <v>33659</v>
      </c>
      <c r="B1037" s="20" t="s">
        <v>5917</v>
      </c>
      <c r="C1037" s="34" t="s">
        <v>5918</v>
      </c>
      <c r="W1037" s="20" t="str">
        <f>IF(Q1037&lt;&gt;0,3,IF(K1037="","",VLOOKUP(K1037,'#状态名词'!$J$1:$K$15,2,FALSE)))</f>
        <v/>
      </c>
      <c r="AA1037" s="20">
        <v>1</v>
      </c>
      <c r="AB1037" s="20">
        <v>33659</v>
      </c>
      <c r="AC1037" s="20">
        <v>100</v>
      </c>
      <c r="AD1037" s="20">
        <v>1</v>
      </c>
    </row>
    <row r="1038" spans="1:31">
      <c r="A1038" s="20">
        <v>33660</v>
      </c>
      <c r="B1038" s="20" t="s">
        <v>5919</v>
      </c>
      <c r="C1038" s="34" t="s">
        <v>5920</v>
      </c>
      <c r="W1038" s="20" t="str">
        <f>IF(Q1038&lt;&gt;0,3,IF(K1038="","",VLOOKUP(K1038,'#状态名词'!$J$1:$K$15,2,FALSE)))</f>
        <v/>
      </c>
      <c r="AA1038" s="20">
        <v>1</v>
      </c>
      <c r="AB1038" s="20">
        <v>33660</v>
      </c>
      <c r="AC1038" s="20">
        <v>100</v>
      </c>
      <c r="AD1038" s="20">
        <v>1</v>
      </c>
    </row>
    <row r="1039" spans="1:31">
      <c r="A1039" s="20">
        <v>33661</v>
      </c>
      <c r="B1039" s="20" t="s">
        <v>5921</v>
      </c>
      <c r="C1039" s="34" t="s">
        <v>5922</v>
      </c>
      <c r="W1039" s="20" t="str">
        <f>IF(Q1039&lt;&gt;0,3,IF(K1039="","",VLOOKUP(K1039,'#状态名词'!$J$1:$K$15,2,FALSE)))</f>
        <v/>
      </c>
      <c r="AA1039" s="20">
        <v>1</v>
      </c>
      <c r="AB1039" s="20">
        <v>33661</v>
      </c>
      <c r="AC1039" s="20">
        <v>100</v>
      </c>
      <c r="AD1039" s="20">
        <v>1</v>
      </c>
    </row>
    <row r="1040" spans="1:31">
      <c r="A1040" s="20">
        <v>33662</v>
      </c>
      <c r="B1040" s="20" t="s">
        <v>5923</v>
      </c>
      <c r="C1040" s="34" t="s">
        <v>5924</v>
      </c>
      <c r="W1040" s="20" t="str">
        <f>IF(Q1040&lt;&gt;0,3,IF(K1040="","",VLOOKUP(K1040,'#状态名词'!$J$1:$K$15,2,FALSE)))</f>
        <v/>
      </c>
      <c r="AA1040" s="20">
        <v>1</v>
      </c>
      <c r="AB1040" s="20">
        <v>33662</v>
      </c>
      <c r="AC1040" s="20">
        <v>100</v>
      </c>
      <c r="AD1040" s="20">
        <v>1</v>
      </c>
    </row>
    <row r="1041" spans="1:31">
      <c r="A1041" s="20">
        <v>33663</v>
      </c>
      <c r="B1041" s="20" t="s">
        <v>5925</v>
      </c>
      <c r="C1041" s="34" t="s">
        <v>8008</v>
      </c>
      <c r="W1041" s="20" t="str">
        <f>IF(Q1041&lt;&gt;0,3,IF(K1041="","",VLOOKUP(K1041,'#状态名词'!$J$1:$K$15,2,FALSE)))</f>
        <v/>
      </c>
      <c r="AA1041" s="20">
        <v>1</v>
      </c>
      <c r="AB1041" s="20">
        <v>33663</v>
      </c>
      <c r="AC1041" s="20">
        <v>100</v>
      </c>
      <c r="AD1041" s="20">
        <v>1</v>
      </c>
    </row>
    <row r="1042" spans="1:31">
      <c r="A1042" s="20">
        <v>33664</v>
      </c>
      <c r="B1042" s="20" t="s">
        <v>5927</v>
      </c>
      <c r="C1042" s="34" t="s">
        <v>8009</v>
      </c>
      <c r="W1042" s="20" t="str">
        <f>IF(Q1042&lt;&gt;0,3,IF(K1042="","",VLOOKUP(K1042,'#状态名词'!$J$1:$K$15,2,FALSE)))</f>
        <v/>
      </c>
      <c r="AA1042" s="20">
        <v>1</v>
      </c>
      <c r="AB1042" s="20">
        <v>33664</v>
      </c>
      <c r="AC1042" s="20">
        <v>100</v>
      </c>
      <c r="AD1042" s="20">
        <v>1</v>
      </c>
    </row>
    <row r="1043" spans="1:31">
      <c r="A1043" s="20">
        <v>33665</v>
      </c>
      <c r="B1043" s="20" t="s">
        <v>5996</v>
      </c>
      <c r="C1043" s="34" t="s">
        <v>5929</v>
      </c>
      <c r="K1043" s="20">
        <v>9</v>
      </c>
      <c r="W1043" s="20">
        <f>IF(Q1043&lt;&gt;0,3,IF(K1043="","",VLOOKUP(K1043,'#状态名词'!$J$1:$K$15,2,FALSE)))</f>
        <v>3</v>
      </c>
      <c r="AA1043" s="20">
        <v>1</v>
      </c>
      <c r="AB1043" s="20">
        <v>42</v>
      </c>
      <c r="AC1043" s="20">
        <v>20</v>
      </c>
      <c r="AD1043" s="20">
        <v>1</v>
      </c>
      <c r="AE1043" s="20">
        <v>1</v>
      </c>
    </row>
    <row r="1044" spans="1:31">
      <c r="A1044" s="20">
        <v>33666</v>
      </c>
      <c r="B1044" s="20" t="s">
        <v>5995</v>
      </c>
      <c r="C1044" s="34" t="s">
        <v>5930</v>
      </c>
      <c r="K1044" s="20">
        <v>9</v>
      </c>
      <c r="W1044" s="20">
        <f>IF(Q1044&lt;&gt;0,3,IF(K1044="","",VLOOKUP(K1044,'#状态名词'!$J$1:$K$15,2,FALSE)))</f>
        <v>3</v>
      </c>
      <c r="AA1044" s="20">
        <v>1</v>
      </c>
      <c r="AB1044" s="20">
        <v>42</v>
      </c>
      <c r="AC1044" s="20">
        <v>20</v>
      </c>
      <c r="AD1044" s="20">
        <v>1</v>
      </c>
      <c r="AE1044" s="20">
        <v>2</v>
      </c>
    </row>
    <row r="1045" spans="1:31">
      <c r="A1045" s="20">
        <v>33667</v>
      </c>
      <c r="B1045" s="20" t="s">
        <v>5997</v>
      </c>
      <c r="C1045" s="34" t="s">
        <v>5931</v>
      </c>
      <c r="K1045" s="20">
        <v>9</v>
      </c>
      <c r="W1045" s="20">
        <f>IF(Q1045&lt;&gt;0,3,IF(K1045="","",VLOOKUP(K1045,'#状态名词'!$J$1:$K$15,2,FALSE)))</f>
        <v>3</v>
      </c>
      <c r="AA1045" s="20">
        <v>1</v>
      </c>
      <c r="AB1045" s="20">
        <v>43</v>
      </c>
      <c r="AC1045" s="20">
        <v>20</v>
      </c>
      <c r="AD1045" s="20">
        <v>1</v>
      </c>
      <c r="AE1045" s="20">
        <v>1</v>
      </c>
    </row>
    <row r="1046" spans="1:31">
      <c r="A1046" s="20">
        <v>33668</v>
      </c>
      <c r="B1046" s="20" t="s">
        <v>5998</v>
      </c>
      <c r="C1046" s="34" t="s">
        <v>5932</v>
      </c>
      <c r="K1046" s="20">
        <v>9</v>
      </c>
      <c r="W1046" s="20">
        <f>IF(Q1046&lt;&gt;0,3,IF(K1046="","",VLOOKUP(K1046,'#状态名词'!$J$1:$K$15,2,FALSE)))</f>
        <v>3</v>
      </c>
      <c r="AA1046" s="20">
        <v>1</v>
      </c>
      <c r="AB1046" s="20">
        <v>43</v>
      </c>
      <c r="AC1046" s="20">
        <v>20</v>
      </c>
      <c r="AD1046" s="20">
        <v>1</v>
      </c>
      <c r="AE1046" s="20">
        <v>2</v>
      </c>
    </row>
    <row r="1047" spans="1:31">
      <c r="A1047" s="20">
        <v>33669</v>
      </c>
      <c r="B1047" s="20" t="s">
        <v>5999</v>
      </c>
      <c r="C1047" s="34" t="s">
        <v>7823</v>
      </c>
      <c r="W1047" s="20" t="str">
        <f>IF(Q1047&lt;&gt;0,3,IF(K1047="","",VLOOKUP(K1047,'#状态名词'!$J$1:$K$15,2,FALSE)))</f>
        <v/>
      </c>
      <c r="AA1047" s="20">
        <v>1</v>
      </c>
      <c r="AB1047" s="20">
        <v>33669</v>
      </c>
      <c r="AC1047" s="20">
        <v>100</v>
      </c>
      <c r="AD1047" s="20">
        <v>1</v>
      </c>
    </row>
    <row r="1048" spans="1:31">
      <c r="A1048" s="20">
        <v>33670</v>
      </c>
      <c r="B1048" s="20" t="s">
        <v>6000</v>
      </c>
      <c r="C1048" s="34" t="s">
        <v>7824</v>
      </c>
      <c r="W1048" s="20" t="str">
        <f>IF(Q1048&lt;&gt;0,3,IF(K1048="","",VLOOKUP(K1048,'#状态名词'!$J$1:$K$15,2,FALSE)))</f>
        <v/>
      </c>
      <c r="AA1048" s="20">
        <v>1</v>
      </c>
      <c r="AB1048" s="20">
        <v>33670</v>
      </c>
      <c r="AC1048" s="20">
        <v>100</v>
      </c>
      <c r="AD1048" s="20">
        <v>1</v>
      </c>
    </row>
    <row r="1049" spans="1:31">
      <c r="A1049" s="20">
        <v>33671</v>
      </c>
      <c r="B1049" s="20" t="s">
        <v>6001</v>
      </c>
      <c r="C1049" s="34" t="s">
        <v>6870</v>
      </c>
      <c r="K1049" s="20">
        <v>6</v>
      </c>
      <c r="W1049" s="20">
        <f>IF(Q1049&lt;&gt;0,3,IF(K1049="","",VLOOKUP(K1049,'#状态名词'!$J$1:$K$15,2,FALSE)))</f>
        <v>3</v>
      </c>
      <c r="AA1049" s="20">
        <v>1</v>
      </c>
      <c r="AB1049" s="20">
        <v>33671</v>
      </c>
      <c r="AC1049" s="20">
        <v>100</v>
      </c>
      <c r="AD1049" s="20">
        <v>1</v>
      </c>
    </row>
    <row r="1050" spans="1:31">
      <c r="A1050" s="20">
        <v>33672</v>
      </c>
      <c r="B1050" s="20" t="s">
        <v>6002</v>
      </c>
      <c r="C1050" s="34" t="s">
        <v>6871</v>
      </c>
      <c r="K1050" s="20">
        <v>6</v>
      </c>
      <c r="W1050" s="20">
        <f>IF(Q1050&lt;&gt;0,3,IF(K1050="","",VLOOKUP(K1050,'#状态名词'!$J$1:$K$15,2,FALSE)))</f>
        <v>3</v>
      </c>
      <c r="AA1050" s="20">
        <v>1</v>
      </c>
      <c r="AB1050" s="20">
        <v>33672</v>
      </c>
      <c r="AC1050" s="20">
        <v>100</v>
      </c>
      <c r="AD1050" s="20">
        <v>1</v>
      </c>
    </row>
    <row r="1051" spans="1:31">
      <c r="A1051" s="20">
        <v>33673</v>
      </c>
      <c r="B1051" s="20" t="s">
        <v>6003</v>
      </c>
      <c r="C1051" s="34" t="s">
        <v>8112</v>
      </c>
      <c r="K1051" s="20">
        <v>12</v>
      </c>
      <c r="W1051" s="20">
        <f>IF(Q1051&lt;&gt;0,3,IF(K1051="","",VLOOKUP(K1051,'#状态名词'!$J$1:$K$15,2,FALSE)))</f>
        <v>0</v>
      </c>
      <c r="AA1051" s="20">
        <v>1</v>
      </c>
      <c r="AB1051" s="20">
        <v>33673</v>
      </c>
      <c r="AC1051" s="20">
        <v>100</v>
      </c>
      <c r="AD1051" s="20">
        <v>1</v>
      </c>
    </row>
    <row r="1052" spans="1:31">
      <c r="A1052" s="20">
        <v>33674</v>
      </c>
      <c r="B1052" s="20" t="s">
        <v>6004</v>
      </c>
      <c r="C1052" s="34" t="s">
        <v>8113</v>
      </c>
      <c r="K1052" s="20">
        <v>12</v>
      </c>
      <c r="W1052" s="20">
        <f>IF(Q1052&lt;&gt;0,3,IF(K1052="","",VLOOKUP(K1052,'#状态名词'!$J$1:$K$15,2,FALSE)))</f>
        <v>0</v>
      </c>
      <c r="AA1052" s="20">
        <v>1</v>
      </c>
      <c r="AB1052" s="20">
        <v>33674</v>
      </c>
      <c r="AC1052" s="20">
        <v>100</v>
      </c>
      <c r="AD1052" s="20">
        <v>1</v>
      </c>
    </row>
    <row r="1053" spans="1:31">
      <c r="A1053" s="20">
        <v>33675</v>
      </c>
      <c r="B1053" s="20" t="s">
        <v>6005</v>
      </c>
      <c r="C1053" s="21" t="s">
        <v>6872</v>
      </c>
      <c r="W1053" s="20" t="str">
        <f>IF(Q1053&lt;&gt;0,3,IF(K1053="","",VLOOKUP(K1053,'#状态名词'!$J$1:$K$15,2,FALSE)))</f>
        <v/>
      </c>
      <c r="AA1053" s="20">
        <v>1</v>
      </c>
      <c r="AB1053" s="20">
        <v>33675</v>
      </c>
      <c r="AC1053" s="20">
        <v>100</v>
      </c>
      <c r="AD1053" s="20">
        <v>1</v>
      </c>
    </row>
    <row r="1054" spans="1:31">
      <c r="A1054" s="20">
        <v>33676</v>
      </c>
      <c r="B1054" s="20" t="s">
        <v>6006</v>
      </c>
      <c r="C1054" s="21" t="s">
        <v>5902</v>
      </c>
      <c r="W1054" s="20" t="str">
        <f>IF(Q1054&lt;&gt;0,3,IF(K1054="","",VLOOKUP(K1054,'#状态名词'!$J$1:$K$15,2,FALSE)))</f>
        <v/>
      </c>
      <c r="AA1054" s="20">
        <v>1</v>
      </c>
      <c r="AB1054" s="20">
        <v>33676</v>
      </c>
      <c r="AC1054" s="20">
        <v>100</v>
      </c>
      <c r="AD1054" s="20">
        <v>1</v>
      </c>
    </row>
    <row r="1055" spans="1:31">
      <c r="A1055" s="20">
        <v>33677</v>
      </c>
      <c r="B1055" s="20" t="s">
        <v>5938</v>
      </c>
      <c r="C1055" s="21" t="s">
        <v>5939</v>
      </c>
      <c r="K1055" s="20">
        <v>9</v>
      </c>
      <c r="W1055" s="20">
        <f>IF(Q1055&lt;&gt;0,3,IF(K1055="","",VLOOKUP(K1055,'#状态名词'!$J$1:$K$15,2,FALSE)))</f>
        <v>3</v>
      </c>
      <c r="AA1055" s="20">
        <v>1</v>
      </c>
      <c r="AB1055" s="20">
        <v>33677</v>
      </c>
      <c r="AC1055" s="20">
        <v>100</v>
      </c>
      <c r="AD1055" s="20">
        <v>1</v>
      </c>
    </row>
    <row r="1056" spans="1:31">
      <c r="A1056" s="20">
        <v>33678</v>
      </c>
      <c r="B1056" s="20" t="s">
        <v>5940</v>
      </c>
      <c r="C1056" s="21" t="s">
        <v>5941</v>
      </c>
      <c r="K1056" s="20">
        <v>9</v>
      </c>
      <c r="W1056" s="20">
        <f>IF(Q1056&lt;&gt;0,3,IF(K1056="","",VLOOKUP(K1056,'#状态名词'!$J$1:$K$15,2,FALSE)))</f>
        <v>3</v>
      </c>
      <c r="AA1056" s="20">
        <v>1</v>
      </c>
      <c r="AB1056" s="20">
        <v>33678</v>
      </c>
      <c r="AC1056" s="20">
        <v>100</v>
      </c>
      <c r="AD1056" s="20">
        <v>1</v>
      </c>
    </row>
    <row r="1057" spans="1:31">
      <c r="A1057" s="20">
        <v>33679</v>
      </c>
      <c r="B1057" s="20" t="s">
        <v>5942</v>
      </c>
      <c r="C1057" s="21" t="s">
        <v>5943</v>
      </c>
      <c r="K1057" s="20">
        <v>9</v>
      </c>
      <c r="W1057" s="20">
        <f>IF(Q1057&lt;&gt;0,3,IF(K1057="","",VLOOKUP(K1057,'#状态名词'!$J$1:$K$15,2,FALSE)))</f>
        <v>3</v>
      </c>
      <c r="AA1057" s="20">
        <v>1</v>
      </c>
      <c r="AB1057" s="20">
        <v>33679</v>
      </c>
      <c r="AC1057" s="20">
        <v>100</v>
      </c>
      <c r="AD1057" s="20">
        <v>1</v>
      </c>
    </row>
    <row r="1058" spans="1:31">
      <c r="A1058" s="20">
        <v>33680</v>
      </c>
      <c r="B1058" s="20" t="s">
        <v>5944</v>
      </c>
      <c r="C1058" s="21" t="s">
        <v>5945</v>
      </c>
      <c r="K1058" s="20">
        <v>9</v>
      </c>
      <c r="W1058" s="20">
        <f>IF(Q1058&lt;&gt;0,3,IF(K1058="","",VLOOKUP(K1058,'#状态名词'!$J$1:$K$15,2,FALSE)))</f>
        <v>3</v>
      </c>
      <c r="AA1058" s="20">
        <v>1</v>
      </c>
      <c r="AB1058" s="20">
        <v>33680</v>
      </c>
      <c r="AC1058" s="20">
        <v>100</v>
      </c>
      <c r="AD1058" s="20">
        <v>1</v>
      </c>
    </row>
    <row r="1059" spans="1:31">
      <c r="A1059" s="20">
        <v>33681</v>
      </c>
      <c r="B1059" s="20" t="s">
        <v>5946</v>
      </c>
      <c r="C1059" s="21" t="s">
        <v>5947</v>
      </c>
      <c r="W1059" s="20" t="str">
        <f>IF(Q1059&lt;&gt;0,3,IF(K1059="","",VLOOKUP(K1059,'#状态名词'!$J$1:$K$15,2,FALSE)))</f>
        <v/>
      </c>
      <c r="AA1059" s="20">
        <v>1</v>
      </c>
      <c r="AB1059" s="20">
        <v>33681</v>
      </c>
      <c r="AC1059" s="20">
        <v>100</v>
      </c>
      <c r="AD1059" s="20">
        <v>1</v>
      </c>
    </row>
    <row r="1060" spans="1:31">
      <c r="A1060" s="20">
        <v>33682</v>
      </c>
      <c r="B1060" s="20" t="s">
        <v>5948</v>
      </c>
      <c r="C1060" s="21" t="s">
        <v>5949</v>
      </c>
      <c r="W1060" s="20" t="str">
        <f>IF(Q1060&lt;&gt;0,3,IF(K1060="","",VLOOKUP(K1060,'#状态名词'!$J$1:$K$15,2,FALSE)))</f>
        <v/>
      </c>
      <c r="AA1060" s="20">
        <v>1</v>
      </c>
      <c r="AB1060" s="20">
        <v>33682</v>
      </c>
      <c r="AC1060" s="20">
        <v>100</v>
      </c>
      <c r="AD1060" s="20">
        <v>1</v>
      </c>
    </row>
    <row r="1061" spans="1:31">
      <c r="A1061" s="20">
        <v>33683</v>
      </c>
      <c r="B1061" s="20" t="s">
        <v>5950</v>
      </c>
      <c r="C1061" s="21" t="s">
        <v>5951</v>
      </c>
      <c r="W1061" s="20" t="str">
        <f>IF(Q1061&lt;&gt;0,3,IF(K1061="","",VLOOKUP(K1061,'#状态名词'!$J$1:$K$15,2,FALSE)))</f>
        <v/>
      </c>
      <c r="AA1061" s="20">
        <v>1</v>
      </c>
      <c r="AB1061" s="20">
        <v>33683</v>
      </c>
      <c r="AC1061" s="20">
        <v>100</v>
      </c>
      <c r="AD1061" s="20">
        <v>1</v>
      </c>
    </row>
    <row r="1062" spans="1:31">
      <c r="A1062" s="20">
        <v>33684</v>
      </c>
      <c r="B1062" s="20" t="s">
        <v>5952</v>
      </c>
      <c r="C1062" s="21" t="s">
        <v>5953</v>
      </c>
      <c r="W1062" s="20" t="str">
        <f>IF(Q1062&lt;&gt;0,3,IF(K1062="","",VLOOKUP(K1062,'#状态名词'!$J$1:$K$15,2,FALSE)))</f>
        <v/>
      </c>
      <c r="AA1062" s="20">
        <v>1</v>
      </c>
      <c r="AB1062" s="20">
        <v>33684</v>
      </c>
      <c r="AC1062" s="20">
        <v>100</v>
      </c>
      <c r="AD1062" s="20">
        <v>1</v>
      </c>
    </row>
    <row r="1063" spans="1:31">
      <c r="A1063" s="20">
        <v>33685</v>
      </c>
      <c r="B1063" s="20" t="s">
        <v>5954</v>
      </c>
      <c r="C1063" s="21" t="s">
        <v>6873</v>
      </c>
      <c r="K1063" s="20">
        <v>9</v>
      </c>
      <c r="W1063" s="20">
        <f>IF(Q1063&lt;&gt;0,3,IF(K1063="","",VLOOKUP(K1063,'#状态名词'!$J$1:$K$15,2,FALSE)))</f>
        <v>3</v>
      </c>
      <c r="AA1063" s="20">
        <v>1</v>
      </c>
      <c r="AB1063" s="19">
        <v>33685</v>
      </c>
      <c r="AC1063" s="20">
        <v>50</v>
      </c>
      <c r="AD1063" s="20">
        <v>1</v>
      </c>
    </row>
    <row r="1064" spans="1:31">
      <c r="A1064" s="20">
        <v>33686</v>
      </c>
      <c r="B1064" s="20" t="s">
        <v>5956</v>
      </c>
      <c r="C1064" s="21" t="s">
        <v>6874</v>
      </c>
      <c r="K1064" s="20">
        <v>9</v>
      </c>
      <c r="W1064" s="20">
        <f>IF(Q1064&lt;&gt;0,3,IF(K1064="","",VLOOKUP(K1064,'#状态名词'!$J$1:$K$15,2,FALSE)))</f>
        <v>3</v>
      </c>
      <c r="AA1064" s="20">
        <v>1</v>
      </c>
      <c r="AB1064" s="19">
        <v>33686</v>
      </c>
      <c r="AC1064" s="20">
        <v>50</v>
      </c>
      <c r="AD1064" s="20">
        <v>1</v>
      </c>
    </row>
    <row r="1065" spans="1:31">
      <c r="A1065" s="20">
        <v>33687</v>
      </c>
      <c r="B1065" s="20" t="s">
        <v>5958</v>
      </c>
      <c r="C1065" s="21" t="s">
        <v>6875</v>
      </c>
      <c r="K1065" s="20">
        <v>9</v>
      </c>
      <c r="W1065" s="20">
        <f>IF(Q1065&lt;&gt;0,3,IF(K1065="","",VLOOKUP(K1065,'#状态名词'!$J$1:$K$15,2,FALSE)))</f>
        <v>3</v>
      </c>
      <c r="AA1065" s="20">
        <v>1</v>
      </c>
      <c r="AB1065" s="19">
        <v>33687</v>
      </c>
      <c r="AC1065" s="20">
        <v>50</v>
      </c>
      <c r="AD1065" s="20">
        <v>0</v>
      </c>
    </row>
    <row r="1066" spans="1:31">
      <c r="A1066" s="20">
        <v>33688</v>
      </c>
      <c r="B1066" s="20" t="s">
        <v>5960</v>
      </c>
      <c r="C1066" s="21" t="s">
        <v>6876</v>
      </c>
      <c r="K1066" s="20">
        <v>9</v>
      </c>
      <c r="W1066" s="20">
        <f>IF(Q1066&lt;&gt;0,3,IF(K1066="","",VLOOKUP(K1066,'#状态名词'!$J$1:$K$15,2,FALSE)))</f>
        <v>3</v>
      </c>
      <c r="AA1066" s="20">
        <v>1</v>
      </c>
      <c r="AB1066" s="19">
        <v>33688</v>
      </c>
      <c r="AC1066" s="20">
        <v>50</v>
      </c>
      <c r="AD1066" s="20">
        <v>0</v>
      </c>
    </row>
    <row r="1067" spans="1:31">
      <c r="A1067" s="20">
        <v>33689</v>
      </c>
      <c r="B1067" s="20" t="s">
        <v>7356</v>
      </c>
      <c r="C1067" s="32" t="s">
        <v>4470</v>
      </c>
      <c r="K1067" s="20">
        <v>9</v>
      </c>
      <c r="W1067" s="20">
        <f>IF(Q1067&lt;&gt;0,3,IF(K1067="","",VLOOKUP(K1067,'#状态名词'!$J$1:$K$15,2,FALSE)))</f>
        <v>3</v>
      </c>
      <c r="AA1067" s="20">
        <v>1</v>
      </c>
      <c r="AB1067" s="20">
        <v>5</v>
      </c>
      <c r="AC1067" s="20">
        <v>8</v>
      </c>
      <c r="AD1067" s="20">
        <v>1</v>
      </c>
      <c r="AE1067" s="20">
        <v>2</v>
      </c>
    </row>
    <row r="1068" spans="1:31">
      <c r="A1068" s="20">
        <v>33690</v>
      </c>
      <c r="B1068" s="20" t="s">
        <v>3801</v>
      </c>
      <c r="C1068" s="21" t="s">
        <v>7931</v>
      </c>
      <c r="F1068" s="20" t="s">
        <v>6008</v>
      </c>
      <c r="K1068" s="20">
        <v>5</v>
      </c>
      <c r="N1068" s="20">
        <v>3</v>
      </c>
      <c r="O1068" s="20">
        <v>1</v>
      </c>
      <c r="W1068" s="20">
        <f>IF(Q1068&lt;&gt;0,3,IF(K1068="","",VLOOKUP(K1068,'#状态名词'!$J$1:$K$15,2,FALSE)))</f>
        <v>1</v>
      </c>
      <c r="AA1068" s="20">
        <v>1</v>
      </c>
      <c r="AB1068" s="19">
        <v>33690</v>
      </c>
      <c r="AC1068" s="20">
        <v>100</v>
      </c>
      <c r="AD1068" s="20">
        <v>0</v>
      </c>
    </row>
    <row r="1069" spans="1:31">
      <c r="A1069" s="20">
        <v>33691</v>
      </c>
      <c r="B1069" s="20" t="s">
        <v>3802</v>
      </c>
      <c r="C1069" s="21" t="s">
        <v>5963</v>
      </c>
      <c r="F1069" s="20" t="s">
        <v>6007</v>
      </c>
      <c r="H1069" s="20">
        <v>20</v>
      </c>
      <c r="K1069" s="20">
        <v>5</v>
      </c>
      <c r="N1069" s="20">
        <v>0</v>
      </c>
      <c r="O1069" s="20">
        <v>1</v>
      </c>
      <c r="W1069" s="20">
        <f>IF(Q1069&lt;&gt;0,3,IF(K1069="","",VLOOKUP(K1069,'#状态名词'!$J$1:$K$15,2,FALSE)))</f>
        <v>1</v>
      </c>
      <c r="AA1069" s="20">
        <v>1</v>
      </c>
      <c r="AB1069" s="19">
        <v>11</v>
      </c>
      <c r="AC1069" s="20">
        <v>100</v>
      </c>
      <c r="AD1069" s="20">
        <v>0</v>
      </c>
      <c r="AE1069" s="20">
        <v>3</v>
      </c>
    </row>
    <row r="1070" spans="1:31">
      <c r="A1070" s="20">
        <v>33692</v>
      </c>
      <c r="B1070" s="20" t="s">
        <v>3803</v>
      </c>
      <c r="C1070" s="21" t="s">
        <v>5964</v>
      </c>
      <c r="F1070" s="20" t="s">
        <v>6007</v>
      </c>
      <c r="H1070" s="20">
        <v>20</v>
      </c>
      <c r="K1070" s="20">
        <v>5</v>
      </c>
      <c r="N1070" s="20">
        <v>0</v>
      </c>
      <c r="O1070" s="20">
        <v>1</v>
      </c>
      <c r="W1070" s="20">
        <f>IF(Q1070&lt;&gt;0,3,IF(K1070="","",VLOOKUP(K1070,'#状态名词'!$J$1:$K$15,2,FALSE)))</f>
        <v>1</v>
      </c>
      <c r="AA1070" s="20">
        <v>1</v>
      </c>
      <c r="AB1070" s="19">
        <v>13</v>
      </c>
      <c r="AC1070" s="20">
        <v>100</v>
      </c>
      <c r="AD1070" s="20">
        <v>0</v>
      </c>
      <c r="AE1070" s="20">
        <v>5</v>
      </c>
    </row>
    <row r="1071" spans="1:31">
      <c r="A1071" s="20">
        <v>33693</v>
      </c>
      <c r="B1071" s="20" t="s">
        <v>3804</v>
      </c>
      <c r="C1071" s="21" t="s">
        <v>5965</v>
      </c>
      <c r="F1071" s="20" t="s">
        <v>6007</v>
      </c>
      <c r="H1071" s="20">
        <v>20</v>
      </c>
      <c r="K1071" s="20">
        <v>5</v>
      </c>
      <c r="N1071" s="20">
        <v>0</v>
      </c>
      <c r="O1071" s="20">
        <v>1</v>
      </c>
      <c r="W1071" s="20">
        <f>IF(Q1071&lt;&gt;0,3,IF(K1071="","",VLOOKUP(K1071,'#状态名词'!$J$1:$K$15,2,FALSE)))</f>
        <v>1</v>
      </c>
      <c r="AA1071" s="20">
        <v>1</v>
      </c>
      <c r="AB1071" s="19">
        <v>5</v>
      </c>
      <c r="AC1071" s="20">
        <v>100</v>
      </c>
      <c r="AD1071" s="20">
        <v>0</v>
      </c>
      <c r="AE1071" s="20">
        <v>3</v>
      </c>
    </row>
    <row r="1072" spans="1:31">
      <c r="A1072" s="20">
        <v>33694</v>
      </c>
      <c r="B1072" s="20" t="s">
        <v>3805</v>
      </c>
      <c r="C1072" s="21" t="s">
        <v>7932</v>
      </c>
      <c r="F1072" s="20" t="s">
        <v>6007</v>
      </c>
      <c r="H1072" s="20">
        <v>20</v>
      </c>
      <c r="K1072" s="20">
        <v>5</v>
      </c>
      <c r="N1072" s="20">
        <v>2</v>
      </c>
      <c r="O1072" s="20">
        <v>1</v>
      </c>
      <c r="W1072" s="20">
        <f>IF(Q1072&lt;&gt;0,3,IF(K1072="","",VLOOKUP(K1072,'#状态名词'!$J$1:$K$15,2,FALSE)))</f>
        <v>1</v>
      </c>
      <c r="AA1072" s="20">
        <v>1</v>
      </c>
      <c r="AB1072" s="19">
        <v>33694</v>
      </c>
      <c r="AC1072" s="20">
        <v>100</v>
      </c>
      <c r="AD1072" s="20">
        <v>0</v>
      </c>
    </row>
    <row r="1073" spans="1:33">
      <c r="A1073" s="20">
        <v>33695</v>
      </c>
      <c r="B1073" s="20" t="s">
        <v>3806</v>
      </c>
      <c r="C1073" s="21" t="s">
        <v>7933</v>
      </c>
      <c r="F1073" s="20" t="s">
        <v>6007</v>
      </c>
      <c r="H1073" s="20">
        <v>20</v>
      </c>
      <c r="K1073" s="20">
        <v>5</v>
      </c>
      <c r="N1073" s="20">
        <v>1</v>
      </c>
      <c r="O1073" s="20">
        <v>1</v>
      </c>
      <c r="W1073" s="20">
        <f>IF(Q1073&lt;&gt;0,3,IF(K1073="","",VLOOKUP(K1073,'#状态名词'!$J$1:$K$15,2,FALSE)))</f>
        <v>1</v>
      </c>
      <c r="AA1073" s="20">
        <v>1</v>
      </c>
      <c r="AB1073" s="19">
        <v>33695</v>
      </c>
      <c r="AC1073" s="20">
        <v>100</v>
      </c>
      <c r="AD1073" s="20">
        <v>0</v>
      </c>
    </row>
    <row r="1074" spans="1:33">
      <c r="A1074" s="20">
        <v>33696</v>
      </c>
      <c r="B1074" s="20" t="s">
        <v>3807</v>
      </c>
      <c r="C1074" s="21" t="s">
        <v>7934</v>
      </c>
      <c r="F1074" s="20" t="s">
        <v>6007</v>
      </c>
      <c r="H1074" s="20">
        <v>20</v>
      </c>
      <c r="K1074" s="20">
        <v>5</v>
      </c>
      <c r="N1074" s="20">
        <v>4</v>
      </c>
      <c r="O1074" s="20">
        <v>1</v>
      </c>
      <c r="W1074" s="20">
        <f>IF(Q1074&lt;&gt;0,3,IF(K1074="","",VLOOKUP(K1074,'#状态名词'!$J$1:$K$15,2,FALSE)))</f>
        <v>1</v>
      </c>
      <c r="AA1074" s="20">
        <v>1</v>
      </c>
      <c r="AB1074" s="19">
        <v>33696</v>
      </c>
      <c r="AC1074" s="20">
        <v>100</v>
      </c>
      <c r="AD1074" s="20">
        <v>0</v>
      </c>
    </row>
    <row r="1075" spans="1:33">
      <c r="A1075" s="20">
        <v>33701</v>
      </c>
      <c r="B1075" s="20" t="s">
        <v>6337</v>
      </c>
      <c r="C1075" s="21" t="s">
        <v>6231</v>
      </c>
      <c r="W1075" s="20" t="str">
        <f>IF(Q1075&lt;&gt;0,3,IF(K1075="","",VLOOKUP(K1075,'#状态名词'!$J$1:$K$15,2,FALSE)))</f>
        <v/>
      </c>
      <c r="AB1075" s="19"/>
      <c r="AF1075" s="19">
        <v>33701</v>
      </c>
      <c r="AG1075" s="20">
        <v>2</v>
      </c>
    </row>
    <row r="1076" spans="1:33">
      <c r="A1076" s="20">
        <v>33702</v>
      </c>
      <c r="B1076" s="20" t="s">
        <v>6338</v>
      </c>
      <c r="C1076" s="21" t="s">
        <v>6232</v>
      </c>
      <c r="W1076" s="20" t="str">
        <f>IF(Q1076&lt;&gt;0,3,IF(K1076="","",VLOOKUP(K1076,'#状态名词'!$J$1:$K$15,2,FALSE)))</f>
        <v/>
      </c>
      <c r="AB1076" s="19"/>
      <c r="AF1076" s="19">
        <v>33702</v>
      </c>
      <c r="AG1076" s="20">
        <v>2</v>
      </c>
    </row>
    <row r="1077" spans="1:33">
      <c r="A1077" s="20">
        <v>33703</v>
      </c>
      <c r="B1077" s="20" t="s">
        <v>6339</v>
      </c>
      <c r="C1077" s="21" t="s">
        <v>6233</v>
      </c>
      <c r="W1077" s="20" t="str">
        <f>IF(Q1077&lt;&gt;0,3,IF(K1077="","",VLOOKUP(K1077,'#状态名词'!$J$1:$K$15,2,FALSE)))</f>
        <v/>
      </c>
      <c r="AB1077" s="19"/>
      <c r="AF1077" s="19">
        <v>33703</v>
      </c>
      <c r="AG1077" s="20">
        <v>2</v>
      </c>
    </row>
    <row r="1078" spans="1:33">
      <c r="A1078" s="20">
        <v>33704</v>
      </c>
      <c r="B1078" s="20" t="s">
        <v>6340</v>
      </c>
      <c r="C1078" s="21" t="s">
        <v>6234</v>
      </c>
      <c r="W1078" s="20" t="str">
        <f>IF(Q1078&lt;&gt;0,3,IF(K1078="","",VLOOKUP(K1078,'#状态名词'!$J$1:$K$15,2,FALSE)))</f>
        <v/>
      </c>
      <c r="AB1078" s="19"/>
      <c r="AF1078" s="19">
        <v>33704</v>
      </c>
      <c r="AG1078" s="20">
        <v>2</v>
      </c>
    </row>
    <row r="1079" spans="1:33">
      <c r="A1079" s="20">
        <v>33705</v>
      </c>
      <c r="B1079" s="20" t="s">
        <v>6341</v>
      </c>
      <c r="C1079" s="21" t="s">
        <v>6235</v>
      </c>
      <c r="W1079" s="20" t="str">
        <f>IF(Q1079&lt;&gt;0,3,IF(K1079="","",VLOOKUP(K1079,'#状态名词'!$J$1:$K$15,2,FALSE)))</f>
        <v/>
      </c>
      <c r="AB1079" s="19"/>
      <c r="AF1079" s="19">
        <v>33705</v>
      </c>
      <c r="AG1079" s="20">
        <v>2</v>
      </c>
    </row>
    <row r="1080" spans="1:33">
      <c r="A1080" s="20">
        <v>33706</v>
      </c>
      <c r="B1080" s="20" t="s">
        <v>6342</v>
      </c>
      <c r="C1080" s="21" t="s">
        <v>6236</v>
      </c>
      <c r="W1080" s="20" t="str">
        <f>IF(Q1080&lt;&gt;0,3,IF(K1080="","",VLOOKUP(K1080,'#状态名词'!$J$1:$K$15,2,FALSE)))</f>
        <v/>
      </c>
      <c r="AB1080" s="19"/>
      <c r="AF1080" s="19">
        <v>33706</v>
      </c>
      <c r="AG1080" s="20">
        <v>2</v>
      </c>
    </row>
    <row r="1081" spans="1:33">
      <c r="A1081" s="20">
        <v>33707</v>
      </c>
      <c r="B1081" s="20" t="s">
        <v>4862</v>
      </c>
      <c r="C1081" s="21" t="s">
        <v>6237</v>
      </c>
      <c r="W1081" s="20" t="str">
        <f>IF(Q1081&lt;&gt;0,3,IF(K1081="","",VLOOKUP(K1081,'#状态名词'!$J$1:$K$15,2,FALSE)))</f>
        <v/>
      </c>
      <c r="AB1081" s="19"/>
      <c r="AF1081" s="19">
        <v>33707</v>
      </c>
      <c r="AG1081" s="20">
        <v>2</v>
      </c>
    </row>
    <row r="1082" spans="1:33">
      <c r="A1082" s="20">
        <v>33708</v>
      </c>
      <c r="B1082" s="20" t="s">
        <v>6343</v>
      </c>
      <c r="C1082" s="21" t="s">
        <v>6238</v>
      </c>
      <c r="W1082" s="20" t="str">
        <f>IF(Q1082&lt;&gt;0,3,IF(K1082="","",VLOOKUP(K1082,'#状态名词'!$J$1:$K$15,2,FALSE)))</f>
        <v/>
      </c>
      <c r="AB1082" s="19"/>
      <c r="AF1082" s="19">
        <v>33708</v>
      </c>
      <c r="AG1082" s="20">
        <v>2</v>
      </c>
    </row>
    <row r="1083" spans="1:33">
      <c r="A1083" s="20">
        <v>33709</v>
      </c>
      <c r="B1083" s="20" t="s">
        <v>6344</v>
      </c>
      <c r="C1083" s="21" t="s">
        <v>6239</v>
      </c>
      <c r="W1083" s="20" t="str">
        <f>IF(Q1083&lt;&gt;0,3,IF(K1083="","",VLOOKUP(K1083,'#状态名词'!$J$1:$K$15,2,FALSE)))</f>
        <v/>
      </c>
      <c r="AB1083" s="19"/>
      <c r="AF1083" s="19">
        <v>33709</v>
      </c>
      <c r="AG1083" s="20">
        <v>2</v>
      </c>
    </row>
    <row r="1084" spans="1:33">
      <c r="A1084" s="20">
        <v>33710</v>
      </c>
      <c r="B1084" s="20" t="s">
        <v>6345</v>
      </c>
      <c r="C1084" s="21" t="s">
        <v>6240</v>
      </c>
      <c r="W1084" s="20" t="str">
        <f>IF(Q1084&lt;&gt;0,3,IF(K1084="","",VLOOKUP(K1084,'#状态名词'!$J$1:$K$15,2,FALSE)))</f>
        <v/>
      </c>
      <c r="AB1084" s="19"/>
      <c r="AF1084" s="19">
        <v>33710</v>
      </c>
      <c r="AG1084" s="20">
        <v>2</v>
      </c>
    </row>
    <row r="1085" spans="1:33">
      <c r="A1085" s="20">
        <v>33711</v>
      </c>
      <c r="B1085" s="20" t="s">
        <v>6346</v>
      </c>
      <c r="C1085" s="21" t="s">
        <v>6241</v>
      </c>
      <c r="W1085" s="20" t="str">
        <f>IF(Q1085&lt;&gt;0,3,IF(K1085="","",VLOOKUP(K1085,'#状态名词'!$J$1:$K$15,2,FALSE)))</f>
        <v/>
      </c>
      <c r="AB1085" s="19"/>
      <c r="AF1085" s="19">
        <v>33711</v>
      </c>
      <c r="AG1085" s="20">
        <v>2</v>
      </c>
    </row>
    <row r="1086" spans="1:33">
      <c r="A1086" s="20">
        <v>33712</v>
      </c>
      <c r="B1086" s="20" t="s">
        <v>6347</v>
      </c>
      <c r="C1086" s="21" t="s">
        <v>6242</v>
      </c>
      <c r="W1086" s="20" t="str">
        <f>IF(Q1086&lt;&gt;0,3,IF(K1086="","",VLOOKUP(K1086,'#状态名词'!$J$1:$K$15,2,FALSE)))</f>
        <v/>
      </c>
      <c r="AB1086" s="19"/>
      <c r="AF1086" s="19">
        <v>33712</v>
      </c>
      <c r="AG1086" s="20">
        <v>2</v>
      </c>
    </row>
    <row r="1087" spans="1:33">
      <c r="A1087" s="20">
        <v>33713</v>
      </c>
      <c r="B1087" s="20" t="s">
        <v>6348</v>
      </c>
      <c r="C1087" s="21" t="s">
        <v>6243</v>
      </c>
      <c r="W1087" s="20" t="str">
        <f>IF(Q1087&lt;&gt;0,3,IF(K1087="","",VLOOKUP(K1087,'#状态名词'!$J$1:$K$15,2,FALSE)))</f>
        <v/>
      </c>
      <c r="AB1087" s="19"/>
      <c r="AF1087" s="19">
        <v>33713</v>
      </c>
      <c r="AG1087" s="20">
        <v>2</v>
      </c>
    </row>
    <row r="1088" spans="1:33">
      <c r="A1088" s="20">
        <v>33714</v>
      </c>
      <c r="B1088" s="20" t="s">
        <v>6349</v>
      </c>
      <c r="C1088" s="21" t="s">
        <v>6244</v>
      </c>
      <c r="W1088" s="20" t="str">
        <f>IF(Q1088&lt;&gt;0,3,IF(K1088="","",VLOOKUP(K1088,'#状态名词'!$J$1:$K$15,2,FALSE)))</f>
        <v/>
      </c>
      <c r="AB1088" s="19"/>
      <c r="AF1088" s="19">
        <v>33714</v>
      </c>
      <c r="AG1088" s="20">
        <v>2</v>
      </c>
    </row>
    <row r="1089" spans="1:33">
      <c r="A1089" s="20">
        <v>33715</v>
      </c>
      <c r="B1089" s="20" t="s">
        <v>6350</v>
      </c>
      <c r="C1089" s="21" t="s">
        <v>6245</v>
      </c>
      <c r="W1089" s="20" t="str">
        <f>IF(Q1089&lt;&gt;0,3,IF(K1089="","",VLOOKUP(K1089,'#状态名词'!$J$1:$K$15,2,FALSE)))</f>
        <v/>
      </c>
      <c r="AB1089" s="19"/>
      <c r="AF1089" s="19">
        <v>33715</v>
      </c>
      <c r="AG1089" s="20">
        <v>2</v>
      </c>
    </row>
    <row r="1090" spans="1:33">
      <c r="A1090" s="20">
        <v>33716</v>
      </c>
      <c r="B1090" s="20" t="s">
        <v>6351</v>
      </c>
      <c r="C1090" s="21" t="s">
        <v>6246</v>
      </c>
      <c r="W1090" s="20" t="str">
        <f>IF(Q1090&lt;&gt;0,3,IF(K1090="","",VLOOKUP(K1090,'#状态名词'!$J$1:$K$15,2,FALSE)))</f>
        <v/>
      </c>
      <c r="AB1090" s="19"/>
      <c r="AF1090" s="19">
        <v>33716</v>
      </c>
      <c r="AG1090" s="20">
        <v>2</v>
      </c>
    </row>
    <row r="1091" spans="1:33">
      <c r="A1091" s="20">
        <v>33717</v>
      </c>
      <c r="B1091" s="20" t="s">
        <v>6352</v>
      </c>
      <c r="C1091" s="21" t="s">
        <v>6247</v>
      </c>
      <c r="W1091" s="20" t="str">
        <f>IF(Q1091&lt;&gt;0,3,IF(K1091="","",VLOOKUP(K1091,'#状态名词'!$J$1:$K$15,2,FALSE)))</f>
        <v/>
      </c>
      <c r="AB1091" s="19"/>
      <c r="AF1091" s="19">
        <v>33717</v>
      </c>
      <c r="AG1091" s="20">
        <v>2</v>
      </c>
    </row>
    <row r="1092" spans="1:33">
      <c r="A1092" s="20">
        <v>33718</v>
      </c>
      <c r="B1092" s="20" t="s">
        <v>6353</v>
      </c>
      <c r="C1092" s="21" t="s">
        <v>6248</v>
      </c>
      <c r="W1092" s="20" t="str">
        <f>IF(Q1092&lt;&gt;0,3,IF(K1092="","",VLOOKUP(K1092,'#状态名词'!$J$1:$K$15,2,FALSE)))</f>
        <v/>
      </c>
      <c r="AB1092" s="19"/>
      <c r="AF1092" s="19">
        <v>33718</v>
      </c>
      <c r="AG1092" s="20">
        <v>2</v>
      </c>
    </row>
    <row r="1093" spans="1:33">
      <c r="A1093" s="20">
        <v>33719</v>
      </c>
      <c r="B1093" s="20" t="s">
        <v>6354</v>
      </c>
      <c r="C1093" s="21" t="s">
        <v>6249</v>
      </c>
      <c r="W1093" s="20" t="str">
        <f>IF(Q1093&lt;&gt;0,3,IF(K1093="","",VLOOKUP(K1093,'#状态名词'!$J$1:$K$15,2,FALSE)))</f>
        <v/>
      </c>
      <c r="AB1093" s="19"/>
      <c r="AF1093" s="19">
        <v>33719</v>
      </c>
      <c r="AG1093" s="20">
        <v>2</v>
      </c>
    </row>
    <row r="1094" spans="1:33">
      <c r="A1094" s="20">
        <v>33720</v>
      </c>
      <c r="B1094" s="20" t="s">
        <v>6355</v>
      </c>
      <c r="C1094" s="21" t="s">
        <v>6250</v>
      </c>
      <c r="W1094" s="20" t="str">
        <f>IF(Q1094&lt;&gt;0,3,IF(K1094="","",VLOOKUP(K1094,'#状态名词'!$J$1:$K$15,2,FALSE)))</f>
        <v/>
      </c>
      <c r="AB1094" s="19"/>
      <c r="AF1094" s="19">
        <v>33720</v>
      </c>
      <c r="AG1094" s="20">
        <v>2</v>
      </c>
    </row>
    <row r="1095" spans="1:33">
      <c r="A1095" s="20">
        <v>33721</v>
      </c>
      <c r="B1095" s="20" t="s">
        <v>6356</v>
      </c>
      <c r="C1095" s="21" t="s">
        <v>6251</v>
      </c>
      <c r="W1095" s="20" t="str">
        <f>IF(Q1095&lt;&gt;0,3,IF(K1095="","",VLOOKUP(K1095,'#状态名词'!$J$1:$K$15,2,FALSE)))</f>
        <v/>
      </c>
      <c r="AB1095" s="19"/>
      <c r="AF1095" s="19">
        <v>33721</v>
      </c>
      <c r="AG1095" s="20">
        <v>2</v>
      </c>
    </row>
    <row r="1096" spans="1:33">
      <c r="A1096" s="20">
        <v>33722</v>
      </c>
      <c r="B1096" s="20" t="s">
        <v>6357</v>
      </c>
      <c r="C1096" s="21" t="s">
        <v>6252</v>
      </c>
      <c r="W1096" s="20" t="str">
        <f>IF(Q1096&lt;&gt;0,3,IF(K1096="","",VLOOKUP(K1096,'#状态名词'!$J$1:$K$15,2,FALSE)))</f>
        <v/>
      </c>
      <c r="AB1096" s="19"/>
      <c r="AF1096" s="19">
        <v>33722</v>
      </c>
      <c r="AG1096" s="20">
        <v>2</v>
      </c>
    </row>
    <row r="1097" spans="1:33">
      <c r="A1097" s="20">
        <v>33723</v>
      </c>
      <c r="B1097" s="20" t="s">
        <v>6358</v>
      </c>
      <c r="C1097" s="21" t="s">
        <v>6253</v>
      </c>
      <c r="W1097" s="20" t="str">
        <f>IF(Q1097&lt;&gt;0,3,IF(K1097="","",VLOOKUP(K1097,'#状态名词'!$J$1:$K$15,2,FALSE)))</f>
        <v/>
      </c>
      <c r="AB1097" s="19"/>
      <c r="AF1097" s="19">
        <v>33723</v>
      </c>
      <c r="AG1097" s="20">
        <v>2</v>
      </c>
    </row>
    <row r="1098" spans="1:33">
      <c r="A1098" s="20">
        <v>33724</v>
      </c>
      <c r="B1098" s="20" t="s">
        <v>6359</v>
      </c>
      <c r="C1098" s="21" t="s">
        <v>6254</v>
      </c>
      <c r="W1098" s="20" t="str">
        <f>IF(Q1098&lt;&gt;0,3,IF(K1098="","",VLOOKUP(K1098,'#状态名词'!$J$1:$K$15,2,FALSE)))</f>
        <v/>
      </c>
      <c r="AB1098" s="19"/>
      <c r="AF1098" s="19">
        <v>33724</v>
      </c>
      <c r="AG1098" s="20">
        <v>2</v>
      </c>
    </row>
    <row r="1099" spans="1:33">
      <c r="A1099" s="20">
        <v>33725</v>
      </c>
      <c r="B1099" s="20" t="s">
        <v>6360</v>
      </c>
      <c r="C1099" s="21" t="s">
        <v>6255</v>
      </c>
      <c r="W1099" s="20" t="str">
        <f>IF(Q1099&lt;&gt;0,3,IF(K1099="","",VLOOKUP(K1099,'#状态名词'!$J$1:$K$15,2,FALSE)))</f>
        <v/>
      </c>
      <c r="AB1099" s="19"/>
      <c r="AF1099" s="19">
        <v>33725</v>
      </c>
      <c r="AG1099" s="20">
        <v>2</v>
      </c>
    </row>
    <row r="1100" spans="1:33">
      <c r="A1100" s="20">
        <v>33726</v>
      </c>
      <c r="B1100" s="20" t="s">
        <v>6361</v>
      </c>
      <c r="C1100" s="21" t="s">
        <v>6256</v>
      </c>
      <c r="W1100" s="20" t="str">
        <f>IF(Q1100&lt;&gt;0,3,IF(K1100="","",VLOOKUP(K1100,'#状态名词'!$J$1:$K$15,2,FALSE)))</f>
        <v/>
      </c>
      <c r="AB1100" s="19"/>
      <c r="AF1100" s="19">
        <v>33726</v>
      </c>
      <c r="AG1100" s="20">
        <v>2</v>
      </c>
    </row>
    <row r="1101" spans="1:33">
      <c r="A1101" s="20">
        <v>33727</v>
      </c>
      <c r="B1101" s="20" t="s">
        <v>6362</v>
      </c>
      <c r="C1101" s="21" t="s">
        <v>6257</v>
      </c>
      <c r="W1101" s="20" t="str">
        <f>IF(Q1101&lt;&gt;0,3,IF(K1101="","",VLOOKUP(K1101,'#状态名词'!$J$1:$K$15,2,FALSE)))</f>
        <v/>
      </c>
      <c r="AB1101" s="19"/>
      <c r="AF1101" s="19">
        <v>33727</v>
      </c>
      <c r="AG1101" s="20">
        <v>2</v>
      </c>
    </row>
    <row r="1102" spans="1:33">
      <c r="A1102" s="20">
        <v>33728</v>
      </c>
      <c r="B1102" s="20" t="s">
        <v>6363</v>
      </c>
      <c r="C1102" s="21" t="s">
        <v>6258</v>
      </c>
      <c r="W1102" s="20" t="str">
        <f>IF(Q1102&lt;&gt;0,3,IF(K1102="","",VLOOKUP(K1102,'#状态名词'!$J$1:$K$15,2,FALSE)))</f>
        <v/>
      </c>
      <c r="AB1102" s="19"/>
      <c r="AF1102" s="19">
        <v>33728</v>
      </c>
      <c r="AG1102" s="20">
        <v>2</v>
      </c>
    </row>
    <row r="1103" spans="1:33">
      <c r="A1103" s="20">
        <v>33729</v>
      </c>
      <c r="B1103" s="20" t="s">
        <v>6364</v>
      </c>
      <c r="C1103" s="21" t="s">
        <v>6259</v>
      </c>
      <c r="W1103" s="20" t="str">
        <f>IF(Q1103&lt;&gt;0,3,IF(K1103="","",VLOOKUP(K1103,'#状态名词'!$J$1:$K$15,2,FALSE)))</f>
        <v/>
      </c>
      <c r="AB1103" s="19"/>
      <c r="AF1103" s="19">
        <v>33729</v>
      </c>
      <c r="AG1103" s="20">
        <v>2</v>
      </c>
    </row>
    <row r="1104" spans="1:33">
      <c r="A1104" s="20">
        <v>33730</v>
      </c>
      <c r="B1104" s="20" t="s">
        <v>6365</v>
      </c>
      <c r="C1104" s="21" t="s">
        <v>6260</v>
      </c>
      <c r="W1104" s="20" t="str">
        <f>IF(Q1104&lt;&gt;0,3,IF(K1104="","",VLOOKUP(K1104,'#状态名词'!$J$1:$K$15,2,FALSE)))</f>
        <v/>
      </c>
      <c r="AB1104" s="19"/>
      <c r="AF1104" s="19">
        <v>33730</v>
      </c>
      <c r="AG1104" s="20">
        <v>2</v>
      </c>
    </row>
    <row r="1105" spans="1:33">
      <c r="A1105" s="20">
        <v>33731</v>
      </c>
      <c r="B1105" s="20" t="s">
        <v>6366</v>
      </c>
      <c r="C1105" s="21" t="s">
        <v>6261</v>
      </c>
      <c r="W1105" s="20" t="str">
        <f>IF(Q1105&lt;&gt;0,3,IF(K1105="","",VLOOKUP(K1105,'#状态名词'!$J$1:$K$15,2,FALSE)))</f>
        <v/>
      </c>
      <c r="AB1105" s="19"/>
      <c r="AF1105" s="19">
        <v>33731</v>
      </c>
      <c r="AG1105" s="20">
        <v>2</v>
      </c>
    </row>
    <row r="1106" spans="1:33">
      <c r="A1106" s="20">
        <v>33732</v>
      </c>
      <c r="B1106" s="20" t="s">
        <v>6367</v>
      </c>
      <c r="C1106" s="21" t="s">
        <v>6262</v>
      </c>
      <c r="W1106" s="20" t="str">
        <f>IF(Q1106&lt;&gt;0,3,IF(K1106="","",VLOOKUP(K1106,'#状态名词'!$J$1:$K$15,2,FALSE)))</f>
        <v/>
      </c>
      <c r="AB1106" s="19"/>
      <c r="AF1106" s="19">
        <v>33732</v>
      </c>
      <c r="AG1106" s="20">
        <v>2</v>
      </c>
    </row>
    <row r="1107" spans="1:33">
      <c r="A1107" s="20">
        <v>33733</v>
      </c>
      <c r="B1107" s="20" t="s">
        <v>6368</v>
      </c>
      <c r="C1107" s="21" t="s">
        <v>6263</v>
      </c>
      <c r="W1107" s="20" t="str">
        <f>IF(Q1107&lt;&gt;0,3,IF(K1107="","",VLOOKUP(K1107,'#状态名词'!$J$1:$K$15,2,FALSE)))</f>
        <v/>
      </c>
      <c r="AB1107" s="19"/>
      <c r="AF1107" s="19">
        <v>33733</v>
      </c>
      <c r="AG1107" s="20">
        <v>2</v>
      </c>
    </row>
    <row r="1108" spans="1:33">
      <c r="A1108" s="20">
        <v>33734</v>
      </c>
      <c r="B1108" s="20" t="s">
        <v>6369</v>
      </c>
      <c r="C1108" s="21" t="s">
        <v>6264</v>
      </c>
      <c r="W1108" s="20" t="str">
        <f>IF(Q1108&lt;&gt;0,3,IF(K1108="","",VLOOKUP(K1108,'#状态名词'!$J$1:$K$15,2,FALSE)))</f>
        <v/>
      </c>
      <c r="AB1108" s="19"/>
      <c r="AF1108" s="19">
        <v>33734</v>
      </c>
      <c r="AG1108" s="20">
        <v>2</v>
      </c>
    </row>
    <row r="1109" spans="1:33">
      <c r="A1109" s="20">
        <v>33735</v>
      </c>
      <c r="B1109" s="20" t="s">
        <v>6370</v>
      </c>
      <c r="C1109" s="21" t="s">
        <v>6265</v>
      </c>
      <c r="W1109" s="20" t="str">
        <f>IF(Q1109&lt;&gt;0,3,IF(K1109="","",VLOOKUP(K1109,'#状态名词'!$J$1:$K$15,2,FALSE)))</f>
        <v/>
      </c>
      <c r="AB1109" s="19"/>
      <c r="AF1109" s="19">
        <v>33735</v>
      </c>
      <c r="AG1109" s="20">
        <v>2</v>
      </c>
    </row>
    <row r="1110" spans="1:33">
      <c r="A1110" s="20">
        <v>33736</v>
      </c>
      <c r="B1110" s="20" t="s">
        <v>6371</v>
      </c>
      <c r="C1110" s="21" t="s">
        <v>6266</v>
      </c>
      <c r="W1110" s="20" t="str">
        <f>IF(Q1110&lt;&gt;0,3,IF(K1110="","",VLOOKUP(K1110,'#状态名词'!$J$1:$K$15,2,FALSE)))</f>
        <v/>
      </c>
      <c r="AB1110" s="19"/>
      <c r="AF1110" s="19">
        <v>33736</v>
      </c>
      <c r="AG1110" s="20">
        <v>2</v>
      </c>
    </row>
    <row r="1111" spans="1:33">
      <c r="A1111" s="20">
        <v>33737</v>
      </c>
      <c r="B1111" s="20" t="s">
        <v>6372</v>
      </c>
      <c r="C1111" s="21" t="s">
        <v>6267</v>
      </c>
      <c r="W1111" s="20" t="str">
        <f>IF(Q1111&lt;&gt;0,3,IF(K1111="","",VLOOKUP(K1111,'#状态名词'!$J$1:$K$15,2,FALSE)))</f>
        <v/>
      </c>
      <c r="AB1111" s="19"/>
      <c r="AF1111" s="19">
        <v>33737</v>
      </c>
      <c r="AG1111" s="20">
        <v>2</v>
      </c>
    </row>
    <row r="1112" spans="1:33">
      <c r="A1112" s="20">
        <v>33738</v>
      </c>
      <c r="B1112" s="20" t="s">
        <v>6373</v>
      </c>
      <c r="C1112" s="21" t="s">
        <v>6268</v>
      </c>
      <c r="W1112" s="20" t="str">
        <f>IF(Q1112&lt;&gt;0,3,IF(K1112="","",VLOOKUP(K1112,'#状态名词'!$J$1:$K$15,2,FALSE)))</f>
        <v/>
      </c>
      <c r="AB1112" s="19"/>
      <c r="AF1112" s="19">
        <v>33738</v>
      </c>
      <c r="AG1112" s="20">
        <v>2</v>
      </c>
    </row>
    <row r="1113" spans="1:33">
      <c r="A1113" s="20">
        <v>33739</v>
      </c>
      <c r="B1113" s="20" t="s">
        <v>6374</v>
      </c>
      <c r="C1113" s="21" t="s">
        <v>6269</v>
      </c>
      <c r="W1113" s="20" t="str">
        <f>IF(Q1113&lt;&gt;0,3,IF(K1113="","",VLOOKUP(K1113,'#状态名词'!$J$1:$K$15,2,FALSE)))</f>
        <v/>
      </c>
      <c r="AB1113" s="19"/>
      <c r="AF1113" s="19">
        <v>33739</v>
      </c>
      <c r="AG1113" s="20">
        <v>2</v>
      </c>
    </row>
    <row r="1114" spans="1:33">
      <c r="A1114" s="20">
        <v>33740</v>
      </c>
      <c r="B1114" s="20" t="s">
        <v>6372</v>
      </c>
      <c r="C1114" s="21" t="s">
        <v>6267</v>
      </c>
      <c r="W1114" s="20" t="str">
        <f>IF(Q1114&lt;&gt;0,3,IF(K1114="","",VLOOKUP(K1114,'#状态名词'!$J$1:$K$15,2,FALSE)))</f>
        <v/>
      </c>
      <c r="AB1114" s="19"/>
      <c r="AF1114" s="19">
        <v>33740</v>
      </c>
      <c r="AG1114" s="20">
        <v>2</v>
      </c>
    </row>
    <row r="1115" spans="1:33">
      <c r="A1115" s="20">
        <v>33741</v>
      </c>
      <c r="B1115" s="20" t="s">
        <v>6373</v>
      </c>
      <c r="C1115" s="21" t="s">
        <v>6268</v>
      </c>
      <c r="W1115" s="20" t="str">
        <f>IF(Q1115&lt;&gt;0,3,IF(K1115="","",VLOOKUP(K1115,'#状态名词'!$J$1:$K$15,2,FALSE)))</f>
        <v/>
      </c>
      <c r="AB1115" s="19"/>
      <c r="AF1115" s="19">
        <v>33741</v>
      </c>
      <c r="AG1115" s="20">
        <v>2</v>
      </c>
    </row>
    <row r="1116" spans="1:33">
      <c r="A1116" s="20">
        <v>33742</v>
      </c>
      <c r="B1116" s="20" t="s">
        <v>6374</v>
      </c>
      <c r="C1116" s="21" t="s">
        <v>6269</v>
      </c>
      <c r="W1116" s="20" t="str">
        <f>IF(Q1116&lt;&gt;0,3,IF(K1116="","",VLOOKUP(K1116,'#状态名词'!$J$1:$K$15,2,FALSE)))</f>
        <v/>
      </c>
      <c r="AB1116" s="19"/>
      <c r="AF1116" s="19">
        <v>33742</v>
      </c>
      <c r="AG1116" s="20">
        <v>2</v>
      </c>
    </row>
    <row r="1117" spans="1:33">
      <c r="A1117" s="20">
        <v>33743</v>
      </c>
      <c r="B1117" s="20" t="s">
        <v>6375</v>
      </c>
      <c r="C1117" s="21" t="s">
        <v>6270</v>
      </c>
      <c r="W1117" s="20" t="str">
        <f>IF(Q1117&lt;&gt;0,3,IF(K1117="","",VLOOKUP(K1117,'#状态名词'!$J$1:$K$15,2,FALSE)))</f>
        <v/>
      </c>
      <c r="AB1117" s="19"/>
      <c r="AF1117" s="19">
        <v>33743</v>
      </c>
      <c r="AG1117" s="20">
        <v>2</v>
      </c>
    </row>
    <row r="1118" spans="1:33">
      <c r="A1118" s="20">
        <v>33744</v>
      </c>
      <c r="B1118" s="20" t="s">
        <v>6376</v>
      </c>
      <c r="C1118" s="21" t="s">
        <v>6271</v>
      </c>
      <c r="W1118" s="20" t="str">
        <f>IF(Q1118&lt;&gt;0,3,IF(K1118="","",VLOOKUP(K1118,'#状态名词'!$J$1:$K$15,2,FALSE)))</f>
        <v/>
      </c>
      <c r="AB1118" s="19"/>
      <c r="AF1118" s="19">
        <v>33744</v>
      </c>
      <c r="AG1118" s="20">
        <v>2</v>
      </c>
    </row>
    <row r="1119" spans="1:33">
      <c r="A1119" s="20">
        <v>33745</v>
      </c>
      <c r="B1119" s="20" t="s">
        <v>6377</v>
      </c>
      <c r="C1119" s="21" t="s">
        <v>6272</v>
      </c>
      <c r="W1119" s="20" t="str">
        <f>IF(Q1119&lt;&gt;0,3,IF(K1119="","",VLOOKUP(K1119,'#状态名词'!$J$1:$K$15,2,FALSE)))</f>
        <v/>
      </c>
      <c r="AB1119" s="19"/>
      <c r="AF1119" s="19">
        <v>33745</v>
      </c>
      <c r="AG1119" s="20">
        <v>2</v>
      </c>
    </row>
    <row r="1120" spans="1:33">
      <c r="A1120" s="20">
        <v>33746</v>
      </c>
      <c r="B1120" s="20" t="s">
        <v>6378</v>
      </c>
      <c r="C1120" s="21" t="s">
        <v>6273</v>
      </c>
      <c r="W1120" s="20" t="str">
        <f>IF(Q1120&lt;&gt;0,3,IF(K1120="","",VLOOKUP(K1120,'#状态名词'!$J$1:$K$15,2,FALSE)))</f>
        <v/>
      </c>
      <c r="AB1120" s="19"/>
      <c r="AF1120" s="19">
        <v>33746</v>
      </c>
      <c r="AG1120" s="20">
        <v>2</v>
      </c>
    </row>
    <row r="1121" spans="1:33">
      <c r="A1121" s="20">
        <v>33747</v>
      </c>
      <c r="B1121" s="20" t="s">
        <v>6379</v>
      </c>
      <c r="C1121" s="21" t="s">
        <v>6274</v>
      </c>
      <c r="W1121" s="20" t="str">
        <f>IF(Q1121&lt;&gt;0,3,IF(K1121="","",VLOOKUP(K1121,'#状态名词'!$J$1:$K$15,2,FALSE)))</f>
        <v/>
      </c>
      <c r="AB1121" s="19"/>
      <c r="AF1121" s="19">
        <v>33747</v>
      </c>
      <c r="AG1121" s="20">
        <v>2</v>
      </c>
    </row>
    <row r="1122" spans="1:33">
      <c r="A1122" s="20">
        <v>33748</v>
      </c>
      <c r="B1122" s="20" t="s">
        <v>6380</v>
      </c>
      <c r="C1122" s="21" t="s">
        <v>6275</v>
      </c>
      <c r="W1122" s="20" t="str">
        <f>IF(Q1122&lt;&gt;0,3,IF(K1122="","",VLOOKUP(K1122,'#状态名词'!$J$1:$K$15,2,FALSE)))</f>
        <v/>
      </c>
      <c r="AB1122" s="19"/>
      <c r="AF1122" s="19">
        <v>33748</v>
      </c>
      <c r="AG1122" s="20">
        <v>2</v>
      </c>
    </row>
    <row r="1123" spans="1:33">
      <c r="A1123" s="20">
        <v>33749</v>
      </c>
      <c r="B1123" s="20" t="s">
        <v>6381</v>
      </c>
      <c r="C1123" s="21" t="s">
        <v>6276</v>
      </c>
      <c r="W1123" s="20" t="str">
        <f>IF(Q1123&lt;&gt;0,3,IF(K1123="","",VLOOKUP(K1123,'#状态名词'!$J$1:$K$15,2,FALSE)))</f>
        <v/>
      </c>
      <c r="AB1123" s="19"/>
      <c r="AF1123" s="19">
        <v>33749</v>
      </c>
      <c r="AG1123" s="20">
        <v>2</v>
      </c>
    </row>
    <row r="1124" spans="1:33">
      <c r="A1124" s="20">
        <v>33750</v>
      </c>
      <c r="B1124" s="20" t="s">
        <v>6382</v>
      </c>
      <c r="C1124" s="21" t="s">
        <v>6277</v>
      </c>
      <c r="W1124" s="20" t="str">
        <f>IF(Q1124&lt;&gt;0,3,IF(K1124="","",VLOOKUP(K1124,'#状态名词'!$J$1:$K$15,2,FALSE)))</f>
        <v/>
      </c>
      <c r="AB1124" s="19"/>
      <c r="AF1124" s="19">
        <v>33750</v>
      </c>
      <c r="AG1124" s="20">
        <v>2</v>
      </c>
    </row>
    <row r="1125" spans="1:33">
      <c r="A1125" s="20">
        <v>33751</v>
      </c>
      <c r="B1125" s="20" t="s">
        <v>6383</v>
      </c>
      <c r="C1125" s="21" t="s">
        <v>6278</v>
      </c>
      <c r="W1125" s="20" t="str">
        <f>IF(Q1125&lt;&gt;0,3,IF(K1125="","",VLOOKUP(K1125,'#状态名词'!$J$1:$K$15,2,FALSE)))</f>
        <v/>
      </c>
      <c r="AB1125" s="19"/>
      <c r="AF1125" s="19">
        <v>33751</v>
      </c>
      <c r="AG1125" s="20">
        <v>2</v>
      </c>
    </row>
    <row r="1126" spans="1:33">
      <c r="A1126" s="20">
        <v>33752</v>
      </c>
      <c r="B1126" s="20" t="s">
        <v>6384</v>
      </c>
      <c r="C1126" s="21" t="s">
        <v>6279</v>
      </c>
      <c r="W1126" s="20" t="str">
        <f>IF(Q1126&lt;&gt;0,3,IF(K1126="","",VLOOKUP(K1126,'#状态名词'!$J$1:$K$15,2,FALSE)))</f>
        <v/>
      </c>
      <c r="AB1126" s="19"/>
      <c r="AF1126" s="19">
        <v>33752</v>
      </c>
      <c r="AG1126" s="20">
        <v>2</v>
      </c>
    </row>
    <row r="1127" spans="1:33">
      <c r="A1127" s="20">
        <v>33753</v>
      </c>
      <c r="B1127" s="20" t="s">
        <v>6385</v>
      </c>
      <c r="C1127" s="21" t="s">
        <v>6280</v>
      </c>
      <c r="W1127" s="20" t="str">
        <f>IF(Q1127&lt;&gt;0,3,IF(K1127="","",VLOOKUP(K1127,'#状态名词'!$J$1:$K$15,2,FALSE)))</f>
        <v/>
      </c>
      <c r="AB1127" s="19"/>
      <c r="AF1127" s="19">
        <v>33753</v>
      </c>
      <c r="AG1127" s="20">
        <v>2</v>
      </c>
    </row>
    <row r="1128" spans="1:33">
      <c r="A1128" s="20">
        <v>33754</v>
      </c>
      <c r="B1128" s="20" t="s">
        <v>6386</v>
      </c>
      <c r="C1128" s="21" t="s">
        <v>6281</v>
      </c>
      <c r="W1128" s="20" t="str">
        <f>IF(Q1128&lt;&gt;0,3,IF(K1128="","",VLOOKUP(K1128,'#状态名词'!$J$1:$K$15,2,FALSE)))</f>
        <v/>
      </c>
      <c r="AB1128" s="19"/>
      <c r="AF1128" s="19">
        <v>33754</v>
      </c>
      <c r="AG1128" s="20">
        <v>2</v>
      </c>
    </row>
    <row r="1129" spans="1:33">
      <c r="A1129" s="20">
        <v>33755</v>
      </c>
      <c r="B1129" s="20" t="s">
        <v>6387</v>
      </c>
      <c r="C1129" s="21" t="s">
        <v>6282</v>
      </c>
      <c r="W1129" s="20" t="str">
        <f>IF(Q1129&lt;&gt;0,3,IF(K1129="","",VLOOKUP(K1129,'#状态名词'!$J$1:$K$15,2,FALSE)))</f>
        <v/>
      </c>
      <c r="AB1129" s="19"/>
      <c r="AF1129" s="19">
        <v>33755</v>
      </c>
      <c r="AG1129" s="20">
        <v>2</v>
      </c>
    </row>
    <row r="1130" spans="1:33">
      <c r="A1130" s="20">
        <v>33756</v>
      </c>
      <c r="B1130" s="20" t="s">
        <v>6388</v>
      </c>
      <c r="C1130" s="21" t="s">
        <v>6283</v>
      </c>
      <c r="W1130" s="20" t="str">
        <f>IF(Q1130&lt;&gt;0,3,IF(K1130="","",VLOOKUP(K1130,'#状态名词'!$J$1:$K$15,2,FALSE)))</f>
        <v/>
      </c>
      <c r="AB1130" s="19"/>
      <c r="AF1130" s="19">
        <v>33756</v>
      </c>
      <c r="AG1130" s="20">
        <v>2</v>
      </c>
    </row>
    <row r="1131" spans="1:33">
      <c r="A1131" s="20">
        <v>33757</v>
      </c>
      <c r="B1131" s="20" t="s">
        <v>6389</v>
      </c>
      <c r="C1131" s="21" t="s">
        <v>6284</v>
      </c>
      <c r="W1131" s="20" t="str">
        <f>IF(Q1131&lt;&gt;0,3,IF(K1131="","",VLOOKUP(K1131,'#状态名词'!$J$1:$K$15,2,FALSE)))</f>
        <v/>
      </c>
      <c r="AB1131" s="19"/>
      <c r="AF1131" s="19">
        <v>33757</v>
      </c>
      <c r="AG1131" s="20">
        <v>2</v>
      </c>
    </row>
    <row r="1132" spans="1:33">
      <c r="A1132" s="20">
        <v>33758</v>
      </c>
      <c r="B1132" s="20" t="s">
        <v>6390</v>
      </c>
      <c r="C1132" s="21" t="s">
        <v>6285</v>
      </c>
      <c r="W1132" s="20" t="str">
        <f>IF(Q1132&lt;&gt;0,3,IF(K1132="","",VLOOKUP(K1132,'#状态名词'!$J$1:$K$15,2,FALSE)))</f>
        <v/>
      </c>
      <c r="AB1132" s="19"/>
      <c r="AF1132" s="19">
        <v>33758</v>
      </c>
      <c r="AG1132" s="20">
        <v>2</v>
      </c>
    </row>
    <row r="1133" spans="1:33">
      <c r="A1133" s="20">
        <v>33759</v>
      </c>
      <c r="B1133" s="20" t="s">
        <v>6391</v>
      </c>
      <c r="C1133" s="21" t="s">
        <v>6286</v>
      </c>
      <c r="W1133" s="20" t="str">
        <f>IF(Q1133&lt;&gt;0,3,IF(K1133="","",VLOOKUP(K1133,'#状态名词'!$J$1:$K$15,2,FALSE)))</f>
        <v/>
      </c>
      <c r="AB1133" s="19"/>
      <c r="AF1133" s="19">
        <v>33759</v>
      </c>
      <c r="AG1133" s="20">
        <v>2</v>
      </c>
    </row>
    <row r="1134" spans="1:33">
      <c r="A1134" s="20">
        <v>33760</v>
      </c>
      <c r="B1134" s="20" t="s">
        <v>6392</v>
      </c>
      <c r="C1134" s="21" t="s">
        <v>6287</v>
      </c>
      <c r="W1134" s="20" t="str">
        <f>IF(Q1134&lt;&gt;0,3,IF(K1134="","",VLOOKUP(K1134,'#状态名词'!$J$1:$K$15,2,FALSE)))</f>
        <v/>
      </c>
      <c r="AB1134" s="19"/>
      <c r="AF1134" s="19">
        <v>33760</v>
      </c>
      <c r="AG1134" s="20">
        <v>2</v>
      </c>
    </row>
    <row r="1135" spans="1:33">
      <c r="A1135" s="20">
        <v>33761</v>
      </c>
      <c r="B1135" s="20" t="s">
        <v>6393</v>
      </c>
      <c r="C1135" s="21" t="s">
        <v>6288</v>
      </c>
      <c r="W1135" s="20" t="str">
        <f>IF(Q1135&lt;&gt;0,3,IF(K1135="","",VLOOKUP(K1135,'#状态名词'!$J$1:$K$15,2,FALSE)))</f>
        <v/>
      </c>
      <c r="AB1135" s="19"/>
      <c r="AF1135" s="19">
        <v>33761</v>
      </c>
      <c r="AG1135" s="20">
        <v>2</v>
      </c>
    </row>
    <row r="1136" spans="1:33">
      <c r="A1136" s="20">
        <v>33762</v>
      </c>
      <c r="B1136" s="20" t="s">
        <v>6394</v>
      </c>
      <c r="C1136" s="21" t="s">
        <v>6289</v>
      </c>
      <c r="W1136" s="20" t="str">
        <f>IF(Q1136&lt;&gt;0,3,IF(K1136="","",VLOOKUP(K1136,'#状态名词'!$J$1:$K$15,2,FALSE)))</f>
        <v/>
      </c>
      <c r="AB1136" s="19"/>
      <c r="AF1136" s="19">
        <v>33762</v>
      </c>
      <c r="AG1136" s="20">
        <v>2</v>
      </c>
    </row>
    <row r="1137" spans="1:33">
      <c r="A1137" s="20">
        <v>33763</v>
      </c>
      <c r="B1137" s="20" t="s">
        <v>6395</v>
      </c>
      <c r="C1137" s="21" t="s">
        <v>6290</v>
      </c>
      <c r="W1137" s="20" t="str">
        <f>IF(Q1137&lt;&gt;0,3,IF(K1137="","",VLOOKUP(K1137,'#状态名词'!$J$1:$K$15,2,FALSE)))</f>
        <v/>
      </c>
      <c r="AB1137" s="19"/>
      <c r="AF1137" s="19">
        <v>33763</v>
      </c>
      <c r="AG1137" s="20">
        <v>2</v>
      </c>
    </row>
    <row r="1138" spans="1:33">
      <c r="A1138" s="20">
        <v>33764</v>
      </c>
      <c r="B1138" s="20" t="s">
        <v>6396</v>
      </c>
      <c r="C1138" s="21" t="s">
        <v>6291</v>
      </c>
      <c r="W1138" s="20" t="str">
        <f>IF(Q1138&lt;&gt;0,3,IF(K1138="","",VLOOKUP(K1138,'#状态名词'!$J$1:$K$15,2,FALSE)))</f>
        <v/>
      </c>
      <c r="AB1138" s="19"/>
      <c r="AF1138" s="19">
        <v>33764</v>
      </c>
      <c r="AG1138" s="20">
        <v>2</v>
      </c>
    </row>
    <row r="1139" spans="1:33">
      <c r="A1139" s="20">
        <v>33765</v>
      </c>
      <c r="B1139" s="20" t="s">
        <v>6397</v>
      </c>
      <c r="C1139" s="21" t="s">
        <v>6292</v>
      </c>
      <c r="W1139" s="20" t="str">
        <f>IF(Q1139&lt;&gt;0,3,IF(K1139="","",VLOOKUP(K1139,'#状态名词'!$J$1:$K$15,2,FALSE)))</f>
        <v/>
      </c>
      <c r="AB1139" s="19"/>
      <c r="AF1139" s="19">
        <v>33765</v>
      </c>
      <c r="AG1139" s="20">
        <v>2</v>
      </c>
    </row>
    <row r="1140" spans="1:33">
      <c r="A1140" s="20">
        <v>33766</v>
      </c>
      <c r="B1140" s="20" t="s">
        <v>6398</v>
      </c>
      <c r="C1140" s="21" t="s">
        <v>6293</v>
      </c>
      <c r="W1140" s="20" t="str">
        <f>IF(Q1140&lt;&gt;0,3,IF(K1140="","",VLOOKUP(K1140,'#状态名词'!$J$1:$K$15,2,FALSE)))</f>
        <v/>
      </c>
      <c r="AB1140" s="19"/>
      <c r="AF1140" s="19">
        <v>33766</v>
      </c>
      <c r="AG1140" s="20">
        <v>2</v>
      </c>
    </row>
    <row r="1141" spans="1:33">
      <c r="A1141" s="20">
        <v>33767</v>
      </c>
      <c r="B1141" s="20" t="s">
        <v>6399</v>
      </c>
      <c r="C1141" s="21" t="s">
        <v>6294</v>
      </c>
      <c r="W1141" s="20" t="str">
        <f>IF(Q1141&lt;&gt;0,3,IF(K1141="","",VLOOKUP(K1141,'#状态名词'!$J$1:$K$15,2,FALSE)))</f>
        <v/>
      </c>
      <c r="AB1141" s="19"/>
      <c r="AF1141" s="19">
        <v>33767</v>
      </c>
      <c r="AG1141" s="20">
        <v>2</v>
      </c>
    </row>
    <row r="1142" spans="1:33">
      <c r="A1142" s="20">
        <v>33768</v>
      </c>
      <c r="B1142" s="20" t="s">
        <v>6400</v>
      </c>
      <c r="C1142" s="21" t="s">
        <v>6295</v>
      </c>
      <c r="W1142" s="20" t="str">
        <f>IF(Q1142&lt;&gt;0,3,IF(K1142="","",VLOOKUP(K1142,'#状态名词'!$J$1:$K$15,2,FALSE)))</f>
        <v/>
      </c>
      <c r="AB1142" s="19"/>
      <c r="AF1142" s="19">
        <v>33768</v>
      </c>
      <c r="AG1142" s="20">
        <v>2</v>
      </c>
    </row>
    <row r="1143" spans="1:33">
      <c r="A1143" s="20">
        <v>33769</v>
      </c>
      <c r="B1143" s="20" t="s">
        <v>6401</v>
      </c>
      <c r="C1143" s="21" t="s">
        <v>6296</v>
      </c>
      <c r="W1143" s="20" t="str">
        <f>IF(Q1143&lt;&gt;0,3,IF(K1143="","",VLOOKUP(K1143,'#状态名词'!$J$1:$K$15,2,FALSE)))</f>
        <v/>
      </c>
      <c r="AB1143" s="19"/>
      <c r="AF1143" s="19">
        <v>33769</v>
      </c>
      <c r="AG1143" s="20">
        <v>2</v>
      </c>
    </row>
    <row r="1144" spans="1:33">
      <c r="A1144" s="20">
        <v>33770</v>
      </c>
      <c r="B1144" s="20" t="s">
        <v>6402</v>
      </c>
      <c r="C1144" s="21" t="s">
        <v>6297</v>
      </c>
      <c r="W1144" s="20" t="str">
        <f>IF(Q1144&lt;&gt;0,3,IF(K1144="","",VLOOKUP(K1144,'#状态名词'!$J$1:$K$15,2,FALSE)))</f>
        <v/>
      </c>
      <c r="AB1144" s="19"/>
      <c r="AF1144" s="19">
        <v>33770</v>
      </c>
      <c r="AG1144" s="20">
        <v>2</v>
      </c>
    </row>
    <row r="1145" spans="1:33">
      <c r="A1145" s="20">
        <v>33771</v>
      </c>
      <c r="B1145" s="20" t="s">
        <v>6403</v>
      </c>
      <c r="C1145" s="21" t="s">
        <v>6298</v>
      </c>
      <c r="W1145" s="20" t="str">
        <f>IF(Q1145&lt;&gt;0,3,IF(K1145="","",VLOOKUP(K1145,'#状态名词'!$J$1:$K$15,2,FALSE)))</f>
        <v/>
      </c>
      <c r="AB1145" s="19"/>
      <c r="AF1145" s="19">
        <v>33771</v>
      </c>
      <c r="AG1145" s="20">
        <v>2</v>
      </c>
    </row>
    <row r="1146" spans="1:33">
      <c r="A1146" s="20">
        <v>33772</v>
      </c>
      <c r="B1146" s="20" t="s">
        <v>6404</v>
      </c>
      <c r="C1146" s="21" t="s">
        <v>6299</v>
      </c>
      <c r="W1146" s="20" t="str">
        <f>IF(Q1146&lt;&gt;0,3,IF(K1146="","",VLOOKUP(K1146,'#状态名词'!$J$1:$K$15,2,FALSE)))</f>
        <v/>
      </c>
      <c r="AB1146" s="19"/>
      <c r="AF1146" s="19">
        <v>33772</v>
      </c>
      <c r="AG1146" s="20">
        <v>2</v>
      </c>
    </row>
    <row r="1147" spans="1:33">
      <c r="A1147" s="20">
        <v>33773</v>
      </c>
      <c r="B1147" s="20" t="s">
        <v>6405</v>
      </c>
      <c r="C1147" s="21" t="s">
        <v>6300</v>
      </c>
      <c r="W1147" s="20" t="str">
        <f>IF(Q1147&lt;&gt;0,3,IF(K1147="","",VLOOKUP(K1147,'#状态名词'!$J$1:$K$15,2,FALSE)))</f>
        <v/>
      </c>
      <c r="AB1147" s="19"/>
      <c r="AF1147" s="19">
        <v>33773</v>
      </c>
      <c r="AG1147" s="20">
        <v>2</v>
      </c>
    </row>
    <row r="1148" spans="1:33">
      <c r="A1148" s="20">
        <v>33774</v>
      </c>
      <c r="B1148" s="20" t="s">
        <v>6406</v>
      </c>
      <c r="C1148" s="21" t="s">
        <v>6301</v>
      </c>
      <c r="W1148" s="20" t="str">
        <f>IF(Q1148&lt;&gt;0,3,IF(K1148="","",VLOOKUP(K1148,'#状态名词'!$J$1:$K$15,2,FALSE)))</f>
        <v/>
      </c>
      <c r="AB1148" s="19"/>
      <c r="AF1148" s="19">
        <v>33774</v>
      </c>
      <c r="AG1148" s="20">
        <v>2</v>
      </c>
    </row>
    <row r="1149" spans="1:33">
      <c r="A1149" s="20">
        <v>33775</v>
      </c>
      <c r="B1149" s="20" t="s">
        <v>6407</v>
      </c>
      <c r="C1149" s="21" t="s">
        <v>6302</v>
      </c>
      <c r="W1149" s="20" t="str">
        <f>IF(Q1149&lt;&gt;0,3,IF(K1149="","",VLOOKUP(K1149,'#状态名词'!$J$1:$K$15,2,FALSE)))</f>
        <v/>
      </c>
      <c r="AB1149" s="19"/>
      <c r="AF1149" s="19">
        <v>33775</v>
      </c>
      <c r="AG1149" s="20">
        <v>2</v>
      </c>
    </row>
    <row r="1150" spans="1:33">
      <c r="A1150" s="20">
        <v>33776</v>
      </c>
      <c r="B1150" s="20" t="s">
        <v>6408</v>
      </c>
      <c r="C1150" s="21" t="s">
        <v>6303</v>
      </c>
      <c r="W1150" s="20" t="str">
        <f>IF(Q1150&lt;&gt;0,3,IF(K1150="","",VLOOKUP(K1150,'#状态名词'!$J$1:$K$15,2,FALSE)))</f>
        <v/>
      </c>
      <c r="AB1150" s="19"/>
      <c r="AF1150" s="19">
        <v>33776</v>
      </c>
      <c r="AG1150" s="20">
        <v>2</v>
      </c>
    </row>
    <row r="1151" spans="1:33">
      <c r="A1151" s="20">
        <v>33777</v>
      </c>
      <c r="B1151" s="20" t="s">
        <v>6409</v>
      </c>
      <c r="C1151" s="21" t="s">
        <v>6304</v>
      </c>
      <c r="W1151" s="20" t="str">
        <f>IF(Q1151&lt;&gt;0,3,IF(K1151="","",VLOOKUP(K1151,'#状态名词'!$J$1:$K$15,2,FALSE)))</f>
        <v/>
      </c>
      <c r="AB1151" s="19"/>
      <c r="AF1151" s="19">
        <v>33777</v>
      </c>
      <c r="AG1151" s="20">
        <v>2</v>
      </c>
    </row>
    <row r="1152" spans="1:33">
      <c r="A1152" s="20">
        <v>33778</v>
      </c>
      <c r="B1152" s="20" t="s">
        <v>6410</v>
      </c>
      <c r="C1152" s="21" t="s">
        <v>6305</v>
      </c>
      <c r="W1152" s="20" t="str">
        <f>IF(Q1152&lt;&gt;0,3,IF(K1152="","",VLOOKUP(K1152,'#状态名词'!$J$1:$K$15,2,FALSE)))</f>
        <v/>
      </c>
      <c r="AB1152" s="19"/>
      <c r="AF1152" s="19">
        <v>33778</v>
      </c>
      <c r="AG1152" s="20">
        <v>2</v>
      </c>
    </row>
    <row r="1153" spans="1:33">
      <c r="A1153" s="20">
        <v>33779</v>
      </c>
      <c r="B1153" s="20" t="s">
        <v>6411</v>
      </c>
      <c r="C1153" s="21" t="s">
        <v>6306</v>
      </c>
      <c r="W1153" s="20" t="str">
        <f>IF(Q1153&lt;&gt;0,3,IF(K1153="","",VLOOKUP(K1153,'#状态名词'!$J$1:$K$15,2,FALSE)))</f>
        <v/>
      </c>
      <c r="AB1153" s="19"/>
      <c r="AF1153" s="19">
        <v>33779</v>
      </c>
      <c r="AG1153" s="20">
        <v>2</v>
      </c>
    </row>
    <row r="1154" spans="1:33">
      <c r="A1154" s="20">
        <v>33780</v>
      </c>
      <c r="B1154" s="20" t="s">
        <v>6412</v>
      </c>
      <c r="C1154" s="21" t="s">
        <v>6307</v>
      </c>
      <c r="W1154" s="20" t="str">
        <f>IF(Q1154&lt;&gt;0,3,IF(K1154="","",VLOOKUP(K1154,'#状态名词'!$J$1:$K$15,2,FALSE)))</f>
        <v/>
      </c>
      <c r="AB1154" s="19"/>
      <c r="AF1154" s="19">
        <v>33780</v>
      </c>
      <c r="AG1154" s="20">
        <v>2</v>
      </c>
    </row>
    <row r="1155" spans="1:33">
      <c r="A1155" s="20">
        <v>33781</v>
      </c>
      <c r="B1155" s="20" t="s">
        <v>6413</v>
      </c>
      <c r="C1155" s="21" t="s">
        <v>6308</v>
      </c>
      <c r="W1155" s="20" t="str">
        <f>IF(Q1155&lt;&gt;0,3,IF(K1155="","",VLOOKUP(K1155,'#状态名词'!$J$1:$K$15,2,FALSE)))</f>
        <v/>
      </c>
      <c r="AB1155" s="19"/>
      <c r="AF1155" s="19">
        <v>33781</v>
      </c>
      <c r="AG1155" s="20">
        <v>2</v>
      </c>
    </row>
    <row r="1156" spans="1:33">
      <c r="A1156" s="20">
        <v>33782</v>
      </c>
      <c r="B1156" s="20" t="s">
        <v>6414</v>
      </c>
      <c r="C1156" s="21" t="s">
        <v>6309</v>
      </c>
      <c r="W1156" s="20" t="str">
        <f>IF(Q1156&lt;&gt;0,3,IF(K1156="","",VLOOKUP(K1156,'#状态名词'!$J$1:$K$15,2,FALSE)))</f>
        <v/>
      </c>
      <c r="AB1156" s="19"/>
      <c r="AF1156" s="19">
        <v>33782</v>
      </c>
      <c r="AG1156" s="20">
        <v>2</v>
      </c>
    </row>
    <row r="1157" spans="1:33">
      <c r="A1157" s="20">
        <v>33783</v>
      </c>
      <c r="B1157" s="20" t="s">
        <v>6415</v>
      </c>
      <c r="C1157" s="21" t="s">
        <v>6310</v>
      </c>
      <c r="W1157" s="20" t="str">
        <f>IF(Q1157&lt;&gt;0,3,IF(K1157="","",VLOOKUP(K1157,'#状态名词'!$J$1:$K$15,2,FALSE)))</f>
        <v/>
      </c>
      <c r="AB1157" s="19"/>
      <c r="AF1157" s="19">
        <v>33783</v>
      </c>
      <c r="AG1157" s="20">
        <v>2</v>
      </c>
    </row>
    <row r="1158" spans="1:33">
      <c r="A1158" s="20">
        <v>33784</v>
      </c>
      <c r="B1158" s="20" t="s">
        <v>6416</v>
      </c>
      <c r="C1158" s="21" t="s">
        <v>6311</v>
      </c>
      <c r="W1158" s="20" t="str">
        <f>IF(Q1158&lt;&gt;0,3,IF(K1158="","",VLOOKUP(K1158,'#状态名词'!$J$1:$K$15,2,FALSE)))</f>
        <v/>
      </c>
      <c r="AB1158" s="19"/>
      <c r="AF1158" s="19">
        <v>33784</v>
      </c>
      <c r="AG1158" s="20">
        <v>2</v>
      </c>
    </row>
    <row r="1159" spans="1:33">
      <c r="A1159" s="20">
        <v>33785</v>
      </c>
      <c r="B1159" s="20" t="s">
        <v>6417</v>
      </c>
      <c r="C1159" s="21" t="s">
        <v>6312</v>
      </c>
      <c r="W1159" s="20" t="str">
        <f>IF(Q1159&lt;&gt;0,3,IF(K1159="","",VLOOKUP(K1159,'#状态名词'!$J$1:$K$15,2,FALSE)))</f>
        <v/>
      </c>
      <c r="AB1159" s="19"/>
      <c r="AF1159" s="19">
        <v>33785</v>
      </c>
      <c r="AG1159" s="20">
        <v>2</v>
      </c>
    </row>
    <row r="1160" spans="1:33">
      <c r="A1160" s="20">
        <v>33786</v>
      </c>
      <c r="B1160" s="20" t="s">
        <v>6418</v>
      </c>
      <c r="C1160" s="21" t="s">
        <v>6313</v>
      </c>
      <c r="W1160" s="20" t="str">
        <f>IF(Q1160&lt;&gt;0,3,IF(K1160="","",VLOOKUP(K1160,'#状态名词'!$J$1:$K$15,2,FALSE)))</f>
        <v/>
      </c>
      <c r="AB1160" s="19"/>
      <c r="AF1160" s="19">
        <v>33786</v>
      </c>
      <c r="AG1160" s="20">
        <v>2</v>
      </c>
    </row>
    <row r="1161" spans="1:33">
      <c r="A1161" s="20">
        <v>33787</v>
      </c>
      <c r="B1161" s="20" t="s">
        <v>6419</v>
      </c>
      <c r="C1161" s="21" t="s">
        <v>6314</v>
      </c>
      <c r="W1161" s="20" t="str">
        <f>IF(Q1161&lt;&gt;0,3,IF(K1161="","",VLOOKUP(K1161,'#状态名词'!$J$1:$K$15,2,FALSE)))</f>
        <v/>
      </c>
      <c r="AB1161" s="19"/>
      <c r="AF1161" s="19">
        <v>33787</v>
      </c>
      <c r="AG1161" s="20">
        <v>2</v>
      </c>
    </row>
    <row r="1162" spans="1:33">
      <c r="A1162" s="20">
        <v>33788</v>
      </c>
      <c r="B1162" s="20" t="s">
        <v>6420</v>
      </c>
      <c r="C1162" s="21" t="s">
        <v>6315</v>
      </c>
      <c r="W1162" s="20" t="str">
        <f>IF(Q1162&lt;&gt;0,3,IF(K1162="","",VLOOKUP(K1162,'#状态名词'!$J$1:$K$15,2,FALSE)))</f>
        <v/>
      </c>
      <c r="AB1162" s="19"/>
      <c r="AF1162" s="19">
        <v>33788</v>
      </c>
      <c r="AG1162" s="20">
        <v>2</v>
      </c>
    </row>
    <row r="1163" spans="1:33">
      <c r="A1163" s="20">
        <v>33789</v>
      </c>
      <c r="B1163" s="20" t="s">
        <v>6415</v>
      </c>
      <c r="C1163" s="21" t="s">
        <v>6310</v>
      </c>
      <c r="W1163" s="20" t="str">
        <f>IF(Q1163&lt;&gt;0,3,IF(K1163="","",VLOOKUP(K1163,'#状态名词'!$J$1:$K$15,2,FALSE)))</f>
        <v/>
      </c>
      <c r="AB1163" s="19"/>
      <c r="AF1163" s="19">
        <v>33789</v>
      </c>
      <c r="AG1163" s="20">
        <v>2</v>
      </c>
    </row>
    <row r="1164" spans="1:33">
      <c r="A1164" s="20">
        <v>33790</v>
      </c>
      <c r="B1164" s="20" t="s">
        <v>6421</v>
      </c>
      <c r="C1164" s="21" t="s">
        <v>6316</v>
      </c>
      <c r="W1164" s="20" t="str">
        <f>IF(Q1164&lt;&gt;0,3,IF(K1164="","",VLOOKUP(K1164,'#状态名词'!$J$1:$K$15,2,FALSE)))</f>
        <v/>
      </c>
      <c r="AB1164" s="19"/>
      <c r="AF1164" s="19">
        <v>33790</v>
      </c>
      <c r="AG1164" s="20">
        <v>2</v>
      </c>
    </row>
    <row r="1165" spans="1:33">
      <c r="A1165" s="20">
        <v>33791</v>
      </c>
      <c r="B1165" s="20" t="s">
        <v>6422</v>
      </c>
      <c r="C1165" s="21" t="s">
        <v>6317</v>
      </c>
      <c r="W1165" s="20" t="str">
        <f>IF(Q1165&lt;&gt;0,3,IF(K1165="","",VLOOKUP(K1165,'#状态名词'!$J$1:$K$15,2,FALSE)))</f>
        <v/>
      </c>
      <c r="AB1165" s="19"/>
      <c r="AF1165" s="19">
        <v>33791</v>
      </c>
      <c r="AG1165" s="20">
        <v>2</v>
      </c>
    </row>
    <row r="1166" spans="1:33">
      <c r="A1166" s="20">
        <v>33792</v>
      </c>
      <c r="B1166" s="20" t="s">
        <v>6423</v>
      </c>
      <c r="C1166" s="21" t="s">
        <v>6318</v>
      </c>
      <c r="W1166" s="20" t="str">
        <f>IF(Q1166&lt;&gt;0,3,IF(K1166="","",VLOOKUP(K1166,'#状态名词'!$J$1:$K$15,2,FALSE)))</f>
        <v/>
      </c>
      <c r="AB1166" s="19"/>
      <c r="AF1166" s="19">
        <v>33792</v>
      </c>
      <c r="AG1166" s="20">
        <v>2</v>
      </c>
    </row>
    <row r="1167" spans="1:33">
      <c r="A1167" s="20">
        <v>33793</v>
      </c>
      <c r="B1167" s="20" t="s">
        <v>6424</v>
      </c>
      <c r="C1167" s="21" t="s">
        <v>6319</v>
      </c>
      <c r="W1167" s="20" t="str">
        <f>IF(Q1167&lt;&gt;0,3,IF(K1167="","",VLOOKUP(K1167,'#状态名词'!$J$1:$K$15,2,FALSE)))</f>
        <v/>
      </c>
      <c r="AB1167" s="19"/>
      <c r="AF1167" s="19">
        <v>33793</v>
      </c>
      <c r="AG1167" s="20">
        <v>2</v>
      </c>
    </row>
    <row r="1168" spans="1:33">
      <c r="A1168" s="20">
        <v>33794</v>
      </c>
      <c r="B1168" s="20" t="s">
        <v>6425</v>
      </c>
      <c r="C1168" s="21" t="s">
        <v>6320</v>
      </c>
      <c r="W1168" s="20" t="str">
        <f>IF(Q1168&lt;&gt;0,3,IF(K1168="","",VLOOKUP(K1168,'#状态名词'!$J$1:$K$15,2,FALSE)))</f>
        <v/>
      </c>
      <c r="AB1168" s="19"/>
      <c r="AF1168" s="19">
        <v>33794</v>
      </c>
      <c r="AG1168" s="20">
        <v>2</v>
      </c>
    </row>
    <row r="1169" spans="1:33">
      <c r="A1169" s="20">
        <v>33795</v>
      </c>
      <c r="B1169" s="20" t="s">
        <v>6426</v>
      </c>
      <c r="C1169" s="21" t="s">
        <v>6321</v>
      </c>
      <c r="W1169" s="20" t="str">
        <f>IF(Q1169&lt;&gt;0,3,IF(K1169="","",VLOOKUP(K1169,'#状态名词'!$J$1:$K$15,2,FALSE)))</f>
        <v/>
      </c>
      <c r="AB1169" s="19"/>
      <c r="AF1169" s="19">
        <v>33795</v>
      </c>
      <c r="AG1169" s="20">
        <v>2</v>
      </c>
    </row>
    <row r="1170" spans="1:33">
      <c r="A1170" s="20">
        <v>33796</v>
      </c>
      <c r="B1170" s="20" t="s">
        <v>6427</v>
      </c>
      <c r="C1170" s="21" t="s">
        <v>6322</v>
      </c>
      <c r="W1170" s="20" t="str">
        <f>IF(Q1170&lt;&gt;0,3,IF(K1170="","",VLOOKUP(K1170,'#状态名词'!$J$1:$K$15,2,FALSE)))</f>
        <v/>
      </c>
      <c r="AB1170" s="19"/>
      <c r="AF1170" s="19">
        <v>33796</v>
      </c>
      <c r="AG1170" s="20">
        <v>2</v>
      </c>
    </row>
    <row r="1171" spans="1:33">
      <c r="A1171" s="20">
        <v>33797</v>
      </c>
      <c r="B1171" s="20" t="s">
        <v>6428</v>
      </c>
      <c r="C1171" s="21" t="s">
        <v>6323</v>
      </c>
      <c r="W1171" s="20" t="str">
        <f>IF(Q1171&lt;&gt;0,3,IF(K1171="","",VLOOKUP(K1171,'#状态名词'!$J$1:$K$15,2,FALSE)))</f>
        <v/>
      </c>
      <c r="AB1171" s="19"/>
      <c r="AF1171" s="19">
        <v>33797</v>
      </c>
      <c r="AG1171" s="20">
        <v>2</v>
      </c>
    </row>
    <row r="1172" spans="1:33">
      <c r="A1172" s="20">
        <v>33798</v>
      </c>
      <c r="B1172" s="20" t="s">
        <v>6429</v>
      </c>
      <c r="C1172" s="21" t="s">
        <v>6324</v>
      </c>
      <c r="W1172" s="20" t="str">
        <f>IF(Q1172&lt;&gt;0,3,IF(K1172="","",VLOOKUP(K1172,'#状态名词'!$J$1:$K$15,2,FALSE)))</f>
        <v/>
      </c>
      <c r="AB1172" s="19"/>
      <c r="AF1172" s="19">
        <v>33798</v>
      </c>
      <c r="AG1172" s="20">
        <v>2</v>
      </c>
    </row>
    <row r="1173" spans="1:33">
      <c r="A1173" s="20">
        <v>33799</v>
      </c>
      <c r="B1173" s="20" t="s">
        <v>6430</v>
      </c>
      <c r="C1173" s="21" t="s">
        <v>6325</v>
      </c>
      <c r="W1173" s="20" t="str">
        <f>IF(Q1173&lt;&gt;0,3,IF(K1173="","",VLOOKUP(K1173,'#状态名词'!$J$1:$K$15,2,FALSE)))</f>
        <v/>
      </c>
      <c r="AB1173" s="19"/>
      <c r="AF1173" s="19">
        <v>33799</v>
      </c>
      <c r="AG1173" s="20">
        <v>2</v>
      </c>
    </row>
    <row r="1174" spans="1:33">
      <c r="A1174" s="20">
        <v>33800</v>
      </c>
      <c r="B1174" s="20" t="s">
        <v>6431</v>
      </c>
      <c r="C1174" s="21" t="s">
        <v>6326</v>
      </c>
      <c r="W1174" s="20" t="str">
        <f>IF(Q1174&lt;&gt;0,3,IF(K1174="","",VLOOKUP(K1174,'#状态名词'!$J$1:$K$15,2,FALSE)))</f>
        <v/>
      </c>
      <c r="AB1174" s="19"/>
      <c r="AF1174" s="19">
        <v>33800</v>
      </c>
      <c r="AG1174" s="20">
        <v>2</v>
      </c>
    </row>
    <row r="1175" spans="1:33">
      <c r="A1175" s="20">
        <v>33801</v>
      </c>
      <c r="B1175" s="20" t="s">
        <v>6432</v>
      </c>
      <c r="C1175" s="21" t="s">
        <v>6327</v>
      </c>
      <c r="W1175" s="20" t="str">
        <f>IF(Q1175&lt;&gt;0,3,IF(K1175="","",VLOOKUP(K1175,'#状态名词'!$J$1:$K$15,2,FALSE)))</f>
        <v/>
      </c>
      <c r="AB1175" s="19"/>
      <c r="AF1175" s="19">
        <v>33801</v>
      </c>
      <c r="AG1175" s="20">
        <v>2</v>
      </c>
    </row>
    <row r="1176" spans="1:33">
      <c r="A1176" s="20">
        <v>33802</v>
      </c>
      <c r="B1176" s="20" t="s">
        <v>6433</v>
      </c>
      <c r="C1176" s="21" t="s">
        <v>6328</v>
      </c>
      <c r="W1176" s="20" t="str">
        <f>IF(Q1176&lt;&gt;0,3,IF(K1176="","",VLOOKUP(K1176,'#状态名词'!$J$1:$K$15,2,FALSE)))</f>
        <v/>
      </c>
      <c r="AB1176" s="19"/>
      <c r="AF1176" s="19">
        <v>33802</v>
      </c>
      <c r="AG1176" s="20">
        <v>2</v>
      </c>
    </row>
    <row r="1177" spans="1:33">
      <c r="A1177" s="20">
        <v>33803</v>
      </c>
      <c r="B1177" s="20" t="s">
        <v>6434</v>
      </c>
      <c r="C1177" s="21" t="s">
        <v>6329</v>
      </c>
      <c r="W1177" s="20" t="str">
        <f>IF(Q1177&lt;&gt;0,3,IF(K1177="","",VLOOKUP(K1177,'#状态名词'!$J$1:$K$15,2,FALSE)))</f>
        <v/>
      </c>
      <c r="AB1177" s="19"/>
      <c r="AF1177" s="19">
        <v>33803</v>
      </c>
      <c r="AG1177" s="20">
        <v>2</v>
      </c>
    </row>
    <row r="1178" spans="1:33">
      <c r="A1178" s="20">
        <v>33804</v>
      </c>
      <c r="B1178" s="20" t="s">
        <v>6435</v>
      </c>
      <c r="C1178" s="21" t="s">
        <v>6330</v>
      </c>
      <c r="W1178" s="20" t="str">
        <f>IF(Q1178&lt;&gt;0,3,IF(K1178="","",VLOOKUP(K1178,'#状态名词'!$J$1:$K$15,2,FALSE)))</f>
        <v/>
      </c>
      <c r="AB1178" s="19"/>
      <c r="AF1178" s="19">
        <v>33804</v>
      </c>
      <c r="AG1178" s="20">
        <v>2</v>
      </c>
    </row>
    <row r="1179" spans="1:33">
      <c r="A1179" s="20">
        <v>33805</v>
      </c>
      <c r="B1179" s="20" t="s">
        <v>6436</v>
      </c>
      <c r="C1179" s="21" t="s">
        <v>6331</v>
      </c>
      <c r="W1179" s="20" t="str">
        <f>IF(Q1179&lt;&gt;0,3,IF(K1179="","",VLOOKUP(K1179,'#状态名词'!$J$1:$K$15,2,FALSE)))</f>
        <v/>
      </c>
      <c r="AB1179" s="19"/>
      <c r="AF1179" s="19">
        <v>33805</v>
      </c>
      <c r="AG1179" s="20">
        <v>2</v>
      </c>
    </row>
    <row r="1180" spans="1:33">
      <c r="A1180" s="20">
        <v>33806</v>
      </c>
      <c r="B1180" s="20" t="s">
        <v>6437</v>
      </c>
      <c r="C1180" s="21" t="s">
        <v>6332</v>
      </c>
      <c r="W1180" s="20" t="str">
        <f>IF(Q1180&lt;&gt;0,3,IF(K1180="","",VLOOKUP(K1180,'#状态名词'!$J$1:$K$15,2,FALSE)))</f>
        <v/>
      </c>
      <c r="AB1180" s="19"/>
      <c r="AF1180" s="19">
        <v>33806</v>
      </c>
      <c r="AG1180" s="20">
        <v>2</v>
      </c>
    </row>
    <row r="1181" spans="1:33">
      <c r="A1181" s="20">
        <v>33807</v>
      </c>
      <c r="B1181" s="20" t="s">
        <v>6438</v>
      </c>
      <c r="C1181" s="21" t="s">
        <v>6333</v>
      </c>
      <c r="W1181" s="20" t="str">
        <f>IF(Q1181&lt;&gt;0,3,IF(K1181="","",VLOOKUP(K1181,'#状态名词'!$J$1:$K$15,2,FALSE)))</f>
        <v/>
      </c>
      <c r="AB1181" s="19"/>
      <c r="AF1181" s="19">
        <v>33807</v>
      </c>
      <c r="AG1181" s="20">
        <v>2</v>
      </c>
    </row>
    <row r="1182" spans="1:33">
      <c r="A1182" s="20">
        <v>33808</v>
      </c>
      <c r="B1182" s="20" t="s">
        <v>6439</v>
      </c>
      <c r="C1182" s="21" t="s">
        <v>6334</v>
      </c>
      <c r="W1182" s="20" t="str">
        <f>IF(Q1182&lt;&gt;0,3,IF(K1182="","",VLOOKUP(K1182,'#状态名词'!$J$1:$K$15,2,FALSE)))</f>
        <v/>
      </c>
      <c r="AB1182" s="19"/>
      <c r="AF1182" s="19">
        <v>33808</v>
      </c>
      <c r="AG1182" s="20">
        <v>2</v>
      </c>
    </row>
    <row r="1183" spans="1:33">
      <c r="A1183" s="20">
        <v>33809</v>
      </c>
      <c r="B1183" s="20" t="s">
        <v>6436</v>
      </c>
      <c r="C1183" s="21" t="s">
        <v>6331</v>
      </c>
      <c r="W1183" s="20" t="str">
        <f>IF(Q1183&lt;&gt;0,3,IF(K1183="","",VLOOKUP(K1183,'#状态名词'!$J$1:$K$15,2,FALSE)))</f>
        <v/>
      </c>
      <c r="AB1183" s="19"/>
      <c r="AF1183" s="19">
        <v>33809</v>
      </c>
      <c r="AG1183" s="20">
        <v>2</v>
      </c>
    </row>
    <row r="1184" spans="1:33">
      <c r="A1184" s="20">
        <v>33810</v>
      </c>
      <c r="B1184" s="20" t="s">
        <v>6437</v>
      </c>
      <c r="C1184" s="21" t="s">
        <v>6332</v>
      </c>
      <c r="W1184" s="20" t="str">
        <f>IF(Q1184&lt;&gt;0,3,IF(K1184="","",VLOOKUP(K1184,'#状态名词'!$J$1:$K$15,2,FALSE)))</f>
        <v/>
      </c>
      <c r="AB1184" s="19"/>
      <c r="AF1184" s="19">
        <v>33810</v>
      </c>
      <c r="AG1184" s="20">
        <v>2</v>
      </c>
    </row>
    <row r="1185" spans="1:33">
      <c r="A1185" s="20">
        <v>33811</v>
      </c>
      <c r="B1185" s="20" t="s">
        <v>6438</v>
      </c>
      <c r="C1185" s="21" t="s">
        <v>6333</v>
      </c>
      <c r="W1185" s="20" t="str">
        <f>IF(Q1185&lt;&gt;0,3,IF(K1185="","",VLOOKUP(K1185,'#状态名词'!$J$1:$K$15,2,FALSE)))</f>
        <v/>
      </c>
      <c r="AB1185" s="19"/>
      <c r="AF1185" s="19">
        <v>33811</v>
      </c>
      <c r="AG1185" s="20">
        <v>2</v>
      </c>
    </row>
    <row r="1186" spans="1:33">
      <c r="A1186" s="20">
        <v>33812</v>
      </c>
      <c r="B1186" s="20" t="s">
        <v>6435</v>
      </c>
      <c r="C1186" s="21" t="s">
        <v>6330</v>
      </c>
      <c r="W1186" s="20" t="str">
        <f>IF(Q1186&lt;&gt;0,3,IF(K1186="","",VLOOKUP(K1186,'#状态名词'!$J$1:$K$15,2,FALSE)))</f>
        <v/>
      </c>
      <c r="AB1186" s="19"/>
      <c r="AF1186" s="19">
        <v>33812</v>
      </c>
      <c r="AG1186" s="20">
        <v>2</v>
      </c>
    </row>
    <row r="1187" spans="1:33">
      <c r="A1187" s="20">
        <v>33813</v>
      </c>
      <c r="B1187" s="20" t="s">
        <v>6440</v>
      </c>
      <c r="C1187" s="21" t="s">
        <v>6335</v>
      </c>
      <c r="W1187" s="20" t="str">
        <f>IF(Q1187&lt;&gt;0,3,IF(K1187="","",VLOOKUP(K1187,'#状态名词'!$J$1:$K$15,2,FALSE)))</f>
        <v/>
      </c>
      <c r="AB1187" s="19"/>
      <c r="AF1187" s="19">
        <v>33813</v>
      </c>
      <c r="AG1187" s="20">
        <v>2</v>
      </c>
    </row>
    <row r="1188" spans="1:33">
      <c r="A1188" s="20">
        <v>33814</v>
      </c>
      <c r="B1188" s="20" t="s">
        <v>6441</v>
      </c>
      <c r="C1188" s="21" t="s">
        <v>6336</v>
      </c>
      <c r="W1188" s="20" t="str">
        <f>IF(Q1188&lt;&gt;0,3,IF(K1188="","",VLOOKUP(K1188,'#状态名词'!$J$1:$K$15,2,FALSE)))</f>
        <v/>
      </c>
      <c r="AB1188" s="19"/>
      <c r="AF1188" s="19">
        <v>33814</v>
      </c>
      <c r="AG1188" s="20">
        <v>2</v>
      </c>
    </row>
    <row r="1189" spans="1:33">
      <c r="A1189" s="20">
        <v>33815</v>
      </c>
      <c r="B1189" s="20" t="s">
        <v>6931</v>
      </c>
      <c r="C1189" s="21" t="s">
        <v>6888</v>
      </c>
      <c r="W1189" s="20" t="str">
        <f>IF(Q1189&lt;&gt;0,3,IF(K1189="","",VLOOKUP(K1189,'#状态名词'!$J$1:$K$15,2,FALSE)))</f>
        <v/>
      </c>
      <c r="AB1189" s="19"/>
      <c r="AF1189" s="20">
        <v>33815</v>
      </c>
      <c r="AG1189" s="20">
        <v>1</v>
      </c>
    </row>
    <row r="1190" spans="1:33">
      <c r="A1190" s="20">
        <v>33816</v>
      </c>
      <c r="B1190" s="20" t="s">
        <v>6932</v>
      </c>
      <c r="C1190" s="21" t="s">
        <v>6890</v>
      </c>
      <c r="W1190" s="20" t="str">
        <f>IF(Q1190&lt;&gt;0,3,IF(K1190="","",VLOOKUP(K1190,'#状态名词'!$J$1:$K$15,2,FALSE)))</f>
        <v/>
      </c>
      <c r="AB1190" s="19"/>
      <c r="AF1190" s="20">
        <v>33816</v>
      </c>
      <c r="AG1190" s="20">
        <v>1</v>
      </c>
    </row>
    <row r="1191" spans="1:33">
      <c r="A1191" s="20">
        <v>33817</v>
      </c>
      <c r="B1191" s="20" t="s">
        <v>6933</v>
      </c>
      <c r="C1191" s="21" t="s">
        <v>6892</v>
      </c>
      <c r="W1191" s="20" t="str">
        <f>IF(Q1191&lt;&gt;0,3,IF(K1191="","",VLOOKUP(K1191,'#状态名词'!$J$1:$K$15,2,FALSE)))</f>
        <v/>
      </c>
      <c r="AB1191" s="19"/>
      <c r="AF1191" s="20">
        <v>33817</v>
      </c>
      <c r="AG1191" s="20">
        <v>1</v>
      </c>
    </row>
    <row r="1192" spans="1:33">
      <c r="A1192" s="20">
        <v>33818</v>
      </c>
      <c r="B1192" s="20" t="s">
        <v>6934</v>
      </c>
      <c r="C1192" s="21" t="s">
        <v>6894</v>
      </c>
      <c r="W1192" s="20" t="str">
        <f>IF(Q1192&lt;&gt;0,3,IF(K1192="","",VLOOKUP(K1192,'#状态名词'!$J$1:$K$15,2,FALSE)))</f>
        <v/>
      </c>
      <c r="AB1192" s="19"/>
      <c r="AF1192" s="20">
        <v>33818</v>
      </c>
      <c r="AG1192" s="20">
        <v>1</v>
      </c>
    </row>
    <row r="1193" spans="1:33">
      <c r="A1193" s="20">
        <v>33819</v>
      </c>
      <c r="B1193" s="20" t="s">
        <v>6935</v>
      </c>
      <c r="C1193" s="21" t="s">
        <v>6896</v>
      </c>
      <c r="W1193" s="20" t="str">
        <f>IF(Q1193&lt;&gt;0,3,IF(K1193="","",VLOOKUP(K1193,'#状态名词'!$J$1:$K$15,2,FALSE)))</f>
        <v/>
      </c>
      <c r="AB1193" s="19"/>
      <c r="AF1193" s="20">
        <v>33819</v>
      </c>
      <c r="AG1193" s="20">
        <v>1</v>
      </c>
    </row>
    <row r="1194" spans="1:33">
      <c r="A1194" s="20">
        <v>33820</v>
      </c>
      <c r="B1194" s="20" t="s">
        <v>6936</v>
      </c>
      <c r="C1194" s="21" t="s">
        <v>6898</v>
      </c>
      <c r="W1194" s="20" t="str">
        <f>IF(Q1194&lt;&gt;0,3,IF(K1194="","",VLOOKUP(K1194,'#状态名词'!$J$1:$K$15,2,FALSE)))</f>
        <v/>
      </c>
      <c r="AB1194" s="19"/>
      <c r="AF1194" s="20">
        <v>33820</v>
      </c>
      <c r="AG1194" s="20">
        <v>1</v>
      </c>
    </row>
    <row r="1195" spans="1:33">
      <c r="A1195" s="20">
        <v>33821</v>
      </c>
      <c r="B1195" s="20" t="s">
        <v>6937</v>
      </c>
      <c r="C1195" s="21" t="s">
        <v>6900</v>
      </c>
      <c r="W1195" s="20" t="str">
        <f>IF(Q1195&lt;&gt;0,3,IF(K1195="","",VLOOKUP(K1195,'#状态名词'!$J$1:$K$15,2,FALSE)))</f>
        <v/>
      </c>
      <c r="AB1195" s="19"/>
      <c r="AF1195" s="20">
        <v>33821</v>
      </c>
      <c r="AG1195" s="20">
        <v>1</v>
      </c>
    </row>
    <row r="1196" spans="1:33">
      <c r="A1196" s="20">
        <v>33822</v>
      </c>
      <c r="B1196" s="20" t="s">
        <v>6938</v>
      </c>
      <c r="C1196" s="21" t="s">
        <v>6902</v>
      </c>
      <c r="W1196" s="20" t="str">
        <f>IF(Q1196&lt;&gt;0,3,IF(K1196="","",VLOOKUP(K1196,'#状态名词'!$J$1:$K$15,2,FALSE)))</f>
        <v/>
      </c>
      <c r="AB1196" s="19"/>
      <c r="AF1196" s="20">
        <v>33822</v>
      </c>
      <c r="AG1196" s="20">
        <v>1</v>
      </c>
    </row>
    <row r="1197" spans="1:33">
      <c r="A1197" s="20">
        <v>33823</v>
      </c>
      <c r="B1197" s="20" t="s">
        <v>6939</v>
      </c>
      <c r="C1197" s="21" t="s">
        <v>6904</v>
      </c>
      <c r="W1197" s="20" t="str">
        <f>IF(Q1197&lt;&gt;0,3,IF(K1197="","",VLOOKUP(K1197,'#状态名词'!$J$1:$K$15,2,FALSE)))</f>
        <v/>
      </c>
      <c r="AB1197" s="19"/>
      <c r="AF1197" s="20">
        <v>33823</v>
      </c>
      <c r="AG1197" s="20">
        <v>1</v>
      </c>
    </row>
    <row r="1198" spans="1:33">
      <c r="A1198" s="20">
        <v>33824</v>
      </c>
      <c r="B1198" s="20" t="s">
        <v>6940</v>
      </c>
      <c r="C1198" s="21" t="s">
        <v>6906</v>
      </c>
      <c r="W1198" s="20" t="str">
        <f>IF(Q1198&lt;&gt;0,3,IF(K1198="","",VLOOKUP(K1198,'#状态名词'!$J$1:$K$15,2,FALSE)))</f>
        <v/>
      </c>
      <c r="AB1198" s="19"/>
      <c r="AF1198" s="20">
        <v>33824</v>
      </c>
      <c r="AG1198" s="20">
        <v>1</v>
      </c>
    </row>
    <row r="1199" spans="1:33">
      <c r="A1199" s="20">
        <v>33825</v>
      </c>
      <c r="B1199" s="20" t="s">
        <v>6941</v>
      </c>
      <c r="C1199" s="21" t="s">
        <v>6904</v>
      </c>
      <c r="W1199" s="20" t="str">
        <f>IF(Q1199&lt;&gt;0,3,IF(K1199="","",VLOOKUP(K1199,'#状态名词'!$J$1:$K$15,2,FALSE)))</f>
        <v/>
      </c>
      <c r="AB1199" s="19"/>
      <c r="AF1199" s="20">
        <v>33825</v>
      </c>
      <c r="AG1199" s="20">
        <v>1</v>
      </c>
    </row>
    <row r="1200" spans="1:33">
      <c r="A1200" s="20">
        <v>33826</v>
      </c>
      <c r="B1200" s="20" t="s">
        <v>6942</v>
      </c>
      <c r="C1200" s="21" t="s">
        <v>6906</v>
      </c>
      <c r="W1200" s="20" t="str">
        <f>IF(Q1200&lt;&gt;0,3,IF(K1200="","",VLOOKUP(K1200,'#状态名词'!$J$1:$K$15,2,FALSE)))</f>
        <v/>
      </c>
      <c r="AB1200" s="19"/>
      <c r="AF1200" s="20">
        <v>33826</v>
      </c>
      <c r="AG1200" s="20">
        <v>1</v>
      </c>
    </row>
    <row r="1201" spans="1:30">
      <c r="A1201" s="20">
        <v>33827</v>
      </c>
      <c r="B1201" s="20" t="s">
        <v>6977</v>
      </c>
      <c r="C1201" s="21" t="s">
        <v>7114</v>
      </c>
      <c r="W1201" s="20" t="str">
        <f>IF(Q1201&lt;&gt;0,3,IF(K1201="","",VLOOKUP(K1201,'#状态名词'!$J$1:$K$15,2,FALSE)))</f>
        <v/>
      </c>
      <c r="AA1201" s="20">
        <v>1</v>
      </c>
      <c r="AB1201" s="20">
        <v>33827</v>
      </c>
      <c r="AC1201" s="20">
        <v>100</v>
      </c>
      <c r="AD1201" s="20">
        <v>1</v>
      </c>
    </row>
    <row r="1202" spans="1:30">
      <c r="A1202" s="20">
        <v>33828</v>
      </c>
      <c r="B1202" s="20" t="s">
        <v>6978</v>
      </c>
      <c r="C1202" s="21" t="s">
        <v>7115</v>
      </c>
      <c r="W1202" s="20" t="str">
        <f>IF(Q1202&lt;&gt;0,3,IF(K1202="","",VLOOKUP(K1202,'#状态名词'!$J$1:$K$15,2,FALSE)))</f>
        <v/>
      </c>
      <c r="AA1202" s="20">
        <v>1</v>
      </c>
      <c r="AB1202" s="20">
        <v>33828</v>
      </c>
      <c r="AC1202" s="20">
        <v>100</v>
      </c>
      <c r="AD1202" s="20">
        <v>1</v>
      </c>
    </row>
    <row r="1203" spans="1:30">
      <c r="A1203" s="20">
        <v>33829</v>
      </c>
      <c r="B1203" s="20" t="s">
        <v>6979</v>
      </c>
      <c r="C1203" s="21" t="s">
        <v>7116</v>
      </c>
      <c r="W1203" s="20" t="str">
        <f>IF(Q1203&lt;&gt;0,3,IF(K1203="","",VLOOKUP(K1203,'#状态名词'!$J$1:$K$15,2,FALSE)))</f>
        <v/>
      </c>
      <c r="AA1203" s="20">
        <v>1</v>
      </c>
      <c r="AB1203" s="20">
        <v>33829</v>
      </c>
      <c r="AC1203" s="20">
        <v>100</v>
      </c>
      <c r="AD1203" s="20">
        <v>1</v>
      </c>
    </row>
    <row r="1204" spans="1:30">
      <c r="A1204" s="20">
        <v>33830</v>
      </c>
      <c r="B1204" s="20" t="s">
        <v>6989</v>
      </c>
      <c r="C1204" s="21" t="s">
        <v>6985</v>
      </c>
      <c r="W1204" s="20" t="str">
        <f>IF(Q1204&lt;&gt;0,3,IF(K1204="","",VLOOKUP(K1204,'#状态名词'!$J$1:$K$15,2,FALSE)))</f>
        <v/>
      </c>
      <c r="AA1204" s="20">
        <v>1</v>
      </c>
      <c r="AB1204" s="20">
        <v>33830</v>
      </c>
      <c r="AC1204" s="20">
        <v>100</v>
      </c>
      <c r="AD1204" s="20">
        <v>1</v>
      </c>
    </row>
    <row r="1205" spans="1:30">
      <c r="A1205" s="20">
        <v>33831</v>
      </c>
      <c r="B1205" s="20" t="s">
        <v>6991</v>
      </c>
      <c r="C1205" s="21" t="s">
        <v>6987</v>
      </c>
      <c r="W1205" s="20" t="str">
        <f>IF(Q1205&lt;&gt;0,3,IF(K1205="","",VLOOKUP(K1205,'#状态名词'!$J$1:$K$15,2,FALSE)))</f>
        <v/>
      </c>
      <c r="AA1205" s="20">
        <v>1</v>
      </c>
      <c r="AB1205" s="20">
        <v>33831</v>
      </c>
      <c r="AC1205" s="20">
        <v>100</v>
      </c>
      <c r="AD1205" s="20">
        <v>1</v>
      </c>
    </row>
    <row r="1206" spans="1:30">
      <c r="A1206" s="20">
        <v>33832</v>
      </c>
      <c r="B1206" s="20" t="s">
        <v>7086</v>
      </c>
      <c r="C1206" s="27" t="s">
        <v>7087</v>
      </c>
      <c r="W1206" s="20" t="str">
        <f>IF(Q1206&lt;&gt;0,3,IF(K1206="","",VLOOKUP(K1206,'#状态名词'!$J$1:$K$15,2,FALSE)))</f>
        <v/>
      </c>
      <c r="AA1206" s="20">
        <v>1</v>
      </c>
      <c r="AB1206" s="20">
        <v>42</v>
      </c>
      <c r="AC1206" s="20">
        <v>5</v>
      </c>
      <c r="AD1206" s="20">
        <v>1</v>
      </c>
    </row>
    <row r="1207" spans="1:30">
      <c r="A1207" s="20">
        <v>33833</v>
      </c>
      <c r="B1207" s="20" t="s">
        <v>7155</v>
      </c>
      <c r="C1207" s="21" t="s">
        <v>7492</v>
      </c>
      <c r="W1207" s="20" t="str">
        <f>IF(Q1207&lt;&gt;0,3,IF(K1207="","",VLOOKUP(K1207,'#状态名词'!$J$1:$K$15,2,FALSE)))</f>
        <v/>
      </c>
      <c r="AA1207" s="20">
        <v>1</v>
      </c>
      <c r="AB1207" s="20">
        <v>33831</v>
      </c>
      <c r="AC1207" s="20">
        <v>100</v>
      </c>
      <c r="AD1207" s="20">
        <v>1</v>
      </c>
    </row>
    <row r="1208" spans="1:30">
      <c r="A1208" s="37">
        <v>33834</v>
      </c>
      <c r="B1208" s="20" t="s">
        <v>7505</v>
      </c>
      <c r="C1208" s="21" t="s">
        <v>8135</v>
      </c>
      <c r="K1208" s="20">
        <v>6</v>
      </c>
      <c r="W1208" s="20">
        <f>IF(Q1208&lt;&gt;0,3,IF(K1208="","",VLOOKUP(K1208,'#状态名词'!$J$1:$K$15,2,FALSE)))</f>
        <v>3</v>
      </c>
      <c r="AA1208" s="20">
        <v>1</v>
      </c>
      <c r="AB1208" s="20">
        <v>33834</v>
      </c>
      <c r="AC1208" s="20">
        <v>100</v>
      </c>
      <c r="AD1208" s="20">
        <v>0</v>
      </c>
    </row>
    <row r="1209" spans="1:30">
      <c r="A1209" s="37">
        <v>33835</v>
      </c>
      <c r="B1209" s="20" t="s">
        <v>7506</v>
      </c>
      <c r="C1209" s="21" t="s">
        <v>8136</v>
      </c>
      <c r="K1209" s="20">
        <v>6</v>
      </c>
      <c r="W1209" s="20">
        <f>IF(Q1209&lt;&gt;0,3,IF(K1209="","",VLOOKUP(K1209,'#状态名词'!$J$1:$K$15,2,FALSE)))</f>
        <v>3</v>
      </c>
      <c r="AA1209" s="20">
        <v>1</v>
      </c>
      <c r="AB1209" s="20">
        <v>33835</v>
      </c>
      <c r="AC1209" s="20">
        <v>100</v>
      </c>
      <c r="AD1209" s="20">
        <v>0</v>
      </c>
    </row>
    <row r="1210" spans="1:30">
      <c r="A1210" s="37">
        <v>33836</v>
      </c>
      <c r="B1210" s="20" t="s">
        <v>7507</v>
      </c>
      <c r="C1210" s="21" t="s">
        <v>8882</v>
      </c>
      <c r="K1210" s="20">
        <v>6</v>
      </c>
      <c r="W1210" s="20">
        <f>IF(Q1210&lt;&gt;0,3,IF(K1210="","",VLOOKUP(K1210,'#状态名词'!$J$1:$K$15,2,FALSE)))</f>
        <v>3</v>
      </c>
      <c r="AA1210" s="20">
        <v>1</v>
      </c>
      <c r="AB1210" s="20">
        <v>33836</v>
      </c>
      <c r="AC1210" s="20">
        <v>100</v>
      </c>
      <c r="AD1210" s="20">
        <v>0</v>
      </c>
    </row>
    <row r="1211" spans="1:30">
      <c r="A1211" s="37">
        <v>33837</v>
      </c>
      <c r="B1211" s="20" t="s">
        <v>7508</v>
      </c>
      <c r="C1211" s="21" t="s">
        <v>8159</v>
      </c>
      <c r="K1211" s="20">
        <v>6</v>
      </c>
      <c r="W1211" s="20">
        <f>IF(Q1211&lt;&gt;0,3,IF(K1211="","",VLOOKUP(K1211,'#状态名词'!$J$1:$K$15,2,FALSE)))</f>
        <v>3</v>
      </c>
      <c r="AA1211" s="20">
        <v>1</v>
      </c>
      <c r="AB1211" s="20">
        <v>33837</v>
      </c>
      <c r="AC1211" s="20">
        <v>100</v>
      </c>
      <c r="AD1211" s="20">
        <v>0</v>
      </c>
    </row>
    <row r="1212" spans="1:30">
      <c r="A1212" s="37">
        <v>33838</v>
      </c>
      <c r="B1212" s="20" t="s">
        <v>7509</v>
      </c>
      <c r="C1212" s="21" t="s">
        <v>8137</v>
      </c>
      <c r="K1212" s="20">
        <v>6</v>
      </c>
      <c r="W1212" s="20">
        <f>IF(Q1212&lt;&gt;0,3,IF(K1212="","",VLOOKUP(K1212,'#状态名词'!$J$1:$K$15,2,FALSE)))</f>
        <v>3</v>
      </c>
      <c r="AA1212" s="20">
        <v>1</v>
      </c>
      <c r="AB1212" s="20">
        <v>33838</v>
      </c>
      <c r="AC1212" s="20">
        <v>100</v>
      </c>
      <c r="AD1212" s="20">
        <v>0</v>
      </c>
    </row>
    <row r="1213" spans="1:30">
      <c r="A1213" s="37">
        <v>33839</v>
      </c>
      <c r="B1213" s="20" t="s">
        <v>7510</v>
      </c>
      <c r="C1213" s="21" t="s">
        <v>8158</v>
      </c>
      <c r="K1213" s="20">
        <v>6</v>
      </c>
      <c r="W1213" s="20">
        <f>IF(Q1213&lt;&gt;0,3,IF(K1213="","",VLOOKUP(K1213,'#状态名词'!$J$1:$K$15,2,FALSE)))</f>
        <v>3</v>
      </c>
      <c r="AA1213" s="20">
        <v>1</v>
      </c>
      <c r="AB1213" s="20">
        <v>33839</v>
      </c>
      <c r="AC1213" s="20">
        <v>100</v>
      </c>
      <c r="AD1213" s="20">
        <v>0</v>
      </c>
    </row>
    <row r="1214" spans="1:30">
      <c r="A1214" s="20">
        <v>33840</v>
      </c>
      <c r="B1214" s="20" t="s">
        <v>7515</v>
      </c>
      <c r="C1214" s="21" t="s">
        <v>8141</v>
      </c>
      <c r="K1214" s="20">
        <v>15</v>
      </c>
      <c r="W1214" s="20">
        <f>IF(Q1214&lt;&gt;0,3,IF(K1214="","",VLOOKUP(K1214,'#状态名词'!$J$1:$K$15,2,FALSE)))</f>
        <v>0</v>
      </c>
      <c r="AA1214" s="20">
        <v>1</v>
      </c>
      <c r="AB1214" s="20">
        <v>33840</v>
      </c>
      <c r="AC1214" s="20">
        <v>100</v>
      </c>
      <c r="AD1214" s="20">
        <v>1</v>
      </c>
    </row>
    <row r="1215" spans="1:30">
      <c r="A1215" s="20">
        <v>33841</v>
      </c>
      <c r="B1215" s="20" t="s">
        <v>7511</v>
      </c>
      <c r="C1215" s="21" t="s">
        <v>8142</v>
      </c>
      <c r="K1215" s="20">
        <v>15</v>
      </c>
      <c r="W1215" s="20">
        <f>IF(Q1215&lt;&gt;0,3,IF(K1215="","",VLOOKUP(K1215,'#状态名词'!$J$1:$K$15,2,FALSE)))</f>
        <v>0</v>
      </c>
      <c r="AA1215" s="20">
        <v>1</v>
      </c>
      <c r="AB1215" s="20">
        <v>33841</v>
      </c>
      <c r="AC1215" s="20">
        <v>100</v>
      </c>
      <c r="AD1215" s="20">
        <v>1</v>
      </c>
    </row>
    <row r="1216" spans="1:30">
      <c r="A1216" s="20">
        <v>33842</v>
      </c>
      <c r="B1216" s="20" t="s">
        <v>7512</v>
      </c>
      <c r="C1216" s="21" t="s">
        <v>8144</v>
      </c>
      <c r="K1216" s="20">
        <v>15</v>
      </c>
      <c r="W1216" s="20">
        <f>IF(Q1216&lt;&gt;0,3,IF(K1216="","",VLOOKUP(K1216,'#状态名词'!$J$1:$K$15,2,FALSE)))</f>
        <v>0</v>
      </c>
      <c r="AA1216" s="20">
        <v>1</v>
      </c>
      <c r="AB1216" s="20">
        <v>33842</v>
      </c>
      <c r="AC1216" s="20">
        <v>100</v>
      </c>
      <c r="AD1216" s="20">
        <v>1</v>
      </c>
    </row>
    <row r="1217" spans="1:30">
      <c r="A1217" s="20">
        <v>33843</v>
      </c>
      <c r="B1217" s="20" t="s">
        <v>7516</v>
      </c>
      <c r="C1217" s="21" t="s">
        <v>8143</v>
      </c>
      <c r="K1217" s="20">
        <v>15</v>
      </c>
      <c r="W1217" s="20">
        <f>IF(Q1217&lt;&gt;0,3,IF(K1217="","",VLOOKUP(K1217,'#状态名词'!$J$1:$K$15,2,FALSE)))</f>
        <v>0</v>
      </c>
      <c r="AA1217" s="20">
        <v>1</v>
      </c>
      <c r="AB1217" s="20">
        <v>33843</v>
      </c>
      <c r="AC1217" s="20">
        <v>100</v>
      </c>
      <c r="AD1217" s="20">
        <v>1</v>
      </c>
    </row>
    <row r="1218" spans="1:30">
      <c r="A1218" s="20">
        <v>33844</v>
      </c>
      <c r="B1218" s="20" t="s">
        <v>7514</v>
      </c>
      <c r="C1218" s="21" t="s">
        <v>8145</v>
      </c>
      <c r="K1218" s="20">
        <v>15</v>
      </c>
      <c r="W1218" s="20">
        <f>IF(Q1218&lt;&gt;0,3,IF(K1218="","",VLOOKUP(K1218,'#状态名词'!$J$1:$K$15,2,FALSE)))</f>
        <v>0</v>
      </c>
      <c r="AA1218" s="20">
        <v>1</v>
      </c>
      <c r="AB1218" s="20">
        <v>33844</v>
      </c>
      <c r="AC1218" s="20">
        <v>100</v>
      </c>
      <c r="AD1218" s="20">
        <v>1</v>
      </c>
    </row>
    <row r="1219" spans="1:30">
      <c r="A1219" s="20">
        <v>33845</v>
      </c>
      <c r="B1219" s="20" t="s">
        <v>7513</v>
      </c>
      <c r="C1219" s="21" t="s">
        <v>8146</v>
      </c>
      <c r="K1219" s="20">
        <v>15</v>
      </c>
      <c r="W1219" s="20">
        <f>IF(Q1219&lt;&gt;0,3,IF(K1219="","",VLOOKUP(K1219,'#状态名词'!$J$1:$K$15,2,FALSE)))</f>
        <v>0</v>
      </c>
      <c r="AA1219" s="20">
        <v>1</v>
      </c>
      <c r="AB1219" s="20">
        <v>33845</v>
      </c>
      <c r="AC1219" s="20">
        <v>100</v>
      </c>
      <c r="AD1219" s="20">
        <v>1</v>
      </c>
    </row>
    <row r="1220" spans="1:30">
      <c r="A1220" s="37">
        <v>33846</v>
      </c>
      <c r="B1220" s="20" t="s">
        <v>7494</v>
      </c>
      <c r="C1220" s="21" t="s">
        <v>7493</v>
      </c>
      <c r="W1220" s="20" t="str">
        <f>IF(Q1220&lt;&gt;0,3,IF(K1220="","",VLOOKUP(K1220,'#状态名词'!$J$1:$K$15,2,FALSE)))</f>
        <v/>
      </c>
      <c r="AA1220" s="20">
        <v>1</v>
      </c>
      <c r="AB1220" s="20">
        <v>30046</v>
      </c>
      <c r="AC1220" s="20">
        <v>100</v>
      </c>
      <c r="AD1220" s="20">
        <v>1</v>
      </c>
    </row>
    <row r="1221" spans="1:30">
      <c r="A1221" s="37">
        <v>33847</v>
      </c>
      <c r="B1221" s="20" t="s">
        <v>7491</v>
      </c>
      <c r="C1221" s="21" t="s">
        <v>7748</v>
      </c>
      <c r="K1221" s="20">
        <v>9</v>
      </c>
      <c r="W1221" s="20">
        <f>IF(Q1221&lt;&gt;0,3,IF(K1221="","",VLOOKUP(K1221,'#状态名词'!$J$1:$K$15,2,FALSE)))</f>
        <v>3</v>
      </c>
      <c r="AA1221" s="20">
        <v>1</v>
      </c>
      <c r="AB1221" s="20">
        <v>33847</v>
      </c>
      <c r="AC1221" s="20">
        <v>10</v>
      </c>
      <c r="AD1221" s="20">
        <v>1</v>
      </c>
    </row>
    <row r="1222" spans="1:30">
      <c r="A1222" s="37">
        <v>33848</v>
      </c>
      <c r="B1222" s="20" t="s">
        <v>7491</v>
      </c>
      <c r="C1222" s="21" t="s">
        <v>7519</v>
      </c>
      <c r="F1222" s="20">
        <v>10000</v>
      </c>
      <c r="H1222" s="20">
        <v>10</v>
      </c>
      <c r="J1222" s="19" t="s">
        <v>1507</v>
      </c>
      <c r="K1222" s="20">
        <v>5</v>
      </c>
      <c r="N1222" s="20">
        <v>4</v>
      </c>
      <c r="O1222" s="20">
        <v>1</v>
      </c>
      <c r="W1222" s="20">
        <f>IF(Q1222&lt;&gt;0,3,IF(K1222="","",VLOOKUP(K1222,'#状态名词'!$J$1:$K$15,2,FALSE)))</f>
        <v>1</v>
      </c>
    </row>
    <row r="1223" spans="1:30">
      <c r="A1223" s="37">
        <v>33849</v>
      </c>
      <c r="B1223" s="20" t="s">
        <v>9245</v>
      </c>
      <c r="C1223" s="21" t="s">
        <v>9254</v>
      </c>
      <c r="J1223" s="19"/>
      <c r="W1223" s="20" t="str">
        <f>IF(Q1223&lt;&gt;0,3,IF(K1223="","",VLOOKUP(K1223,'#状态名词'!$J$1:$K$15,2,FALSE)))</f>
        <v/>
      </c>
      <c r="AA1223" s="20">
        <v>1</v>
      </c>
      <c r="AB1223" s="20">
        <v>33849</v>
      </c>
      <c r="AC1223" s="20">
        <v>100</v>
      </c>
      <c r="AD1223" s="20">
        <v>1</v>
      </c>
    </row>
    <row r="1224" spans="1:30">
      <c r="A1224" s="37">
        <v>33850</v>
      </c>
      <c r="B1224" s="20" t="s">
        <v>9246</v>
      </c>
      <c r="C1224" s="21" t="s">
        <v>9252</v>
      </c>
      <c r="J1224" s="19"/>
      <c r="W1224" s="20" t="str">
        <f>IF(Q1224&lt;&gt;0,3,IF(K1224="","",VLOOKUP(K1224,'#状态名词'!$J$1:$K$15,2,FALSE)))</f>
        <v/>
      </c>
      <c r="AA1224" s="20">
        <v>1</v>
      </c>
      <c r="AB1224" s="20">
        <v>33850</v>
      </c>
      <c r="AC1224" s="20">
        <v>100</v>
      </c>
      <c r="AD1224" s="20">
        <v>1</v>
      </c>
    </row>
    <row r="1225" spans="1:30">
      <c r="A1225" s="37">
        <v>33851</v>
      </c>
      <c r="B1225" s="20" t="s">
        <v>9244</v>
      </c>
      <c r="C1225" s="21" t="s">
        <v>9253</v>
      </c>
      <c r="J1225" s="19"/>
      <c r="K1225" s="20">
        <v>9</v>
      </c>
      <c r="W1225" s="20">
        <f>IF(Q1225&lt;&gt;0,3,IF(K1225="","",VLOOKUP(K1225,'#状态名词'!$J$1:$K$15,2,FALSE)))</f>
        <v>3</v>
      </c>
      <c r="AA1225" s="20">
        <v>1</v>
      </c>
      <c r="AB1225" s="20">
        <v>33851</v>
      </c>
      <c r="AC1225" s="20">
        <v>100</v>
      </c>
      <c r="AD1225" s="20">
        <v>1</v>
      </c>
    </row>
    <row r="1226" spans="1:30">
      <c r="A1226" s="37">
        <v>33852</v>
      </c>
      <c r="B1226" s="20" t="s">
        <v>9247</v>
      </c>
      <c r="C1226" s="21" t="s">
        <v>9251</v>
      </c>
      <c r="J1226" s="19"/>
      <c r="W1226" s="20" t="str">
        <f>IF(Q1226&lt;&gt;0,3,IF(K1226="","",VLOOKUP(K1226,'#状态名词'!$J$1:$K$15,2,FALSE)))</f>
        <v/>
      </c>
      <c r="AA1226" s="20">
        <v>1</v>
      </c>
      <c r="AB1226" s="20">
        <v>33852</v>
      </c>
      <c r="AC1226" s="20">
        <v>100</v>
      </c>
      <c r="AD1226" s="20">
        <v>1</v>
      </c>
    </row>
    <row r="1227" spans="1:30">
      <c r="A1227" s="37">
        <v>33853</v>
      </c>
      <c r="B1227" s="20" t="s">
        <v>9248</v>
      </c>
      <c r="C1227" s="21" t="s">
        <v>9255</v>
      </c>
      <c r="J1227" s="19"/>
      <c r="W1227" s="20" t="str">
        <f>IF(Q1227&lt;&gt;0,3,IF(K1227="","",VLOOKUP(K1227,'#状态名词'!$J$1:$K$15,2,FALSE)))</f>
        <v/>
      </c>
      <c r="AA1227" s="20">
        <v>1</v>
      </c>
      <c r="AB1227" s="20">
        <v>33853</v>
      </c>
      <c r="AC1227" s="20">
        <v>100</v>
      </c>
      <c r="AD1227" s="20">
        <v>1</v>
      </c>
    </row>
    <row r="1228" spans="1:30">
      <c r="A1228" s="37">
        <v>33854</v>
      </c>
      <c r="B1228" s="20" t="s">
        <v>9249</v>
      </c>
      <c r="C1228" s="21" t="s">
        <v>9256</v>
      </c>
      <c r="J1228" s="19"/>
      <c r="K1228" s="20">
        <v>6</v>
      </c>
      <c r="W1228" s="20">
        <f>IF(Q1228&lt;&gt;0,3,IF(K1228="","",VLOOKUP(K1228,'#状态名词'!$J$1:$K$15,2,FALSE)))</f>
        <v>3</v>
      </c>
      <c r="AA1228" s="20">
        <v>1</v>
      </c>
      <c r="AB1228" s="20">
        <v>33854</v>
      </c>
      <c r="AC1228" s="20">
        <v>100</v>
      </c>
      <c r="AD1228" s="20">
        <v>1</v>
      </c>
    </row>
    <row r="1229" spans="1:30">
      <c r="A1229" s="37">
        <v>33855</v>
      </c>
      <c r="B1229" s="20" t="s">
        <v>9250</v>
      </c>
      <c r="C1229" s="21" t="s">
        <v>9257</v>
      </c>
      <c r="J1229" s="19"/>
      <c r="W1229" s="20" t="str">
        <f>IF(Q1229&lt;&gt;0,3,IF(K1229="","",VLOOKUP(K1229,'#状态名词'!$J$1:$K$15,2,FALSE)))</f>
        <v/>
      </c>
      <c r="AA1229" s="20">
        <v>1</v>
      </c>
      <c r="AB1229" s="20">
        <v>33855</v>
      </c>
      <c r="AC1229" s="20">
        <v>100</v>
      </c>
      <c r="AD1229" s="20">
        <v>1</v>
      </c>
    </row>
    <row r="1230" spans="1:30">
      <c r="A1230" s="62">
        <v>34001</v>
      </c>
      <c r="B1230" s="63" t="s">
        <v>7743</v>
      </c>
      <c r="C1230" s="21" t="s">
        <v>6987</v>
      </c>
      <c r="W1230" s="20" t="str">
        <f>IF(Q1230&lt;&gt;0,3,IF(K1230="","",VLOOKUP(K1230,'#状态名词'!$J$1:$K$15,2,FALSE)))</f>
        <v/>
      </c>
      <c r="AA1230" s="20">
        <v>1</v>
      </c>
      <c r="AB1230" s="20">
        <v>34001</v>
      </c>
      <c r="AC1230" s="20">
        <v>100</v>
      </c>
      <c r="AD1230" s="20">
        <v>1</v>
      </c>
    </row>
    <row r="1231" spans="1:30">
      <c r="A1231" s="62">
        <v>34002</v>
      </c>
      <c r="B1231" s="64" t="s">
        <v>7744</v>
      </c>
      <c r="C1231" s="21" t="s">
        <v>7745</v>
      </c>
      <c r="W1231" s="20" t="str">
        <f>IF(Q1231&lt;&gt;0,3,IF(K1231="","",VLOOKUP(K1231,'#状态名词'!$J$1:$K$15,2,FALSE)))</f>
        <v/>
      </c>
      <c r="AA1231" s="20">
        <v>1</v>
      </c>
      <c r="AB1231" s="20">
        <v>34002</v>
      </c>
      <c r="AC1231" s="20">
        <v>100</v>
      </c>
      <c r="AD1231" s="20">
        <v>1</v>
      </c>
    </row>
    <row r="1232" spans="1:30">
      <c r="A1232" s="20">
        <v>35001</v>
      </c>
      <c r="B1232" s="8" t="s">
        <v>8864</v>
      </c>
      <c r="C1232" s="21" t="s">
        <v>8866</v>
      </c>
      <c r="K1232" s="20">
        <v>6</v>
      </c>
      <c r="W1232" s="20">
        <f>IF(Q1232&lt;&gt;0,3,IF(K1232="","",VLOOKUP(K1232,'#状态名词'!$J$1:$K$15,2,FALSE)))</f>
        <v>3</v>
      </c>
      <c r="AA1232" s="20">
        <v>1</v>
      </c>
      <c r="AB1232" s="20">
        <v>35001</v>
      </c>
      <c r="AC1232" s="20">
        <v>100</v>
      </c>
      <c r="AD1232" s="20">
        <v>1</v>
      </c>
    </row>
    <row r="1233" spans="1:30">
      <c r="A1233" s="20">
        <v>35002</v>
      </c>
      <c r="B1233" s="53" t="s">
        <v>8868</v>
      </c>
      <c r="C1233" s="21" t="s">
        <v>8879</v>
      </c>
      <c r="W1233" s="20" t="str">
        <f>IF(Q1233&lt;&gt;0,3,IF(K1233="","",VLOOKUP(K1233,'#状态名词'!$J$1:$K$15,2,FALSE)))</f>
        <v/>
      </c>
      <c r="AA1233" s="20">
        <v>1</v>
      </c>
      <c r="AB1233" s="20">
        <v>35002</v>
      </c>
      <c r="AC1233" s="20">
        <v>100</v>
      </c>
      <c r="AD1233" s="20">
        <v>1</v>
      </c>
    </row>
    <row r="1234" spans="1:30">
      <c r="A1234" s="20">
        <v>35003</v>
      </c>
      <c r="B1234" s="53" t="s">
        <v>8871</v>
      </c>
      <c r="C1234" s="21" t="s">
        <v>8884</v>
      </c>
      <c r="K1234" s="20">
        <v>6</v>
      </c>
      <c r="W1234" s="20">
        <f>IF(Q1234&lt;&gt;0,3,IF(K1234="","",VLOOKUP(K1234,'#状态名词'!$J$1:$K$15,2,FALSE)))</f>
        <v>3</v>
      </c>
      <c r="AA1234" s="20">
        <v>1</v>
      </c>
      <c r="AB1234" s="20">
        <v>35003</v>
      </c>
      <c r="AC1234" s="20">
        <v>100</v>
      </c>
      <c r="AD1234" s="20">
        <v>1</v>
      </c>
    </row>
    <row r="1235" spans="1:30">
      <c r="A1235" s="20">
        <v>35004</v>
      </c>
      <c r="B1235" s="53" t="s">
        <v>8874</v>
      </c>
      <c r="C1235" s="21" t="s">
        <v>8880</v>
      </c>
      <c r="K1235" s="20">
        <v>9</v>
      </c>
      <c r="W1235" s="20">
        <f>IF(Q1235&lt;&gt;0,3,IF(K1235="","",VLOOKUP(K1235,'#状态名词'!$J$1:$K$15,2,FALSE)))</f>
        <v>3</v>
      </c>
      <c r="AA1235" s="20">
        <v>1</v>
      </c>
      <c r="AB1235" s="20">
        <v>2</v>
      </c>
      <c r="AC1235" s="20">
        <v>50</v>
      </c>
      <c r="AD1235" s="20">
        <v>0</v>
      </c>
    </row>
    <row r="1236" spans="1:30">
      <c r="A1236" s="20">
        <v>35005</v>
      </c>
      <c r="B1236" s="53" t="s">
        <v>8875</v>
      </c>
      <c r="C1236" s="21" t="s">
        <v>8881</v>
      </c>
      <c r="K1236" s="20">
        <v>6</v>
      </c>
      <c r="W1236" s="20">
        <f>IF(Q1236&lt;&gt;0,3,IF(K1236="","",VLOOKUP(K1236,'#状态名词'!$J$1:$K$15,2,FALSE)))</f>
        <v>3</v>
      </c>
      <c r="AA1236" s="20">
        <v>1</v>
      </c>
      <c r="AB1236" s="20">
        <v>4</v>
      </c>
      <c r="AC1236" s="20">
        <v>50</v>
      </c>
      <c r="AD1236" s="20">
        <v>0</v>
      </c>
    </row>
    <row r="1237" spans="1:30">
      <c r="A1237" s="20">
        <v>35006</v>
      </c>
      <c r="B1237" s="53" t="s">
        <v>8877</v>
      </c>
      <c r="C1237" s="21" t="s">
        <v>8886</v>
      </c>
      <c r="W1237" s="20" t="str">
        <f>IF(Q1237&lt;&gt;0,3,IF(K1237="","",VLOOKUP(K1237,'#状态名词'!$J$1:$K$15,2,FALSE)))</f>
        <v/>
      </c>
      <c r="AA1237" s="20">
        <v>1</v>
      </c>
      <c r="AB1237" s="20">
        <v>35006</v>
      </c>
      <c r="AC1237" s="20">
        <v>100</v>
      </c>
      <c r="AD1237" s="20">
        <v>1</v>
      </c>
    </row>
    <row r="1238" spans="1:30">
      <c r="A1238" s="20">
        <v>35007</v>
      </c>
      <c r="B1238" s="53" t="s">
        <v>8869</v>
      </c>
      <c r="C1238" s="21" t="s">
        <v>8889</v>
      </c>
      <c r="K1238" s="20">
        <v>9</v>
      </c>
      <c r="W1238" s="20">
        <f>IF(Q1238&lt;&gt;0,3,IF(K1238="","",VLOOKUP(K1238,'#状态名词'!$J$1:$K$15,2,FALSE)))</f>
        <v>3</v>
      </c>
      <c r="AA1238" s="20">
        <v>1</v>
      </c>
      <c r="AB1238" s="20">
        <v>44</v>
      </c>
      <c r="AC1238" s="20">
        <v>10</v>
      </c>
      <c r="AD1238" s="20">
        <v>1</v>
      </c>
    </row>
    <row r="1239" spans="1:30">
      <c r="B1239" s="53"/>
      <c r="W1239" s="20" t="str">
        <f>IF(Q1239&lt;&gt;0,3,IF(K1239="","",VLOOKUP(K1239,'#状态名词'!$J$1:$K$15,2,FALSE)))</f>
        <v/>
      </c>
      <c r="AA1239" s="20">
        <v>1</v>
      </c>
      <c r="AB1239" s="20">
        <v>34</v>
      </c>
      <c r="AC1239" s="20">
        <v>10</v>
      </c>
      <c r="AD1239" s="20">
        <v>1</v>
      </c>
    </row>
    <row r="1240" spans="1:30">
      <c r="A1240" s="20">
        <v>35008</v>
      </c>
      <c r="B1240" s="53" t="s">
        <v>8873</v>
      </c>
      <c r="C1240" s="21" t="s">
        <v>8888</v>
      </c>
      <c r="Q1240" s="20">
        <v>3</v>
      </c>
      <c r="R1240" s="20">
        <v>1</v>
      </c>
      <c r="S1240" s="20">
        <v>30</v>
      </c>
      <c r="W1240" s="20">
        <f>IF(Q1240&lt;&gt;0,3,IF(K1240="","",VLOOKUP(K1240,'#状态名词'!$J$1:$K$15,2,FALSE)))</f>
        <v>3</v>
      </c>
      <c r="AA1240" s="20">
        <v>1</v>
      </c>
      <c r="AB1240" s="20">
        <v>35008</v>
      </c>
      <c r="AC1240" s="20">
        <v>100</v>
      </c>
      <c r="AD1240" s="20">
        <v>1</v>
      </c>
    </row>
    <row r="1241" spans="1:30">
      <c r="A1241" s="20">
        <v>35009</v>
      </c>
      <c r="B1241" s="53" t="s">
        <v>9164</v>
      </c>
      <c r="C1241" s="20" t="s">
        <v>9186</v>
      </c>
      <c r="K1241" s="20">
        <v>9</v>
      </c>
      <c r="W1241" s="20">
        <f>IF(Q1241&lt;&gt;0,3,IF(K1241="","",VLOOKUP(K1241,'#状态名词'!$J$1:$K$15,2,FALSE)))</f>
        <v>3</v>
      </c>
      <c r="AA1241" s="20">
        <v>1</v>
      </c>
      <c r="AB1241" s="20">
        <v>35009</v>
      </c>
      <c r="AC1241" s="20">
        <v>20</v>
      </c>
      <c r="AD1241" s="20">
        <v>1</v>
      </c>
    </row>
    <row r="1242" spans="1:30">
      <c r="A1242" s="20">
        <v>35010</v>
      </c>
      <c r="B1242" s="53" t="s">
        <v>9165</v>
      </c>
      <c r="C1242" t="s">
        <v>9175</v>
      </c>
      <c r="K1242" s="20">
        <v>9</v>
      </c>
      <c r="W1242" s="20">
        <f>IF(Q1242&lt;&gt;0,3,IF(K1242="","",VLOOKUP(K1242,'#状态名词'!$J$1:$K$15,2,FALSE)))</f>
        <v>3</v>
      </c>
      <c r="AA1242" s="20">
        <v>1</v>
      </c>
      <c r="AB1242" s="20">
        <v>35010</v>
      </c>
      <c r="AC1242" s="20">
        <v>20</v>
      </c>
      <c r="AD1242" s="20">
        <v>1</v>
      </c>
    </row>
    <row r="1243" spans="1:30">
      <c r="A1243" s="20">
        <v>35011</v>
      </c>
      <c r="B1243" s="53" t="s">
        <v>9166</v>
      </c>
      <c r="C1243" t="s">
        <v>9171</v>
      </c>
      <c r="Q1243" s="20">
        <v>1</v>
      </c>
      <c r="R1243" s="20">
        <v>2</v>
      </c>
      <c r="S1243" s="20">
        <v>1</v>
      </c>
      <c r="W1243" s="20">
        <f>IF(Q1243&lt;&gt;0,3,IF(K1243="","",VLOOKUP(K1243,'#状态名词'!$J$1:$K$15,2,FALSE)))</f>
        <v>3</v>
      </c>
      <c r="AA1243" s="20">
        <v>1</v>
      </c>
      <c r="AB1243" s="20">
        <v>35011</v>
      </c>
      <c r="AC1243" s="20">
        <v>100</v>
      </c>
      <c r="AD1243" s="20">
        <v>1</v>
      </c>
    </row>
    <row r="1244" spans="1:30">
      <c r="A1244" s="20">
        <v>35012</v>
      </c>
      <c r="B1244" s="53" t="s">
        <v>9167</v>
      </c>
      <c r="C1244" t="s">
        <v>9172</v>
      </c>
      <c r="Q1244" s="20">
        <v>1</v>
      </c>
      <c r="R1244" s="20">
        <v>0</v>
      </c>
      <c r="S1244" s="20">
        <v>6</v>
      </c>
      <c r="W1244" s="20">
        <f>IF(Q1244&lt;&gt;0,3,IF(K1244="","",VLOOKUP(K1244,'#状态名词'!$J$1:$K$15,2,FALSE)))</f>
        <v>3</v>
      </c>
      <c r="AA1244" s="20">
        <v>1</v>
      </c>
      <c r="AB1244" s="20">
        <v>35012</v>
      </c>
      <c r="AC1244" s="20">
        <v>100</v>
      </c>
      <c r="AD1244" s="20">
        <v>1</v>
      </c>
    </row>
    <row r="1245" spans="1:30">
      <c r="A1245" s="20">
        <v>35013</v>
      </c>
      <c r="B1245" s="20" t="s">
        <v>9170</v>
      </c>
      <c r="C1245" s="20" t="s">
        <v>9188</v>
      </c>
      <c r="K1245" s="20">
        <v>9</v>
      </c>
      <c r="W1245" s="20">
        <f>IF(Q1245&lt;&gt;0,3,IF(K1245="","",VLOOKUP(K1245,'#状态名词'!$J$1:$K$15,2,FALSE)))</f>
        <v>3</v>
      </c>
      <c r="AA1245" s="20">
        <v>1</v>
      </c>
      <c r="AB1245" s="20">
        <v>35013</v>
      </c>
      <c r="AC1245" s="20">
        <v>10</v>
      </c>
      <c r="AD1245" s="20">
        <v>1</v>
      </c>
    </row>
    <row r="1246" spans="1:30" ht="27">
      <c r="A1246" s="20">
        <v>35014</v>
      </c>
      <c r="B1246" s="53" t="s">
        <v>9173</v>
      </c>
      <c r="C1246" s="21" t="s">
        <v>9185</v>
      </c>
      <c r="K1246" s="20">
        <v>9</v>
      </c>
      <c r="W1246" s="20">
        <f>IF(Q1246&lt;&gt;0,3,IF(K1246="","",VLOOKUP(K1246,'#状态名词'!$J$1:$K$15,2,FALSE)))</f>
        <v>3</v>
      </c>
      <c r="AA1246" s="20">
        <v>1</v>
      </c>
      <c r="AB1246" s="20">
        <v>35014</v>
      </c>
      <c r="AC1246" s="20">
        <v>15</v>
      </c>
      <c r="AD1246" s="20">
        <v>1</v>
      </c>
    </row>
    <row r="1247" spans="1:30">
      <c r="A1247" s="20">
        <v>35015</v>
      </c>
      <c r="B1247" s="53" t="s">
        <v>9168</v>
      </c>
      <c r="C1247" s="21" t="s">
        <v>9169</v>
      </c>
      <c r="K1247" s="20">
        <v>9</v>
      </c>
      <c r="W1247" s="20">
        <f>IF(Q1247&lt;&gt;0,3,IF(K1247="","",VLOOKUP(K1247,'#状态名词'!$J$1:$K$15,2,FALSE)))</f>
        <v>3</v>
      </c>
      <c r="AA1247" s="20">
        <v>1</v>
      </c>
      <c r="AB1247" s="20">
        <v>35015</v>
      </c>
      <c r="AC1247" s="20">
        <v>10</v>
      </c>
      <c r="AD1247" s="20">
        <v>1</v>
      </c>
    </row>
    <row r="1248" spans="1:30">
      <c r="A1248" s="20">
        <v>35016</v>
      </c>
      <c r="B1248" s="53" t="s">
        <v>9176</v>
      </c>
      <c r="C1248" s="21" t="s">
        <v>9177</v>
      </c>
      <c r="K1248" s="20">
        <v>6</v>
      </c>
      <c r="W1248" s="20">
        <f>IF(Q1248&lt;&gt;0,3,IF(K1248="","",VLOOKUP(K1248,'#状态名词'!$J$1:$K$15,2,FALSE)))</f>
        <v>3</v>
      </c>
      <c r="AA1248" s="20">
        <v>1</v>
      </c>
      <c r="AB1248" s="20">
        <v>35016</v>
      </c>
      <c r="AC1248" s="20">
        <v>100</v>
      </c>
      <c r="AD1248" s="20">
        <v>1</v>
      </c>
    </row>
    <row r="1249" spans="1:31">
      <c r="B1249" s="53"/>
      <c r="W1249" s="20" t="str">
        <f>IF(Q1249&lt;&gt;0,3,IF(K1249="","",VLOOKUP(K1249,'#状态名词'!$J$1:$K$15,2,FALSE)))</f>
        <v/>
      </c>
      <c r="AB1249" s="20">
        <v>35017</v>
      </c>
      <c r="AC1249" s="20">
        <v>100</v>
      </c>
      <c r="AD1249" s="20">
        <v>0</v>
      </c>
    </row>
    <row r="1250" spans="1:31">
      <c r="A1250" s="20">
        <v>35017</v>
      </c>
      <c r="B1250" s="53" t="s">
        <v>9181</v>
      </c>
      <c r="C1250" s="21" t="s">
        <v>9178</v>
      </c>
      <c r="K1250" s="20">
        <v>9</v>
      </c>
      <c r="W1250" s="20">
        <f>IF(Q1250&lt;&gt;0,3,IF(K1250="","",VLOOKUP(K1250,'#状态名词'!$J$1:$K$15,2,FALSE)))</f>
        <v>3</v>
      </c>
      <c r="AA1250" s="20">
        <v>1</v>
      </c>
      <c r="AB1250" s="20">
        <v>35018</v>
      </c>
      <c r="AC1250" s="20">
        <v>100</v>
      </c>
      <c r="AD1250" s="20">
        <v>1</v>
      </c>
    </row>
    <row r="1251" spans="1:31">
      <c r="A1251" s="20">
        <v>35018</v>
      </c>
      <c r="B1251" s="53" t="s">
        <v>9180</v>
      </c>
      <c r="C1251" s="21" t="s">
        <v>9179</v>
      </c>
      <c r="W1251" s="20" t="str">
        <f>IF(Q1251&lt;&gt;0,3,IF(K1251="","",VLOOKUP(K1251,'#状态名词'!$J$1:$K$15,2,FALSE)))</f>
        <v/>
      </c>
      <c r="AA1251" s="20">
        <v>1</v>
      </c>
      <c r="AB1251" s="20">
        <v>35019</v>
      </c>
      <c r="AC1251" s="20">
        <v>100</v>
      </c>
      <c r="AD1251" s="20">
        <v>1</v>
      </c>
    </row>
    <row r="1252" spans="1:31">
      <c r="B1252" s="53"/>
      <c r="W1252" s="20" t="str">
        <f>IF(Q1252&lt;&gt;0,3,IF(K1252="","",VLOOKUP(K1252,'#状态名词'!$J$1:$K$15,2,FALSE)))</f>
        <v/>
      </c>
      <c r="AB1252" s="20">
        <v>35020</v>
      </c>
      <c r="AC1252" s="20">
        <v>100</v>
      </c>
      <c r="AD1252" s="20">
        <v>0</v>
      </c>
    </row>
    <row r="1253" spans="1:31">
      <c r="A1253" s="20">
        <v>35019</v>
      </c>
      <c r="B1253" s="53" t="s">
        <v>9182</v>
      </c>
      <c r="C1253" s="21" t="s">
        <v>9187</v>
      </c>
      <c r="F1253" s="20">
        <v>10000</v>
      </c>
      <c r="K1253" s="20">
        <v>5</v>
      </c>
      <c r="N1253" s="20">
        <v>3</v>
      </c>
      <c r="O1253" s="20">
        <v>1</v>
      </c>
      <c r="W1253" s="20">
        <f>IF(Q1253&lt;&gt;0,3,IF(K1253="","",VLOOKUP(K1253,'#状态名词'!$J$1:$K$15,2,FALSE)))</f>
        <v>1</v>
      </c>
    </row>
    <row r="1254" spans="1:31">
      <c r="A1254" s="20">
        <v>35020</v>
      </c>
      <c r="B1254" s="53" t="s">
        <v>9183</v>
      </c>
      <c r="C1254" s="21" t="s">
        <v>9189</v>
      </c>
      <c r="F1254" s="20">
        <v>25000</v>
      </c>
      <c r="K1254" s="20">
        <v>5</v>
      </c>
      <c r="N1254" s="20">
        <v>1</v>
      </c>
      <c r="O1254" s="20">
        <v>1</v>
      </c>
      <c r="W1254" s="20">
        <f>IF(Q1254&lt;&gt;0,3,IF(K1254="","",VLOOKUP(K1254,'#状态名词'!$J$1:$K$15,2,FALSE)))</f>
        <v>1</v>
      </c>
    </row>
    <row r="1255" spans="1:31">
      <c r="A1255" s="20">
        <v>35021</v>
      </c>
      <c r="B1255" s="53" t="s">
        <v>9184</v>
      </c>
      <c r="C1255" s="21" t="s">
        <v>9190</v>
      </c>
      <c r="F1255" s="20" t="s">
        <v>9191</v>
      </c>
      <c r="K1255" s="20">
        <v>5</v>
      </c>
      <c r="N1255" s="20">
        <v>4</v>
      </c>
      <c r="O1255" s="20">
        <v>0</v>
      </c>
      <c r="W1255" s="20">
        <f>IF(Q1255&lt;&gt;0,3,IF(K1255="","",VLOOKUP(K1255,'#状态名词'!$J$1:$K$15,2,FALSE)))</f>
        <v>1</v>
      </c>
    </row>
    <row r="1256" spans="1:31" ht="27">
      <c r="A1256" s="20">
        <v>40101</v>
      </c>
      <c r="B1256" s="20" t="s">
        <v>400</v>
      </c>
      <c r="C1256" s="21" t="s">
        <v>9174</v>
      </c>
      <c r="E1256" s="20" t="s">
        <v>1831</v>
      </c>
      <c r="F1256" s="20" t="s">
        <v>4584</v>
      </c>
      <c r="H1256" s="20">
        <v>20</v>
      </c>
      <c r="J1256" s="20" t="s">
        <v>116</v>
      </c>
      <c r="K1256" s="20">
        <v>5</v>
      </c>
      <c r="L1256" s="20">
        <v>50</v>
      </c>
      <c r="O1256" s="20">
        <v>0</v>
      </c>
      <c r="W1256" s="20">
        <f>IF(Q1256&lt;&gt;0,3,IF(K1256="","",VLOOKUP(K1256,'#状态名词'!$J$1:$K$15,2,FALSE)))</f>
        <v>1</v>
      </c>
      <c r="AA1256" s="20">
        <v>1</v>
      </c>
      <c r="AB1256" s="20">
        <v>40101</v>
      </c>
      <c r="AC1256" s="20">
        <v>100</v>
      </c>
      <c r="AD1256" s="20">
        <v>1</v>
      </c>
    </row>
    <row r="1257" spans="1:31">
      <c r="A1257" s="20">
        <v>40102</v>
      </c>
      <c r="B1257" s="20" t="s">
        <v>401</v>
      </c>
      <c r="C1257" s="21" t="s">
        <v>8132</v>
      </c>
      <c r="E1257" s="20" t="s">
        <v>1886</v>
      </c>
      <c r="K1257" s="20">
        <v>9</v>
      </c>
      <c r="W1257" s="20">
        <f>IF(Q1257&lt;&gt;0,3,IF(K1257="","",VLOOKUP(K1257,'#状态名词'!$J$1:$K$15,2,FALSE)))</f>
        <v>3</v>
      </c>
      <c r="AA1257" s="20">
        <v>1</v>
      </c>
      <c r="AB1257" s="20">
        <v>61</v>
      </c>
      <c r="AC1257" s="20">
        <v>10</v>
      </c>
      <c r="AD1257" s="20">
        <v>1</v>
      </c>
      <c r="AE1257" s="20" t="s">
        <v>4585</v>
      </c>
    </row>
    <row r="1258" spans="1:31">
      <c r="A1258" s="20">
        <v>40103</v>
      </c>
      <c r="B1258" s="20" t="s">
        <v>402</v>
      </c>
      <c r="C1258" s="21" t="s">
        <v>4586</v>
      </c>
      <c r="E1258" s="20" t="s">
        <v>1744</v>
      </c>
      <c r="K1258" s="20">
        <v>0</v>
      </c>
      <c r="W1258" s="20">
        <f>IF(Q1258&lt;&gt;0,3,IF(K1258="","",VLOOKUP(K1258,'#状态名词'!$J$1:$K$15,2,FALSE)))</f>
        <v>0</v>
      </c>
      <c r="AA1258" s="20">
        <v>1</v>
      </c>
      <c r="AB1258" s="20">
        <v>40103</v>
      </c>
      <c r="AC1258" s="20">
        <v>100</v>
      </c>
      <c r="AD1258" s="20">
        <v>1</v>
      </c>
    </row>
    <row r="1259" spans="1:31">
      <c r="A1259" s="20">
        <v>40104</v>
      </c>
      <c r="B1259" s="20" t="s">
        <v>403</v>
      </c>
      <c r="C1259" s="21" t="s">
        <v>4587</v>
      </c>
      <c r="E1259" s="20" t="s">
        <v>1804</v>
      </c>
      <c r="K1259" s="20">
        <v>0</v>
      </c>
      <c r="W1259" s="20">
        <f>IF(Q1259&lt;&gt;0,3,IF(K1259="","",VLOOKUP(K1259,'#状态名词'!$J$1:$K$15,2,FALSE)))</f>
        <v>0</v>
      </c>
      <c r="AA1259" s="20">
        <v>1</v>
      </c>
      <c r="AB1259" s="20">
        <v>40104</v>
      </c>
      <c r="AC1259" s="20">
        <v>100</v>
      </c>
      <c r="AD1259" s="20">
        <v>1</v>
      </c>
    </row>
    <row r="1260" spans="1:31">
      <c r="A1260" s="20">
        <v>40105</v>
      </c>
      <c r="B1260" s="20" t="s">
        <v>404</v>
      </c>
      <c r="C1260" s="21" t="s">
        <v>8890</v>
      </c>
      <c r="E1260" s="20" t="s">
        <v>1713</v>
      </c>
      <c r="K1260" s="20">
        <v>0</v>
      </c>
      <c r="Q1260" s="20">
        <v>3</v>
      </c>
      <c r="R1260" s="20">
        <v>1</v>
      </c>
      <c r="S1260" s="20">
        <v>30</v>
      </c>
      <c r="W1260" s="20">
        <f>IF(Q1260&lt;&gt;0,3,IF(K1260="","",VLOOKUP(K1260,'#状态名词'!$J$1:$K$15,2,FALSE)))</f>
        <v>3</v>
      </c>
      <c r="AA1260" s="20">
        <v>1</v>
      </c>
      <c r="AB1260" s="20">
        <v>40105</v>
      </c>
      <c r="AC1260" s="20">
        <v>100</v>
      </c>
      <c r="AD1260" s="20">
        <v>1</v>
      </c>
    </row>
    <row r="1261" spans="1:31">
      <c r="A1261" s="20">
        <v>40106</v>
      </c>
      <c r="B1261" s="20" t="s">
        <v>405</v>
      </c>
      <c r="C1261" s="21" t="s">
        <v>464</v>
      </c>
      <c r="E1261" s="20" t="s">
        <v>1759</v>
      </c>
      <c r="K1261" s="20">
        <v>0</v>
      </c>
      <c r="W1261" s="20">
        <f>IF(Q1261&lt;&gt;0,3,IF(K1261="","",VLOOKUP(K1261,'#状态名词'!$J$1:$K$15,2,FALSE)))</f>
        <v>0</v>
      </c>
      <c r="AA1261" s="20">
        <v>1</v>
      </c>
      <c r="AB1261" s="20">
        <v>40106</v>
      </c>
      <c r="AC1261" s="20">
        <v>100</v>
      </c>
      <c r="AD1261" s="20">
        <v>1</v>
      </c>
    </row>
    <row r="1262" spans="1:31">
      <c r="A1262" s="20">
        <v>40107</v>
      </c>
      <c r="B1262" s="20" t="s">
        <v>406</v>
      </c>
      <c r="C1262" s="21" t="s">
        <v>2054</v>
      </c>
      <c r="E1262" s="20" t="s">
        <v>1678</v>
      </c>
      <c r="K1262" s="20">
        <v>0</v>
      </c>
      <c r="W1262" s="20">
        <f>IF(Q1262&lt;&gt;0,3,IF(K1262="","",VLOOKUP(K1262,'#状态名词'!$J$1:$K$15,2,FALSE)))</f>
        <v>0</v>
      </c>
      <c r="AA1262" s="20">
        <v>1</v>
      </c>
      <c r="AB1262" s="20">
        <v>40107</v>
      </c>
      <c r="AC1262" s="20">
        <v>100</v>
      </c>
      <c r="AD1262" s="20">
        <v>1</v>
      </c>
    </row>
    <row r="1263" spans="1:31">
      <c r="A1263" s="20">
        <v>40108</v>
      </c>
      <c r="B1263" s="20" t="s">
        <v>407</v>
      </c>
      <c r="C1263" s="21" t="s">
        <v>4589</v>
      </c>
      <c r="E1263" s="20" t="s">
        <v>1887</v>
      </c>
      <c r="K1263" s="20">
        <v>9</v>
      </c>
      <c r="W1263" s="20">
        <f>IF(Q1263&lt;&gt;0,3,IF(K1263="","",VLOOKUP(K1263,'#状态名词'!$J$1:$K$15,2,FALSE)))</f>
        <v>3</v>
      </c>
      <c r="AA1263" s="20">
        <v>1</v>
      </c>
      <c r="AB1263" s="20">
        <v>40108</v>
      </c>
      <c r="AC1263" s="20">
        <v>100</v>
      </c>
      <c r="AD1263" s="20">
        <v>1</v>
      </c>
    </row>
    <row r="1264" spans="1:31">
      <c r="A1264" s="20">
        <v>40109</v>
      </c>
      <c r="B1264" s="20" t="s">
        <v>4590</v>
      </c>
      <c r="C1264" s="21" t="s">
        <v>4591</v>
      </c>
      <c r="E1264" s="20" t="s">
        <v>1888</v>
      </c>
      <c r="K1264" s="20">
        <v>9</v>
      </c>
      <c r="W1264" s="20">
        <f>IF(Q1264&lt;&gt;0,3,IF(K1264="","",VLOOKUP(K1264,'#状态名词'!$J$1:$K$15,2,FALSE)))</f>
        <v>3</v>
      </c>
      <c r="AA1264" s="20">
        <v>1</v>
      </c>
      <c r="AB1264" s="20">
        <v>42</v>
      </c>
      <c r="AC1264" s="20" t="s">
        <v>486</v>
      </c>
      <c r="AD1264" s="20">
        <v>1</v>
      </c>
      <c r="AE1264" s="20">
        <v>3</v>
      </c>
    </row>
    <row r="1265" spans="1:31">
      <c r="A1265" s="20">
        <v>40110</v>
      </c>
      <c r="B1265" s="20" t="s">
        <v>4592</v>
      </c>
      <c r="C1265" s="21" t="s">
        <v>6635</v>
      </c>
      <c r="E1265" s="20" t="s">
        <v>1889</v>
      </c>
      <c r="H1265" s="20">
        <v>35</v>
      </c>
      <c r="J1265" s="20" t="s">
        <v>116</v>
      </c>
      <c r="K1265" s="20">
        <v>11</v>
      </c>
      <c r="L1265" s="20">
        <v>100</v>
      </c>
      <c r="W1265" s="20">
        <f>IF(Q1265&lt;&gt;0,3,IF(K1265="","",VLOOKUP(K1265,'#状态名词'!$J$1:$K$15,2,FALSE)))</f>
        <v>4</v>
      </c>
      <c r="AA1265" s="20">
        <v>1</v>
      </c>
      <c r="AB1265" s="20">
        <v>40110</v>
      </c>
      <c r="AC1265" s="20">
        <v>100</v>
      </c>
      <c r="AD1265" s="20">
        <v>1</v>
      </c>
    </row>
    <row r="1266" spans="1:31">
      <c r="W1266" s="20" t="str">
        <f>IF(Q1266&lt;&gt;0,3,IF(K1266="","",VLOOKUP(K1266,'#状态名词'!$J$1:$K$15,2,FALSE)))</f>
        <v/>
      </c>
      <c r="AA1266" s="20">
        <v>1</v>
      </c>
      <c r="AB1266" s="20">
        <v>2</v>
      </c>
      <c r="AC1266" s="20">
        <v>100</v>
      </c>
      <c r="AD1266" s="20">
        <v>0</v>
      </c>
      <c r="AE1266" s="20">
        <v>2</v>
      </c>
    </row>
    <row r="1267" spans="1:31">
      <c r="A1267" s="20">
        <v>40111</v>
      </c>
      <c r="B1267" s="20" t="s">
        <v>4594</v>
      </c>
      <c r="C1267" s="21" t="s">
        <v>4595</v>
      </c>
      <c r="E1267" s="20" t="s">
        <v>1692</v>
      </c>
      <c r="K1267" s="20">
        <v>0</v>
      </c>
      <c r="W1267" s="20">
        <f>IF(Q1267&lt;&gt;0,3,IF(K1267="","",VLOOKUP(K1267,'#状态名词'!$J$1:$K$15,2,FALSE)))</f>
        <v>0</v>
      </c>
      <c r="AA1267" s="20">
        <v>1</v>
      </c>
      <c r="AB1267" s="20">
        <v>40111</v>
      </c>
      <c r="AC1267" s="20">
        <v>100</v>
      </c>
      <c r="AD1267" s="20">
        <v>1</v>
      </c>
    </row>
    <row r="1268" spans="1:31">
      <c r="A1268" s="20">
        <v>40112</v>
      </c>
      <c r="B1268" s="20" t="s">
        <v>408</v>
      </c>
      <c r="C1268" s="21" t="s">
        <v>6537</v>
      </c>
      <c r="E1268" s="20" t="s">
        <v>1754</v>
      </c>
      <c r="K1268" s="20">
        <v>0</v>
      </c>
      <c r="W1268" s="20">
        <f>IF(Q1268&lt;&gt;0,3,IF(K1268="","",VLOOKUP(K1268,'#状态名词'!$J$1:$K$15,2,FALSE)))</f>
        <v>0</v>
      </c>
      <c r="AA1268" s="20">
        <v>1</v>
      </c>
      <c r="AB1268" s="20">
        <v>40112</v>
      </c>
      <c r="AC1268" s="20">
        <v>100</v>
      </c>
      <c r="AD1268" s="20">
        <v>1</v>
      </c>
    </row>
    <row r="1269" spans="1:31">
      <c r="A1269" s="20">
        <v>40113</v>
      </c>
      <c r="B1269" s="20" t="s">
        <v>4596</v>
      </c>
      <c r="C1269" s="21" t="s">
        <v>8130</v>
      </c>
      <c r="E1269" s="20" t="s">
        <v>1890</v>
      </c>
      <c r="K1269" s="20">
        <v>0</v>
      </c>
      <c r="Q1269" s="20">
        <v>3</v>
      </c>
      <c r="R1269" s="20">
        <v>1</v>
      </c>
      <c r="S1269" s="20">
        <v>75</v>
      </c>
      <c r="W1269" s="20">
        <f>IF(Q1269&lt;&gt;0,3,IF(K1269="","",VLOOKUP(K1269,'#状态名词'!$J$1:$K$15,2,FALSE)))</f>
        <v>3</v>
      </c>
      <c r="AA1269" s="20">
        <v>1</v>
      </c>
      <c r="AB1269" s="20">
        <v>40113</v>
      </c>
      <c r="AC1269" s="20">
        <v>100</v>
      </c>
      <c r="AD1269" s="20">
        <v>1</v>
      </c>
    </row>
    <row r="1270" spans="1:31">
      <c r="A1270" s="20">
        <v>40114</v>
      </c>
      <c r="B1270" s="20" t="s">
        <v>409</v>
      </c>
      <c r="C1270" s="21" t="s">
        <v>6539</v>
      </c>
      <c r="E1270" s="20" t="s">
        <v>1891</v>
      </c>
      <c r="K1270" s="20">
        <v>0</v>
      </c>
      <c r="W1270" s="20">
        <f>IF(Q1270&lt;&gt;0,3,IF(K1270="","",VLOOKUP(K1270,'#状态名词'!$J$1:$K$15,2,FALSE)))</f>
        <v>0</v>
      </c>
      <c r="AA1270" s="20">
        <v>1</v>
      </c>
      <c r="AB1270" s="20">
        <v>40114</v>
      </c>
      <c r="AC1270" s="20">
        <v>100</v>
      </c>
      <c r="AD1270" s="20">
        <v>1</v>
      </c>
    </row>
    <row r="1271" spans="1:31">
      <c r="A1271" s="20">
        <v>40115</v>
      </c>
      <c r="B1271" s="20" t="s">
        <v>410</v>
      </c>
      <c r="C1271" s="21" t="s">
        <v>8114</v>
      </c>
      <c r="E1271" s="20" t="s">
        <v>1892</v>
      </c>
      <c r="K1271" s="20">
        <v>0</v>
      </c>
      <c r="W1271" s="20">
        <f>IF(Q1271&lt;&gt;0,3,IF(K1271="","",VLOOKUP(K1271,'#状态名词'!$J$1:$K$15,2,FALSE)))</f>
        <v>0</v>
      </c>
      <c r="AA1271" s="20">
        <v>1</v>
      </c>
      <c r="AB1271" s="20">
        <v>40119</v>
      </c>
      <c r="AC1271" s="20">
        <v>100</v>
      </c>
      <c r="AD1271" s="20">
        <v>1</v>
      </c>
    </row>
    <row r="1272" spans="1:31">
      <c r="A1272" s="20">
        <v>40116</v>
      </c>
      <c r="B1272" s="20" t="s">
        <v>411</v>
      </c>
      <c r="C1272" s="21" t="s">
        <v>2055</v>
      </c>
      <c r="E1272" s="20" t="s">
        <v>1817</v>
      </c>
      <c r="K1272" s="20">
        <v>0</v>
      </c>
      <c r="Q1272" s="20">
        <v>3</v>
      </c>
      <c r="R1272" s="20">
        <v>1</v>
      </c>
      <c r="S1272" s="20">
        <v>30</v>
      </c>
      <c r="W1272" s="20">
        <f>IF(Q1272&lt;&gt;0,3,IF(K1272="","",VLOOKUP(K1272,'#状态名词'!$J$1:$K$15,2,FALSE)))</f>
        <v>3</v>
      </c>
      <c r="AA1272" s="20">
        <v>1</v>
      </c>
      <c r="AB1272" s="20">
        <v>40116</v>
      </c>
      <c r="AC1272" s="20">
        <v>100</v>
      </c>
      <c r="AD1272" s="20">
        <v>1</v>
      </c>
    </row>
    <row r="1273" spans="1:31">
      <c r="A1273" s="20">
        <v>40117</v>
      </c>
      <c r="B1273" s="20" t="s">
        <v>4598</v>
      </c>
      <c r="C1273" s="21" t="s">
        <v>4599</v>
      </c>
      <c r="E1273" s="20" t="s">
        <v>1893</v>
      </c>
      <c r="K1273" s="20">
        <v>10</v>
      </c>
      <c r="W1273" s="20">
        <f>IF(Q1273&lt;&gt;0,3,IF(K1273="","",VLOOKUP(K1273,'#状态名词'!$J$1:$K$15,2,FALSE)))</f>
        <v>3</v>
      </c>
      <c r="AA1273" s="20">
        <v>1</v>
      </c>
      <c r="AB1273" s="20">
        <v>40120</v>
      </c>
      <c r="AC1273" s="20">
        <v>100</v>
      </c>
      <c r="AD1273" s="20">
        <v>1</v>
      </c>
    </row>
    <row r="1274" spans="1:31">
      <c r="A1274" s="20">
        <v>40118</v>
      </c>
      <c r="B1274" s="20" t="s">
        <v>412</v>
      </c>
      <c r="C1274" s="21" t="s">
        <v>6657</v>
      </c>
      <c r="E1274" s="20" t="s">
        <v>1894</v>
      </c>
      <c r="K1274" s="20">
        <v>0</v>
      </c>
      <c r="Q1274" s="20">
        <v>2</v>
      </c>
      <c r="R1274" s="20">
        <v>0</v>
      </c>
      <c r="S1274" s="20">
        <v>80</v>
      </c>
      <c r="W1274" s="20">
        <f>IF(Q1274&lt;&gt;0,3,IF(K1274="","",VLOOKUP(K1274,'#状态名词'!$J$1:$K$15,2,FALSE)))</f>
        <v>3</v>
      </c>
      <c r="AA1274" s="20">
        <v>1</v>
      </c>
      <c r="AB1274" s="20">
        <v>40118</v>
      </c>
      <c r="AC1274" s="20">
        <v>100</v>
      </c>
      <c r="AD1274" s="20">
        <v>1</v>
      </c>
    </row>
    <row r="1275" spans="1:31" ht="27">
      <c r="A1275" s="20">
        <v>40201</v>
      </c>
      <c r="B1275" s="20" t="s">
        <v>413</v>
      </c>
      <c r="C1275" s="21" t="s">
        <v>4601</v>
      </c>
      <c r="E1275" s="20" t="s">
        <v>1895</v>
      </c>
      <c r="F1275" s="20" t="s">
        <v>4602</v>
      </c>
      <c r="H1275" s="20">
        <v>30</v>
      </c>
      <c r="J1275" s="20" t="s">
        <v>115</v>
      </c>
      <c r="K1275" s="20">
        <v>1</v>
      </c>
      <c r="L1275" s="20">
        <v>60</v>
      </c>
      <c r="O1275" s="20">
        <v>0</v>
      </c>
      <c r="W1275" s="20">
        <f>IF(Q1275&lt;&gt;0,3,IF(K1275="","",VLOOKUP(K1275,'#状态名词'!$J$1:$K$15,2,FALSE)))</f>
        <v>1</v>
      </c>
      <c r="AA1275" s="20">
        <v>1</v>
      </c>
      <c r="AB1275" s="20">
        <v>40201</v>
      </c>
      <c r="AC1275" s="20">
        <v>100</v>
      </c>
      <c r="AD1275" s="20">
        <v>1</v>
      </c>
    </row>
    <row r="1276" spans="1:31">
      <c r="A1276" s="20">
        <v>40202</v>
      </c>
      <c r="B1276" s="20" t="s">
        <v>414</v>
      </c>
      <c r="C1276" s="21" t="s">
        <v>4586</v>
      </c>
      <c r="E1276" s="20" t="s">
        <v>1841</v>
      </c>
      <c r="K1276" s="20">
        <v>0</v>
      </c>
      <c r="W1276" s="20">
        <f>IF(Q1276&lt;&gt;0,3,IF(K1276="","",VLOOKUP(K1276,'#状态名词'!$J$1:$K$15,2,FALSE)))</f>
        <v>0</v>
      </c>
      <c r="AA1276" s="20">
        <v>1</v>
      </c>
      <c r="AB1276" s="20">
        <v>40202</v>
      </c>
      <c r="AC1276" s="20">
        <v>100</v>
      </c>
      <c r="AD1276" s="20">
        <v>1</v>
      </c>
    </row>
    <row r="1277" spans="1:31">
      <c r="A1277" s="20">
        <v>40203</v>
      </c>
      <c r="B1277" s="20" t="s">
        <v>415</v>
      </c>
      <c r="C1277" s="21" t="s">
        <v>464</v>
      </c>
      <c r="E1277" s="20" t="s">
        <v>1896</v>
      </c>
      <c r="K1277" s="20">
        <v>0</v>
      </c>
      <c r="W1277" s="20">
        <f>IF(Q1277&lt;&gt;0,3,IF(K1277="","",VLOOKUP(K1277,'#状态名词'!$J$1:$K$15,2,FALSE)))</f>
        <v>0</v>
      </c>
      <c r="AA1277" s="20">
        <v>1</v>
      </c>
      <c r="AB1277" s="20">
        <v>40203</v>
      </c>
      <c r="AC1277" s="20">
        <v>100</v>
      </c>
      <c r="AD1277" s="20">
        <v>1</v>
      </c>
    </row>
    <row r="1278" spans="1:31">
      <c r="A1278" s="20">
        <v>40204</v>
      </c>
      <c r="B1278" s="20" t="s">
        <v>416</v>
      </c>
      <c r="C1278" s="21" t="s">
        <v>4603</v>
      </c>
      <c r="E1278" s="20" t="s">
        <v>1684</v>
      </c>
      <c r="K1278" s="20">
        <v>0</v>
      </c>
      <c r="W1278" s="20">
        <f>IF(Q1278&lt;&gt;0,3,IF(K1278="","",VLOOKUP(K1278,'#状态名词'!$J$1:$K$15,2,FALSE)))</f>
        <v>0</v>
      </c>
      <c r="AA1278" s="20">
        <v>1</v>
      </c>
      <c r="AB1278" s="20">
        <v>40204</v>
      </c>
      <c r="AC1278" s="20">
        <v>100</v>
      </c>
      <c r="AD1278" s="20">
        <v>1</v>
      </c>
    </row>
    <row r="1279" spans="1:31">
      <c r="A1279" s="20">
        <v>40205</v>
      </c>
      <c r="B1279" s="20" t="s">
        <v>417</v>
      </c>
      <c r="C1279" s="21" t="s">
        <v>4604</v>
      </c>
      <c r="E1279" s="20" t="s">
        <v>1687</v>
      </c>
      <c r="G1279" s="20">
        <v>1</v>
      </c>
      <c r="K1279" s="20">
        <v>0</v>
      </c>
      <c r="W1279" s="20">
        <f>IF(Q1279&lt;&gt;0,3,IF(K1279="","",VLOOKUP(K1279,'#状态名词'!$J$1:$K$15,2,FALSE)))</f>
        <v>0</v>
      </c>
      <c r="AA1279" s="20">
        <v>1</v>
      </c>
      <c r="AB1279" s="20">
        <v>13</v>
      </c>
      <c r="AC1279" s="20" t="s">
        <v>496</v>
      </c>
      <c r="AD1279" s="20">
        <v>0</v>
      </c>
      <c r="AE1279" s="20">
        <v>3</v>
      </c>
    </row>
    <row r="1280" spans="1:31">
      <c r="A1280" s="20">
        <v>40206</v>
      </c>
      <c r="B1280" s="20" t="s">
        <v>419</v>
      </c>
      <c r="C1280" s="21" t="s">
        <v>4605</v>
      </c>
      <c r="E1280" s="20" t="s">
        <v>1897</v>
      </c>
      <c r="K1280" s="20">
        <v>0</v>
      </c>
      <c r="W1280" s="20">
        <f>IF(Q1280&lt;&gt;0,3,IF(K1280="","",VLOOKUP(K1280,'#状态名词'!$J$1:$K$15,2,FALSE)))</f>
        <v>0</v>
      </c>
      <c r="AA1280" s="20">
        <v>1</v>
      </c>
      <c r="AB1280" s="20">
        <v>40206</v>
      </c>
      <c r="AC1280" s="20">
        <v>100</v>
      </c>
      <c r="AD1280" s="20">
        <v>1</v>
      </c>
    </row>
    <row r="1281" spans="1:31">
      <c r="A1281" s="20">
        <v>40207</v>
      </c>
      <c r="B1281" s="20" t="s">
        <v>420</v>
      </c>
      <c r="C1281" s="21" t="s">
        <v>4606</v>
      </c>
      <c r="E1281" s="20" t="s">
        <v>1674</v>
      </c>
      <c r="K1281" s="20">
        <v>0</v>
      </c>
      <c r="W1281" s="20">
        <f>IF(Q1281&lt;&gt;0,3,IF(K1281="","",VLOOKUP(K1281,'#状态名词'!$J$1:$K$15,2,FALSE)))</f>
        <v>0</v>
      </c>
      <c r="AA1281" s="20">
        <v>1</v>
      </c>
      <c r="AB1281" s="20">
        <v>40207</v>
      </c>
      <c r="AC1281" s="20">
        <v>100</v>
      </c>
      <c r="AD1281" s="20">
        <v>1</v>
      </c>
    </row>
    <row r="1282" spans="1:31">
      <c r="A1282" s="20">
        <v>40208</v>
      </c>
      <c r="B1282" s="20" t="s">
        <v>38</v>
      </c>
      <c r="C1282" s="21" t="s">
        <v>4607</v>
      </c>
      <c r="E1282" s="20" t="s">
        <v>1898</v>
      </c>
      <c r="G1282" s="20">
        <v>1</v>
      </c>
      <c r="K1282" s="20">
        <v>0</v>
      </c>
      <c r="W1282" s="20">
        <f>IF(Q1282&lt;&gt;0,3,IF(K1282="","",VLOOKUP(K1282,'#状态名词'!$J$1:$K$15,2,FALSE)))</f>
        <v>0</v>
      </c>
      <c r="AA1282" s="20">
        <v>1</v>
      </c>
      <c r="AB1282" s="20">
        <v>2</v>
      </c>
      <c r="AC1282" s="20" t="s">
        <v>496</v>
      </c>
      <c r="AD1282" s="20">
        <v>0</v>
      </c>
      <c r="AE1282" s="20">
        <v>3</v>
      </c>
    </row>
    <row r="1283" spans="1:31">
      <c r="A1283" s="20">
        <v>40209</v>
      </c>
      <c r="B1283" s="20" t="s">
        <v>421</v>
      </c>
      <c r="C1283" s="21" t="s">
        <v>4608</v>
      </c>
      <c r="E1283" s="20" t="s">
        <v>1899</v>
      </c>
      <c r="G1283" s="20">
        <v>1</v>
      </c>
      <c r="K1283" s="20">
        <v>0</v>
      </c>
      <c r="W1283" s="20">
        <f>IF(Q1283&lt;&gt;0,3,IF(K1283="","",VLOOKUP(K1283,'#状态名词'!$J$1:$K$15,2,FALSE)))</f>
        <v>0</v>
      </c>
      <c r="AA1283" s="20">
        <v>1</v>
      </c>
      <c r="AB1283" s="20">
        <v>40209</v>
      </c>
      <c r="AC1283" s="20">
        <v>100</v>
      </c>
      <c r="AD1283" s="20">
        <v>0</v>
      </c>
    </row>
    <row r="1284" spans="1:31">
      <c r="W1284" s="20" t="str">
        <f>IF(Q1284&lt;&gt;0,3,IF(K1284="","",VLOOKUP(K1284,'#状态名词'!$J$1:$K$15,2,FALSE)))</f>
        <v/>
      </c>
      <c r="AA1284" s="20">
        <v>1</v>
      </c>
      <c r="AB1284" s="20">
        <v>40220</v>
      </c>
      <c r="AC1284" s="20">
        <v>15</v>
      </c>
      <c r="AD1284" s="20">
        <v>1</v>
      </c>
    </row>
    <row r="1285" spans="1:31">
      <c r="A1285" s="20">
        <v>40210</v>
      </c>
      <c r="B1285" s="20" t="s">
        <v>422</v>
      </c>
      <c r="C1285" s="21" t="s">
        <v>6540</v>
      </c>
      <c r="E1285" s="20" t="s">
        <v>1900</v>
      </c>
      <c r="K1285" s="20">
        <v>0</v>
      </c>
      <c r="W1285" s="20">
        <f>IF(Q1285&lt;&gt;0,3,IF(K1285="","",VLOOKUP(K1285,'#状态名词'!$J$1:$K$15,2,FALSE)))</f>
        <v>0</v>
      </c>
      <c r="AA1285" s="20">
        <v>1</v>
      </c>
      <c r="AB1285" s="20">
        <v>40210</v>
      </c>
      <c r="AC1285" s="20">
        <v>100</v>
      </c>
      <c r="AD1285" s="20">
        <v>1</v>
      </c>
    </row>
    <row r="1286" spans="1:31">
      <c r="A1286" s="20">
        <v>40211</v>
      </c>
      <c r="B1286" s="20" t="s">
        <v>423</v>
      </c>
      <c r="C1286" s="21" t="s">
        <v>4610</v>
      </c>
      <c r="E1286" s="20" t="s">
        <v>1830</v>
      </c>
      <c r="G1286" s="20">
        <v>40201</v>
      </c>
      <c r="K1286" s="20">
        <v>9</v>
      </c>
      <c r="W1286" s="20">
        <f>IF(Q1286&lt;&gt;0,3,IF(K1286="","",VLOOKUP(K1286,'#状态名词'!$J$1:$K$15,2,FALSE)))</f>
        <v>3</v>
      </c>
      <c r="Y1286" s="20">
        <v>10</v>
      </c>
      <c r="Z1286" s="20">
        <v>40219</v>
      </c>
      <c r="AA1286" s="20">
        <v>1</v>
      </c>
      <c r="AB1286" s="20">
        <v>40211</v>
      </c>
      <c r="AC1286" s="20">
        <v>100</v>
      </c>
      <c r="AD1286" s="20">
        <v>1</v>
      </c>
    </row>
    <row r="1287" spans="1:31">
      <c r="W1287" s="20" t="str">
        <f>IF(Q1287&lt;&gt;0,3,IF(K1287="","",VLOOKUP(K1287,'#状态名词'!$J$1:$K$15,2,FALSE)))</f>
        <v/>
      </c>
      <c r="Y1287" s="20">
        <v>20</v>
      </c>
      <c r="Z1287" s="20">
        <v>40220</v>
      </c>
    </row>
    <row r="1288" spans="1:31">
      <c r="A1288" s="20">
        <v>40212</v>
      </c>
      <c r="B1288" s="20" t="s">
        <v>424</v>
      </c>
      <c r="C1288" s="21" t="s">
        <v>2056</v>
      </c>
      <c r="E1288" s="20" t="s">
        <v>1901</v>
      </c>
      <c r="K1288" s="20">
        <v>0</v>
      </c>
      <c r="W1288" s="20">
        <f>IF(Q1288&lt;&gt;0,3,IF(K1288="","",VLOOKUP(K1288,'#状态名词'!$J$1:$K$15,2,FALSE)))</f>
        <v>0</v>
      </c>
      <c r="AA1288" s="20">
        <v>1</v>
      </c>
      <c r="AB1288" s="20">
        <v>40212</v>
      </c>
      <c r="AC1288" s="20">
        <v>100</v>
      </c>
      <c r="AD1288" s="20">
        <v>1</v>
      </c>
    </row>
    <row r="1289" spans="1:31">
      <c r="A1289" s="20">
        <v>40213</v>
      </c>
      <c r="B1289" s="20" t="s">
        <v>425</v>
      </c>
      <c r="C1289" s="21" t="s">
        <v>2057</v>
      </c>
      <c r="E1289" s="20" t="s">
        <v>1902</v>
      </c>
      <c r="J1289" s="19"/>
      <c r="K1289" s="20">
        <v>0</v>
      </c>
      <c r="W1289" s="20">
        <f>IF(Q1289&lt;&gt;0,3,IF(K1289="","",VLOOKUP(K1289,'#状态名词'!$J$1:$K$15,2,FALSE)))</f>
        <v>0</v>
      </c>
      <c r="AA1289" s="20">
        <v>1</v>
      </c>
      <c r="AB1289" s="20">
        <v>40213</v>
      </c>
      <c r="AC1289" s="20">
        <v>100</v>
      </c>
      <c r="AD1289" s="20">
        <v>1</v>
      </c>
    </row>
    <row r="1290" spans="1:31">
      <c r="A1290" s="20">
        <v>40214</v>
      </c>
      <c r="B1290" s="20" t="s">
        <v>426</v>
      </c>
      <c r="C1290" s="21" t="s">
        <v>4613</v>
      </c>
      <c r="E1290" s="20" t="s">
        <v>1903</v>
      </c>
      <c r="G1290" s="31">
        <v>1</v>
      </c>
      <c r="K1290" s="20">
        <v>0</v>
      </c>
      <c r="W1290" s="20">
        <f>IF(Q1290&lt;&gt;0,3,IF(K1290="","",VLOOKUP(K1290,'#状态名词'!$J$1:$K$15,2,FALSE)))</f>
        <v>0</v>
      </c>
      <c r="AA1290" s="20">
        <v>1</v>
      </c>
      <c r="AB1290" s="20">
        <v>40214</v>
      </c>
      <c r="AC1290" s="20">
        <v>100</v>
      </c>
      <c r="AD1290" s="20">
        <v>1</v>
      </c>
    </row>
    <row r="1291" spans="1:31">
      <c r="A1291" s="20">
        <v>40215</v>
      </c>
      <c r="B1291" s="20" t="s">
        <v>427</v>
      </c>
      <c r="C1291" s="21" t="s">
        <v>4614</v>
      </c>
      <c r="E1291" s="20" t="s">
        <v>1904</v>
      </c>
      <c r="K1291" s="20">
        <v>0</v>
      </c>
      <c r="W1291" s="20">
        <f>IF(Q1291&lt;&gt;0,3,IF(K1291="","",VLOOKUP(K1291,'#状态名词'!$J$1:$K$15,2,FALSE)))</f>
        <v>0</v>
      </c>
      <c r="AA1291" s="20">
        <v>1</v>
      </c>
      <c r="AB1291" s="20">
        <v>40215</v>
      </c>
      <c r="AC1291" s="20">
        <v>100</v>
      </c>
      <c r="AD1291" s="20">
        <v>1</v>
      </c>
    </row>
    <row r="1292" spans="1:31">
      <c r="A1292" s="20">
        <v>40216</v>
      </c>
      <c r="B1292" s="20" t="s">
        <v>428</v>
      </c>
      <c r="C1292" s="21" t="s">
        <v>6550</v>
      </c>
      <c r="E1292" s="20" t="s">
        <v>1905</v>
      </c>
      <c r="K1292" s="20">
        <v>0</v>
      </c>
      <c r="Q1292" s="20">
        <v>1</v>
      </c>
      <c r="R1292" s="20">
        <v>2</v>
      </c>
      <c r="S1292" s="20">
        <v>1</v>
      </c>
      <c r="W1292" s="20">
        <f>IF(Q1292&lt;&gt;0,3,IF(K1292="","",VLOOKUP(K1292,'#状态名词'!$J$1:$K$15,2,FALSE)))</f>
        <v>3</v>
      </c>
      <c r="AA1292" s="20">
        <v>1</v>
      </c>
      <c r="AB1292" s="20">
        <v>40216</v>
      </c>
      <c r="AC1292" s="20">
        <v>100</v>
      </c>
      <c r="AD1292" s="20">
        <v>1</v>
      </c>
    </row>
    <row r="1293" spans="1:31">
      <c r="A1293" s="20">
        <v>40217</v>
      </c>
      <c r="B1293" s="20" t="s">
        <v>429</v>
      </c>
      <c r="C1293" s="21" t="s">
        <v>6542</v>
      </c>
      <c r="E1293" s="20" t="s">
        <v>1906</v>
      </c>
      <c r="K1293" s="20">
        <v>0</v>
      </c>
      <c r="W1293" s="20">
        <f>IF(Q1293&lt;&gt;0,3,IF(K1293="","",VLOOKUP(K1293,'#状态名词'!$J$1:$K$15,2,FALSE)))</f>
        <v>0</v>
      </c>
      <c r="AA1293" s="20">
        <v>1</v>
      </c>
      <c r="AB1293" s="20">
        <v>40217</v>
      </c>
      <c r="AC1293" s="20">
        <v>100</v>
      </c>
      <c r="AD1293" s="20">
        <v>1</v>
      </c>
    </row>
    <row r="1294" spans="1:31">
      <c r="A1294" s="20">
        <v>40218</v>
      </c>
      <c r="B1294" s="20" t="s">
        <v>430</v>
      </c>
      <c r="C1294" s="21" t="s">
        <v>8115</v>
      </c>
      <c r="E1294" s="20" t="s">
        <v>1907</v>
      </c>
      <c r="K1294" s="20">
        <v>0</v>
      </c>
      <c r="W1294" s="20">
        <f>IF(Q1294&lt;&gt;0,3,IF(K1294="","",VLOOKUP(K1294,'#状态名词'!$J$1:$K$15,2,FALSE)))</f>
        <v>0</v>
      </c>
      <c r="AA1294" s="20">
        <v>1</v>
      </c>
      <c r="AB1294" s="20">
        <v>40218</v>
      </c>
      <c r="AC1294" s="20">
        <v>100</v>
      </c>
      <c r="AD1294" s="20">
        <v>1</v>
      </c>
    </row>
    <row r="1295" spans="1:31">
      <c r="A1295" s="20">
        <v>40219</v>
      </c>
      <c r="B1295" s="20" t="s">
        <v>4611</v>
      </c>
      <c r="C1295" s="21" t="s">
        <v>6541</v>
      </c>
      <c r="G1295" s="20">
        <v>40201</v>
      </c>
      <c r="K1295" s="20">
        <v>9</v>
      </c>
      <c r="W1295" s="20">
        <f>IF(Q1295&lt;&gt;0,3,IF(K1295="","",VLOOKUP(K1295,'#状态名词'!$J$1:$K$15,2,FALSE)))</f>
        <v>3</v>
      </c>
      <c r="AA1295" s="20">
        <v>1</v>
      </c>
      <c r="AB1295" s="20">
        <v>44</v>
      </c>
      <c r="AC1295" s="20">
        <v>100</v>
      </c>
      <c r="AD1295" s="20">
        <v>1</v>
      </c>
      <c r="AE1295" s="20">
        <v>1</v>
      </c>
    </row>
    <row r="1296" spans="1:31">
      <c r="A1296" s="20">
        <v>40220</v>
      </c>
      <c r="B1296" s="20" t="s">
        <v>4612</v>
      </c>
      <c r="C1296" s="21" t="s">
        <v>6541</v>
      </c>
      <c r="G1296" s="20">
        <v>40201</v>
      </c>
      <c r="J1296" s="19"/>
      <c r="K1296" s="20">
        <v>9</v>
      </c>
      <c r="W1296" s="20">
        <f>IF(Q1296&lt;&gt;0,3,IF(K1296="","",VLOOKUP(K1296,'#状态名词'!$J$1:$K$15,2,FALSE)))</f>
        <v>3</v>
      </c>
      <c r="AA1296" s="20">
        <v>1</v>
      </c>
      <c r="AB1296" s="20">
        <v>44</v>
      </c>
      <c r="AC1296" s="20">
        <v>100</v>
      </c>
      <c r="AD1296" s="20">
        <v>1</v>
      </c>
      <c r="AE1296" s="20">
        <v>1</v>
      </c>
    </row>
    <row r="1297" spans="1:31" ht="27">
      <c r="A1297" s="20">
        <v>40301</v>
      </c>
      <c r="B1297" s="20" t="s">
        <v>4617</v>
      </c>
      <c r="C1297" s="21" t="s">
        <v>4618</v>
      </c>
      <c r="E1297" s="20" t="s">
        <v>1909</v>
      </c>
      <c r="F1297" s="20" t="s">
        <v>4619</v>
      </c>
      <c r="H1297" s="20">
        <v>28</v>
      </c>
      <c r="J1297" s="20" t="s">
        <v>1464</v>
      </c>
      <c r="K1297" s="20">
        <v>5</v>
      </c>
      <c r="L1297" s="20">
        <v>60</v>
      </c>
      <c r="O1297" s="20">
        <v>1</v>
      </c>
      <c r="W1297" s="20">
        <f>IF(Q1297&lt;&gt;0,3,IF(K1297="","",VLOOKUP(K1297,'#状态名词'!$J$1:$K$15,2,FALSE)))</f>
        <v>1</v>
      </c>
      <c r="AA1297" s="20">
        <v>1</v>
      </c>
      <c r="AB1297" s="20">
        <v>11</v>
      </c>
      <c r="AC1297" s="20">
        <v>50</v>
      </c>
      <c r="AD1297" s="20">
        <v>0</v>
      </c>
    </row>
    <row r="1298" spans="1:31">
      <c r="A1298" s="20">
        <v>40302</v>
      </c>
      <c r="B1298" s="20" t="s">
        <v>431</v>
      </c>
      <c r="C1298" s="21" t="s">
        <v>6543</v>
      </c>
      <c r="E1298" s="20" t="s">
        <v>1908</v>
      </c>
      <c r="J1298" s="19"/>
      <c r="K1298" s="20">
        <v>9</v>
      </c>
      <c r="W1298" s="20">
        <f>IF(Q1298&lt;&gt;0,3,IF(K1298="","",VLOOKUP(K1298,'#状态名词'!$J$1:$K$15,2,FALSE)))</f>
        <v>3</v>
      </c>
      <c r="Y1298" s="20">
        <v>1</v>
      </c>
      <c r="Z1298" s="20">
        <v>40300</v>
      </c>
      <c r="AA1298" s="20">
        <v>1</v>
      </c>
      <c r="AB1298" s="20">
        <v>12</v>
      </c>
      <c r="AC1298" s="20" t="s">
        <v>486</v>
      </c>
      <c r="AD1298" s="20">
        <v>0</v>
      </c>
    </row>
    <row r="1299" spans="1:31">
      <c r="A1299" s="20">
        <v>40300</v>
      </c>
      <c r="B1299" s="31" t="s">
        <v>8134</v>
      </c>
      <c r="K1299" s="20">
        <v>0</v>
      </c>
      <c r="W1299" s="20">
        <f>IF(Q1299&lt;&gt;0,3,IF(K1299="","",VLOOKUP(K1299,'#状态名词'!$J$1:$K$15,2,FALSE)))</f>
        <v>0</v>
      </c>
      <c r="AA1299" s="20">
        <v>1</v>
      </c>
      <c r="AB1299" s="20">
        <v>40301</v>
      </c>
      <c r="AC1299" s="20">
        <v>100</v>
      </c>
      <c r="AD1299" s="20">
        <v>1</v>
      </c>
    </row>
    <row r="1300" spans="1:31">
      <c r="A1300" s="20">
        <v>40303</v>
      </c>
      <c r="B1300" s="20" t="s">
        <v>432</v>
      </c>
      <c r="C1300" s="21" t="s">
        <v>6544</v>
      </c>
      <c r="E1300" s="20" t="s">
        <v>1910</v>
      </c>
      <c r="K1300" s="20">
        <v>0</v>
      </c>
      <c r="W1300" s="20">
        <f>IF(Q1300&lt;&gt;0,3,IF(K1300="","",VLOOKUP(K1300,'#状态名词'!$J$1:$K$15,2,FALSE)))</f>
        <v>0</v>
      </c>
      <c r="AA1300" s="20">
        <v>1</v>
      </c>
      <c r="AB1300" s="20">
        <v>40303</v>
      </c>
      <c r="AC1300" s="20">
        <v>100</v>
      </c>
      <c r="AD1300" s="20">
        <v>1</v>
      </c>
    </row>
    <row r="1301" spans="1:31" ht="27">
      <c r="A1301" s="20">
        <v>40304</v>
      </c>
      <c r="B1301" s="20" t="s">
        <v>433</v>
      </c>
      <c r="C1301" s="21" t="s">
        <v>4620</v>
      </c>
      <c r="E1301" s="20" t="s">
        <v>1911</v>
      </c>
      <c r="F1301" s="20" t="s">
        <v>4621</v>
      </c>
      <c r="H1301" s="20">
        <v>20</v>
      </c>
      <c r="J1301" s="20" t="s">
        <v>1478</v>
      </c>
      <c r="K1301" s="20">
        <v>3</v>
      </c>
      <c r="L1301" s="20">
        <v>30</v>
      </c>
      <c r="O1301" s="20">
        <v>1</v>
      </c>
      <c r="W1301" s="20">
        <f>IF(Q1301&lt;&gt;0,3,IF(K1301="","",VLOOKUP(K1301,'#状态名词'!$J$1:$K$15,2,FALSE)))</f>
        <v>3</v>
      </c>
    </row>
    <row r="1302" spans="1:31">
      <c r="A1302" s="20">
        <v>40305</v>
      </c>
      <c r="B1302" s="20" t="s">
        <v>434</v>
      </c>
      <c r="C1302" s="21" t="s">
        <v>4622</v>
      </c>
      <c r="E1302" s="20" t="s">
        <v>1912</v>
      </c>
      <c r="K1302" s="20">
        <v>0</v>
      </c>
      <c r="W1302" s="20">
        <f>IF(Q1302&lt;&gt;0,3,IF(K1302="","",VLOOKUP(K1302,'#状态名词'!$J$1:$K$15,2,FALSE)))</f>
        <v>0</v>
      </c>
      <c r="AA1302" s="20">
        <v>1</v>
      </c>
      <c r="AB1302" s="20">
        <v>40305</v>
      </c>
      <c r="AC1302" s="20">
        <v>100</v>
      </c>
      <c r="AD1302" s="20">
        <v>1</v>
      </c>
    </row>
    <row r="1303" spans="1:31">
      <c r="A1303" s="20">
        <v>40306</v>
      </c>
      <c r="B1303" s="20" t="s">
        <v>435</v>
      </c>
      <c r="C1303" s="21" t="s">
        <v>6545</v>
      </c>
      <c r="E1303" s="20" t="s">
        <v>1913</v>
      </c>
      <c r="J1303" s="19"/>
      <c r="K1303" s="20">
        <v>9</v>
      </c>
      <c r="W1303" s="20">
        <f>IF(Q1303&lt;&gt;0,3,IF(K1303="","",VLOOKUP(K1303,'#状态名词'!$J$1:$K$15,2,FALSE)))</f>
        <v>3</v>
      </c>
      <c r="AA1303" s="20">
        <v>1</v>
      </c>
      <c r="AB1303" s="20">
        <v>40306</v>
      </c>
      <c r="AC1303" s="20">
        <v>100</v>
      </c>
      <c r="AD1303" s="20">
        <v>1</v>
      </c>
    </row>
    <row r="1304" spans="1:31">
      <c r="A1304" s="20">
        <v>40307</v>
      </c>
      <c r="B1304" s="20" t="s">
        <v>4624</v>
      </c>
      <c r="C1304" s="21" t="s">
        <v>4625</v>
      </c>
      <c r="E1304" s="20" t="s">
        <v>1880</v>
      </c>
      <c r="K1304" s="20">
        <v>0</v>
      </c>
      <c r="W1304" s="20">
        <f>IF(Q1304&lt;&gt;0,3,IF(K1304="","",VLOOKUP(K1304,'#状态名词'!$J$1:$K$15,2,FALSE)))</f>
        <v>0</v>
      </c>
      <c r="AA1304" s="20">
        <v>1</v>
      </c>
      <c r="AB1304" s="20">
        <v>40307</v>
      </c>
      <c r="AC1304" s="20">
        <v>100</v>
      </c>
      <c r="AD1304" s="20">
        <v>1</v>
      </c>
    </row>
    <row r="1305" spans="1:31">
      <c r="A1305" s="20">
        <v>40308</v>
      </c>
      <c r="B1305" s="20" t="s">
        <v>4626</v>
      </c>
      <c r="C1305" s="21" t="s">
        <v>4627</v>
      </c>
      <c r="E1305" s="20" t="s">
        <v>1914</v>
      </c>
      <c r="K1305" s="20">
        <v>0</v>
      </c>
      <c r="W1305" s="20">
        <f>IF(Q1305&lt;&gt;0,3,IF(K1305="","",VLOOKUP(K1305,'#状态名词'!$J$1:$K$15,2,FALSE)))</f>
        <v>0</v>
      </c>
      <c r="AA1305" s="20">
        <v>1</v>
      </c>
      <c r="AB1305" s="20">
        <v>40308</v>
      </c>
      <c r="AC1305" s="20">
        <v>100</v>
      </c>
      <c r="AD1305" s="20">
        <v>1</v>
      </c>
    </row>
    <row r="1306" spans="1:31">
      <c r="A1306" s="20">
        <v>40309</v>
      </c>
      <c r="B1306" s="20" t="s">
        <v>436</v>
      </c>
      <c r="C1306" s="21" t="s">
        <v>4628</v>
      </c>
      <c r="E1306" s="20" t="s">
        <v>1915</v>
      </c>
      <c r="K1306" s="20">
        <v>0</v>
      </c>
      <c r="W1306" s="20">
        <f>IF(Q1306&lt;&gt;0,3,IF(K1306="","",VLOOKUP(K1306,'#状态名词'!$J$1:$K$15,2,FALSE)))</f>
        <v>0</v>
      </c>
      <c r="AA1306" s="20">
        <v>1</v>
      </c>
      <c r="AB1306" s="20">
        <v>40309</v>
      </c>
      <c r="AC1306" s="20">
        <v>100</v>
      </c>
      <c r="AD1306" s="20">
        <v>1</v>
      </c>
    </row>
    <row r="1307" spans="1:31">
      <c r="A1307" s="20">
        <v>40310</v>
      </c>
      <c r="B1307" s="20" t="s">
        <v>4629</v>
      </c>
      <c r="C1307" s="21" t="s">
        <v>7496</v>
      </c>
      <c r="E1307" s="20" t="s">
        <v>1782</v>
      </c>
      <c r="H1307" s="20">
        <v>100</v>
      </c>
      <c r="J1307" s="20" t="s">
        <v>1518</v>
      </c>
      <c r="K1307" s="20">
        <v>11</v>
      </c>
      <c r="W1307" s="20">
        <f>IF(Q1307&lt;&gt;0,3,IF(K1307="","",VLOOKUP(K1307,'#状态名词'!$J$1:$K$15,2,FALSE)))</f>
        <v>4</v>
      </c>
      <c r="AA1307" s="20">
        <v>1</v>
      </c>
      <c r="AB1307" s="20">
        <v>50</v>
      </c>
      <c r="AC1307" s="20">
        <v>100</v>
      </c>
      <c r="AD1307" s="20">
        <v>1</v>
      </c>
      <c r="AE1307" s="20">
        <v>1</v>
      </c>
    </row>
    <row r="1308" spans="1:31">
      <c r="W1308" s="20" t="str">
        <f>IF(Q1308&lt;&gt;0,3,IF(K1308="","",VLOOKUP(K1308,'#状态名词'!$J$1:$K$15,2,FALSE)))</f>
        <v/>
      </c>
      <c r="AA1308" s="20">
        <v>1</v>
      </c>
      <c r="AB1308" s="20">
        <v>40319</v>
      </c>
      <c r="AC1308" s="20">
        <v>100</v>
      </c>
      <c r="AD1308" s="20">
        <v>1</v>
      </c>
    </row>
    <row r="1309" spans="1:31">
      <c r="A1309" s="20">
        <v>40311</v>
      </c>
      <c r="B1309" s="20" t="s">
        <v>437</v>
      </c>
      <c r="C1309" s="21" t="s">
        <v>2059</v>
      </c>
      <c r="E1309" s="20" t="s">
        <v>1813</v>
      </c>
      <c r="K1309" s="20">
        <v>0</v>
      </c>
      <c r="W1309" s="20">
        <f>IF(Q1309&lt;&gt;0,3,IF(K1309="","",VLOOKUP(K1309,'#状态名词'!$J$1:$K$15,2,FALSE)))</f>
        <v>0</v>
      </c>
      <c r="AA1309" s="20">
        <v>1</v>
      </c>
      <c r="AB1309" s="20">
        <v>40311</v>
      </c>
      <c r="AC1309" s="20">
        <v>100</v>
      </c>
      <c r="AD1309" s="20">
        <v>1</v>
      </c>
    </row>
    <row r="1310" spans="1:31">
      <c r="A1310" s="20">
        <v>40312</v>
      </c>
      <c r="B1310" s="20" t="s">
        <v>438</v>
      </c>
      <c r="C1310" s="21" t="s">
        <v>6546</v>
      </c>
      <c r="E1310" s="20" t="s">
        <v>1880</v>
      </c>
      <c r="J1310" s="19"/>
      <c r="K1310" s="20">
        <v>13</v>
      </c>
      <c r="W1310" s="20">
        <f>IF(Q1310&lt;&gt;0,3,IF(K1310="","",VLOOKUP(K1310,'#状态名词'!$J$1:$K$15,2,FALSE)))</f>
        <v>0</v>
      </c>
      <c r="AA1310" s="20">
        <v>1</v>
      </c>
      <c r="AB1310" s="20">
        <v>40312</v>
      </c>
      <c r="AC1310" s="20">
        <v>100</v>
      </c>
      <c r="AD1310" s="20">
        <v>1</v>
      </c>
    </row>
    <row r="1311" spans="1:31">
      <c r="A1311" s="20">
        <v>40313</v>
      </c>
      <c r="B1311" s="20" t="s">
        <v>439</v>
      </c>
      <c r="C1311" s="21" t="s">
        <v>464</v>
      </c>
      <c r="E1311" s="20" t="s">
        <v>1761</v>
      </c>
      <c r="K1311" s="20">
        <v>0</v>
      </c>
      <c r="W1311" s="20">
        <f>IF(Q1311&lt;&gt;0,3,IF(K1311="","",VLOOKUP(K1311,'#状态名词'!$J$1:$K$15,2,FALSE)))</f>
        <v>0</v>
      </c>
      <c r="AA1311" s="20">
        <v>1</v>
      </c>
      <c r="AB1311" s="20">
        <v>40313</v>
      </c>
      <c r="AC1311" s="20">
        <v>100</v>
      </c>
      <c r="AD1311" s="20">
        <v>1</v>
      </c>
    </row>
    <row r="1312" spans="1:31">
      <c r="A1312" s="20">
        <v>40314</v>
      </c>
      <c r="B1312" s="20" t="s">
        <v>4319</v>
      </c>
      <c r="C1312" s="21" t="s">
        <v>6547</v>
      </c>
      <c r="E1312" s="20" t="s">
        <v>1735</v>
      </c>
      <c r="W1312" s="20" t="str">
        <f>IF(Q1312&lt;&gt;0,3,IF(K1312="","",VLOOKUP(K1312,'#状态名词'!$J$1:$K$15,2,FALSE)))</f>
        <v/>
      </c>
      <c r="AA1312" s="20">
        <v>1</v>
      </c>
      <c r="AB1312" s="20">
        <v>40314</v>
      </c>
      <c r="AC1312" s="20">
        <v>100</v>
      </c>
      <c r="AD1312" s="20">
        <v>1</v>
      </c>
    </row>
    <row r="1313" spans="1:31" ht="27">
      <c r="A1313" s="20">
        <v>40315</v>
      </c>
      <c r="B1313" s="20" t="s">
        <v>4630</v>
      </c>
      <c r="C1313" s="21" t="s">
        <v>8116</v>
      </c>
      <c r="E1313" s="20" t="s">
        <v>1787</v>
      </c>
      <c r="H1313" s="20">
        <v>50</v>
      </c>
      <c r="J1313" s="20" t="s">
        <v>1480</v>
      </c>
      <c r="K1313" s="20">
        <v>11</v>
      </c>
      <c r="L1313" s="20">
        <v>100</v>
      </c>
      <c r="W1313" s="20">
        <f>IF(Q1313&lt;&gt;0,3,IF(K1313="","",VLOOKUP(K1313,'#状态名词'!$J$1:$K$15,2,FALSE)))</f>
        <v>4</v>
      </c>
      <c r="AA1313" s="20">
        <v>1</v>
      </c>
      <c r="AB1313" s="20">
        <v>40315</v>
      </c>
      <c r="AC1313" s="20">
        <v>100</v>
      </c>
      <c r="AD1313" s="20">
        <v>1</v>
      </c>
    </row>
    <row r="1314" spans="1:31">
      <c r="W1314" s="20" t="str">
        <f>IF(Q1314&lt;&gt;0,3,IF(K1314="","",VLOOKUP(K1314,'#状态名词'!$J$1:$K$15,2,FALSE)))</f>
        <v/>
      </c>
      <c r="AA1314" s="20">
        <v>1</v>
      </c>
      <c r="AB1314" s="20">
        <v>100</v>
      </c>
      <c r="AC1314" s="20">
        <v>100</v>
      </c>
      <c r="AD1314" s="20">
        <v>1</v>
      </c>
    </row>
    <row r="1315" spans="1:31">
      <c r="A1315" s="20">
        <v>40316</v>
      </c>
      <c r="B1315" s="20" t="s">
        <v>440</v>
      </c>
      <c r="C1315" s="21" t="s">
        <v>9034</v>
      </c>
      <c r="E1315" s="20" t="s">
        <v>1916</v>
      </c>
      <c r="P1315" s="20">
        <v>40316</v>
      </c>
      <c r="W1315" s="20" t="str">
        <f>IF(Q1315&lt;&gt;0,3,IF(K1315="","",VLOOKUP(K1315,'#状态名词'!$J$1:$K$15,2,FALSE)))</f>
        <v/>
      </c>
    </row>
    <row r="1316" spans="1:31">
      <c r="A1316" s="20">
        <v>40317</v>
      </c>
      <c r="B1316" s="20" t="s">
        <v>441</v>
      </c>
      <c r="C1316" s="21" t="s">
        <v>7129</v>
      </c>
      <c r="E1316" s="20" t="s">
        <v>1917</v>
      </c>
      <c r="K1316" s="20">
        <v>9</v>
      </c>
      <c r="W1316" s="20">
        <f>IF(Q1316&lt;&gt;0,3,IF(K1316="","",VLOOKUP(K1316,'#状态名词'!$J$1:$K$15,2,FALSE)))</f>
        <v>3</v>
      </c>
      <c r="AA1316" s="20">
        <v>1</v>
      </c>
      <c r="AB1316" s="20">
        <v>40317</v>
      </c>
      <c r="AC1316" s="20">
        <v>100</v>
      </c>
      <c r="AD1316" s="20">
        <v>1</v>
      </c>
    </row>
    <row r="1317" spans="1:31">
      <c r="A1317" s="20">
        <v>40318</v>
      </c>
      <c r="B1317" s="20" t="s">
        <v>4632</v>
      </c>
      <c r="C1317" s="21" t="s">
        <v>4633</v>
      </c>
      <c r="E1317" s="20" t="s">
        <v>1918</v>
      </c>
      <c r="K1317" s="20">
        <v>0</v>
      </c>
      <c r="W1317" s="20">
        <f>IF(Q1317&lt;&gt;0,3,IF(K1317="","",VLOOKUP(K1317,'#状态名词'!$J$1:$K$15,2,FALSE)))</f>
        <v>0</v>
      </c>
      <c r="AA1317" s="20">
        <v>1</v>
      </c>
      <c r="AB1317" s="20">
        <v>40318</v>
      </c>
      <c r="AC1317" s="20">
        <v>100</v>
      </c>
      <c r="AD1317" s="20">
        <v>1</v>
      </c>
    </row>
    <row r="1318" spans="1:31">
      <c r="A1318" s="20">
        <v>40401</v>
      </c>
      <c r="B1318" s="20" t="s">
        <v>443</v>
      </c>
      <c r="C1318" s="21" t="s">
        <v>4634</v>
      </c>
      <c r="E1318" s="20" t="s">
        <v>1672</v>
      </c>
      <c r="K1318" s="20">
        <v>0</v>
      </c>
      <c r="W1318" s="20">
        <f>IF(Q1318&lt;&gt;0,3,IF(K1318="","",VLOOKUP(K1318,'#状态名词'!$J$1:$K$15,2,FALSE)))</f>
        <v>0</v>
      </c>
      <c r="AA1318" s="20">
        <v>1</v>
      </c>
      <c r="AB1318" s="20">
        <v>40401</v>
      </c>
      <c r="AC1318" s="20">
        <v>100</v>
      </c>
      <c r="AD1318" s="20">
        <v>1</v>
      </c>
    </row>
    <row r="1319" spans="1:31">
      <c r="A1319" s="20">
        <v>40402</v>
      </c>
      <c r="B1319" s="20" t="s">
        <v>444</v>
      </c>
      <c r="C1319" s="21" t="s">
        <v>4628</v>
      </c>
      <c r="E1319" s="20" t="s">
        <v>1880</v>
      </c>
      <c r="K1319" s="20">
        <v>0</v>
      </c>
      <c r="W1319" s="20">
        <f>IF(Q1319&lt;&gt;0,3,IF(K1319="","",VLOOKUP(K1319,'#状态名词'!$J$1:$K$15,2,FALSE)))</f>
        <v>0</v>
      </c>
      <c r="AA1319" s="20">
        <v>1</v>
      </c>
      <c r="AB1319" s="20">
        <v>40402</v>
      </c>
      <c r="AC1319" s="20">
        <v>100</v>
      </c>
      <c r="AD1319" s="20">
        <v>1</v>
      </c>
    </row>
    <row r="1320" spans="1:31">
      <c r="A1320" s="20">
        <v>40403</v>
      </c>
      <c r="B1320" s="20" t="s">
        <v>445</v>
      </c>
      <c r="C1320" s="21" t="s">
        <v>7497</v>
      </c>
      <c r="E1320" s="20" t="s">
        <v>1817</v>
      </c>
      <c r="H1320" s="20">
        <v>60</v>
      </c>
      <c r="J1320" s="20" t="s">
        <v>1518</v>
      </c>
      <c r="K1320" s="20">
        <v>11</v>
      </c>
      <c r="L1320" s="20">
        <v>100</v>
      </c>
      <c r="W1320" s="20">
        <f>IF(Q1320&lt;&gt;0,3,IF(K1320="","",VLOOKUP(K1320,'#状态名词'!$J$1:$K$15,2,FALSE)))</f>
        <v>4</v>
      </c>
      <c r="AA1320" s="20">
        <v>1</v>
      </c>
      <c r="AB1320" s="20">
        <v>40403</v>
      </c>
      <c r="AC1320" s="20">
        <v>100</v>
      </c>
      <c r="AD1320" s="20">
        <v>1</v>
      </c>
    </row>
    <row r="1321" spans="1:31">
      <c r="A1321" s="20">
        <v>40404</v>
      </c>
      <c r="B1321" s="20" t="s">
        <v>4635</v>
      </c>
      <c r="C1321" s="21" t="s">
        <v>4636</v>
      </c>
      <c r="E1321" s="20" t="s">
        <v>1919</v>
      </c>
      <c r="K1321" s="20">
        <v>6</v>
      </c>
      <c r="W1321" s="20">
        <f>IF(Q1321&lt;&gt;0,3,IF(K1321="","",VLOOKUP(K1321,'#状态名词'!$J$1:$K$15,2,FALSE)))</f>
        <v>3</v>
      </c>
      <c r="AA1321" s="20">
        <v>1</v>
      </c>
      <c r="AB1321" s="20">
        <v>5</v>
      </c>
      <c r="AC1321" s="20" t="s">
        <v>486</v>
      </c>
      <c r="AD1321" s="20">
        <v>0</v>
      </c>
      <c r="AE1321" s="20">
        <v>2</v>
      </c>
    </row>
    <row r="1322" spans="1:31">
      <c r="A1322" s="20">
        <v>40405</v>
      </c>
      <c r="B1322" s="20" t="s">
        <v>4637</v>
      </c>
      <c r="C1322" s="21" t="s">
        <v>2059</v>
      </c>
      <c r="E1322" s="20" t="s">
        <v>1643</v>
      </c>
      <c r="K1322" s="20">
        <v>0</v>
      </c>
      <c r="W1322" s="20">
        <f>IF(Q1322&lt;&gt;0,3,IF(K1322="","",VLOOKUP(K1322,'#状态名词'!$J$1:$K$15,2,FALSE)))</f>
        <v>0</v>
      </c>
      <c r="AA1322" s="20">
        <v>1</v>
      </c>
      <c r="AB1322" s="20">
        <v>40405</v>
      </c>
      <c r="AC1322" s="20">
        <v>100</v>
      </c>
      <c r="AD1322" s="20">
        <v>1</v>
      </c>
    </row>
    <row r="1323" spans="1:31">
      <c r="A1323" s="20">
        <v>40406</v>
      </c>
      <c r="B1323" s="20" t="s">
        <v>4638</v>
      </c>
      <c r="C1323" s="21" t="s">
        <v>6551</v>
      </c>
      <c r="E1323" s="20" t="s">
        <v>1920</v>
      </c>
      <c r="K1323" s="20">
        <v>0</v>
      </c>
      <c r="Q1323" s="20">
        <v>1</v>
      </c>
      <c r="R1323" s="20">
        <v>2</v>
      </c>
      <c r="S1323" s="20">
        <v>1</v>
      </c>
      <c r="W1323" s="20">
        <f>IF(Q1323&lt;&gt;0,3,IF(K1323="","",VLOOKUP(K1323,'#状态名词'!$J$1:$K$15,2,FALSE)))</f>
        <v>3</v>
      </c>
      <c r="AA1323" s="20">
        <v>1</v>
      </c>
      <c r="AB1323" s="20">
        <v>40406</v>
      </c>
      <c r="AC1323" s="20">
        <v>100</v>
      </c>
      <c r="AD1323" s="20">
        <v>1</v>
      </c>
    </row>
    <row r="1324" spans="1:31">
      <c r="A1324" s="20">
        <v>40407</v>
      </c>
      <c r="B1324" s="20" t="s">
        <v>4639</v>
      </c>
      <c r="C1324" s="21" t="s">
        <v>4640</v>
      </c>
      <c r="E1324" s="20" t="s">
        <v>1645</v>
      </c>
      <c r="K1324" s="20">
        <v>6</v>
      </c>
      <c r="W1324" s="20">
        <f>IF(Q1324&lt;&gt;0,3,IF(K1324="","",VLOOKUP(K1324,'#状态名词'!$J$1:$K$15,2,FALSE)))</f>
        <v>3</v>
      </c>
      <c r="AA1324" s="20">
        <v>1</v>
      </c>
      <c r="AB1324" s="20">
        <v>51</v>
      </c>
      <c r="AC1324" s="20" t="s">
        <v>486</v>
      </c>
      <c r="AD1324" s="20">
        <v>1</v>
      </c>
      <c r="AE1324" s="20">
        <v>2</v>
      </c>
    </row>
    <row r="1325" spans="1:31">
      <c r="A1325" s="20">
        <v>40408</v>
      </c>
      <c r="B1325" s="20" t="s">
        <v>446</v>
      </c>
      <c r="C1325" s="21" t="s">
        <v>447</v>
      </c>
      <c r="E1325" s="20" t="s">
        <v>1801</v>
      </c>
      <c r="K1325" s="20">
        <v>0</v>
      </c>
      <c r="W1325" s="20">
        <f>IF(Q1325&lt;&gt;0,3,IF(K1325="","",VLOOKUP(K1325,'#状态名词'!$J$1:$K$15,2,FALSE)))</f>
        <v>0</v>
      </c>
      <c r="AA1325" s="20">
        <v>1</v>
      </c>
      <c r="AB1325" s="20">
        <v>40408</v>
      </c>
      <c r="AC1325" s="20">
        <v>100</v>
      </c>
      <c r="AD1325" s="20">
        <v>1</v>
      </c>
    </row>
    <row r="1326" spans="1:31">
      <c r="A1326" s="20">
        <v>40409</v>
      </c>
      <c r="B1326" s="20" t="s">
        <v>4641</v>
      </c>
      <c r="C1326" s="21" t="s">
        <v>7825</v>
      </c>
      <c r="E1326" s="20" t="s">
        <v>1921</v>
      </c>
      <c r="K1326" s="20">
        <v>9</v>
      </c>
      <c r="Q1326" s="20">
        <v>3</v>
      </c>
      <c r="R1326" s="20">
        <v>1</v>
      </c>
      <c r="S1326" s="20">
        <v>50</v>
      </c>
      <c r="W1326" s="20">
        <f>IF(Q1326&lt;&gt;0,3,IF(K1326="","",VLOOKUP(K1326,'#状态名词'!$J$1:$K$15,2,FALSE)))</f>
        <v>3</v>
      </c>
      <c r="AA1326" s="20">
        <v>1</v>
      </c>
      <c r="AB1326" s="20">
        <v>22</v>
      </c>
      <c r="AC1326" s="20">
        <v>100</v>
      </c>
      <c r="AD1326" s="20">
        <v>0</v>
      </c>
    </row>
    <row r="1327" spans="1:31">
      <c r="AB1327" s="20">
        <v>40409</v>
      </c>
      <c r="AC1327" s="20">
        <v>100</v>
      </c>
      <c r="AD1327" s="20">
        <v>1</v>
      </c>
    </row>
    <row r="1328" spans="1:31">
      <c r="A1328" s="20">
        <v>40410</v>
      </c>
      <c r="B1328" s="20" t="s">
        <v>448</v>
      </c>
      <c r="C1328" s="21" t="s">
        <v>4642</v>
      </c>
      <c r="E1328" s="20" t="s">
        <v>1922</v>
      </c>
      <c r="K1328" s="20">
        <v>6</v>
      </c>
      <c r="W1328" s="20">
        <f>IF(Q1328&lt;&gt;0,3,IF(K1328="","",VLOOKUP(K1328,'#状态名词'!$J$1:$K$15,2,FALSE)))</f>
        <v>3</v>
      </c>
      <c r="AA1328" s="20">
        <v>1</v>
      </c>
      <c r="AB1328" s="20">
        <v>43</v>
      </c>
      <c r="AC1328" s="20" t="s">
        <v>486</v>
      </c>
      <c r="AD1328" s="20">
        <v>1</v>
      </c>
      <c r="AE1328" s="20">
        <v>1</v>
      </c>
    </row>
    <row r="1329" spans="1:31">
      <c r="A1329" s="20">
        <v>40411</v>
      </c>
      <c r="B1329" s="20" t="s">
        <v>449</v>
      </c>
      <c r="C1329" s="21" t="s">
        <v>6548</v>
      </c>
      <c r="E1329" s="20" t="s">
        <v>1923</v>
      </c>
      <c r="K1329" s="20">
        <v>0</v>
      </c>
      <c r="W1329" s="20">
        <f>IF(Q1329&lt;&gt;0,3,IF(K1329="","",VLOOKUP(K1329,'#状态名词'!$J$1:$K$15,2,FALSE)))</f>
        <v>0</v>
      </c>
      <c r="AA1329" s="20">
        <v>1</v>
      </c>
      <c r="AB1329" s="20">
        <v>40411</v>
      </c>
      <c r="AC1329" s="20">
        <v>100</v>
      </c>
      <c r="AD1329" s="20">
        <v>1</v>
      </c>
    </row>
    <row r="1330" spans="1:31">
      <c r="A1330" s="20">
        <v>40412</v>
      </c>
      <c r="B1330" s="20" t="s">
        <v>450</v>
      </c>
      <c r="C1330" s="21" t="s">
        <v>6549</v>
      </c>
      <c r="E1330" s="20" t="s">
        <v>1672</v>
      </c>
      <c r="K1330" s="20">
        <v>0</v>
      </c>
      <c r="W1330" s="20">
        <f>IF(Q1330&lt;&gt;0,3,IF(K1330="","",VLOOKUP(K1330,'#状态名词'!$J$1:$K$15,2,FALSE)))</f>
        <v>0</v>
      </c>
      <c r="AA1330" s="20">
        <v>1</v>
      </c>
      <c r="AB1330" s="20">
        <v>40412</v>
      </c>
      <c r="AC1330" s="20">
        <v>100</v>
      </c>
      <c r="AD1330" s="20">
        <v>1</v>
      </c>
    </row>
    <row r="1331" spans="1:31">
      <c r="A1331" s="20">
        <v>40413</v>
      </c>
      <c r="B1331" s="20" t="s">
        <v>4645</v>
      </c>
      <c r="C1331" s="21" t="s">
        <v>2061</v>
      </c>
      <c r="E1331" s="20" t="s">
        <v>1924</v>
      </c>
      <c r="G1331" s="20">
        <v>40403</v>
      </c>
      <c r="W1331" s="20" t="str">
        <f>IF(Q1331&lt;&gt;0,3,IF(K1331="","",VLOOKUP(K1331,'#状态名词'!$J$1:$K$15,2,FALSE)))</f>
        <v/>
      </c>
      <c r="AA1331" s="20">
        <v>1</v>
      </c>
      <c r="AB1331" s="20">
        <v>40413</v>
      </c>
      <c r="AC1331" s="20">
        <v>100</v>
      </c>
      <c r="AD1331" s="20">
        <v>1</v>
      </c>
    </row>
    <row r="1332" spans="1:31">
      <c r="W1332" s="20" t="str">
        <f>IF(Q1332&lt;&gt;0,3,IF(K1332="","",VLOOKUP(K1332,'#状态名词'!$J$1:$K$15,2,FALSE)))</f>
        <v/>
      </c>
      <c r="AA1332" s="20">
        <v>1</v>
      </c>
      <c r="AB1332" s="20">
        <v>43</v>
      </c>
      <c r="AC1332" s="20">
        <v>100</v>
      </c>
      <c r="AD1332" s="20">
        <v>1</v>
      </c>
      <c r="AE1332" s="20">
        <v>1</v>
      </c>
    </row>
    <row r="1333" spans="1:31">
      <c r="A1333" s="20">
        <v>40414</v>
      </c>
      <c r="B1333" s="20" t="s">
        <v>451</v>
      </c>
      <c r="C1333" s="21" t="s">
        <v>2062</v>
      </c>
      <c r="E1333" s="20" t="s">
        <v>1925</v>
      </c>
      <c r="K1333" s="20">
        <v>6</v>
      </c>
      <c r="W1333" s="20">
        <f>IF(Q1333&lt;&gt;0,3,IF(K1333="","",VLOOKUP(K1333,'#状态名词'!$J$1:$K$15,2,FALSE)))</f>
        <v>3</v>
      </c>
      <c r="AA1333" s="20">
        <v>1</v>
      </c>
      <c r="AB1333" s="20">
        <v>40414</v>
      </c>
      <c r="AC1333" s="20">
        <v>100</v>
      </c>
      <c r="AD1333" s="20">
        <v>0</v>
      </c>
    </row>
    <row r="1334" spans="1:31">
      <c r="A1334" s="20">
        <v>40415</v>
      </c>
      <c r="B1334" s="20" t="s">
        <v>4646</v>
      </c>
      <c r="C1334" s="21" t="s">
        <v>4647</v>
      </c>
      <c r="E1334" s="20" t="s">
        <v>1926</v>
      </c>
      <c r="K1334" s="20">
        <v>0</v>
      </c>
      <c r="Q1334" s="20">
        <v>3</v>
      </c>
      <c r="R1334" s="20">
        <v>1</v>
      </c>
      <c r="S1334" s="20">
        <v>25</v>
      </c>
      <c r="W1334" s="20">
        <f>IF(Q1334&lt;&gt;0,3,IF(K1334="","",VLOOKUP(K1334,'#状态名词'!$J$1:$K$15,2,FALSE)))</f>
        <v>3</v>
      </c>
      <c r="AA1334" s="20">
        <v>1</v>
      </c>
      <c r="AB1334" s="20">
        <v>40415</v>
      </c>
      <c r="AC1334" s="20">
        <v>100</v>
      </c>
      <c r="AD1334" s="20">
        <v>1</v>
      </c>
    </row>
    <row r="1335" spans="1:31">
      <c r="A1335" s="20">
        <v>40416</v>
      </c>
      <c r="B1335" s="20" t="s">
        <v>4648</v>
      </c>
      <c r="C1335" s="21" t="s">
        <v>7777</v>
      </c>
      <c r="E1335" s="20" t="s">
        <v>1798</v>
      </c>
      <c r="G1335" s="20">
        <v>40403</v>
      </c>
      <c r="J1335" s="19"/>
      <c r="W1335" s="20" t="str">
        <f>IF(Q1335&lt;&gt;0,3,IF(K1335="","",VLOOKUP(K1335,'#状态名词'!$J$1:$K$15,2,FALSE)))</f>
        <v/>
      </c>
      <c r="AA1335" s="20">
        <v>1</v>
      </c>
      <c r="AB1335" s="20">
        <v>32</v>
      </c>
      <c r="AC1335" s="20">
        <v>100</v>
      </c>
      <c r="AD1335" s="20">
        <v>1</v>
      </c>
    </row>
    <row r="1336" spans="1:31">
      <c r="W1336" s="20" t="str">
        <f>IF(Q1336&lt;&gt;0,3,IF(K1336="","",VLOOKUP(K1336,'#状态名词'!$J$1:$K$15,2,FALSE)))</f>
        <v/>
      </c>
      <c r="AB1336" s="20">
        <v>33</v>
      </c>
      <c r="AC1336" s="20">
        <v>100</v>
      </c>
      <c r="AD1336" s="20">
        <v>1</v>
      </c>
    </row>
    <row r="1337" spans="1:31">
      <c r="AB1337" s="20">
        <v>40416</v>
      </c>
      <c r="AC1337" s="20">
        <v>100</v>
      </c>
      <c r="AD1337" s="20">
        <v>1</v>
      </c>
    </row>
    <row r="1338" spans="1:31">
      <c r="A1338" s="20">
        <v>40417</v>
      </c>
      <c r="B1338" s="20" t="s">
        <v>452</v>
      </c>
      <c r="C1338" s="21" t="s">
        <v>2063</v>
      </c>
      <c r="E1338" s="20" t="s">
        <v>1927</v>
      </c>
      <c r="K1338" s="20">
        <v>6</v>
      </c>
      <c r="W1338" s="20">
        <f>IF(Q1338&lt;&gt;0,3,IF(K1338="","",VLOOKUP(K1338,'#状态名词'!$J$1:$K$15,2,FALSE)))</f>
        <v>3</v>
      </c>
      <c r="AA1338" s="20">
        <v>1</v>
      </c>
      <c r="AB1338" s="20">
        <v>40417</v>
      </c>
      <c r="AC1338" s="20">
        <v>30</v>
      </c>
      <c r="AD1338" s="20">
        <v>1</v>
      </c>
    </row>
    <row r="1339" spans="1:31">
      <c r="A1339" s="20">
        <v>40418</v>
      </c>
      <c r="B1339" s="20" t="s">
        <v>453</v>
      </c>
      <c r="C1339" s="21" t="s">
        <v>4649</v>
      </c>
      <c r="E1339" s="20" t="s">
        <v>1831</v>
      </c>
      <c r="K1339" s="20">
        <v>6</v>
      </c>
      <c r="W1339" s="20">
        <f>IF(Q1339&lt;&gt;0,3,IF(K1339="","",VLOOKUP(K1339,'#状态名词'!$J$1:$K$15,2,FALSE)))</f>
        <v>3</v>
      </c>
      <c r="AA1339" s="20">
        <v>1</v>
      </c>
      <c r="AB1339" s="20">
        <v>40418</v>
      </c>
      <c r="AC1339" s="20">
        <v>100</v>
      </c>
      <c r="AD1339" s="20">
        <v>1</v>
      </c>
    </row>
    <row r="1340" spans="1:31">
      <c r="A1340" s="20">
        <v>40501</v>
      </c>
      <c r="B1340" s="20" t="s">
        <v>454</v>
      </c>
      <c r="C1340" s="21" t="s">
        <v>4650</v>
      </c>
      <c r="E1340" s="20" t="s">
        <v>1893</v>
      </c>
      <c r="K1340" s="20">
        <v>0</v>
      </c>
      <c r="W1340" s="20">
        <f>IF(Q1340&lt;&gt;0,3,IF(K1340="","",VLOOKUP(K1340,'#状态名词'!$J$1:$K$15,2,FALSE)))</f>
        <v>0</v>
      </c>
      <c r="AA1340" s="20">
        <v>1</v>
      </c>
      <c r="AB1340" s="20">
        <v>40501</v>
      </c>
      <c r="AC1340" s="20">
        <v>100</v>
      </c>
      <c r="AD1340" s="20">
        <v>1</v>
      </c>
    </row>
    <row r="1341" spans="1:31">
      <c r="A1341" s="20">
        <v>40502</v>
      </c>
      <c r="B1341" s="20" t="s">
        <v>455</v>
      </c>
      <c r="C1341" s="21" t="s">
        <v>4651</v>
      </c>
      <c r="E1341" s="20" t="s">
        <v>1790</v>
      </c>
      <c r="K1341" s="20">
        <v>0</v>
      </c>
      <c r="W1341" s="20">
        <f>IF(Q1341&lt;&gt;0,3,IF(K1341="","",VLOOKUP(K1341,'#状态名词'!$J$1:$K$15,2,FALSE)))</f>
        <v>0</v>
      </c>
      <c r="AA1341" s="20">
        <v>1</v>
      </c>
      <c r="AB1341" s="20">
        <v>40502</v>
      </c>
      <c r="AC1341" s="20">
        <v>100</v>
      </c>
      <c r="AD1341" s="20">
        <v>1</v>
      </c>
    </row>
    <row r="1342" spans="1:31">
      <c r="A1342" s="20">
        <v>40503</v>
      </c>
      <c r="B1342" s="20" t="s">
        <v>456</v>
      </c>
      <c r="C1342" s="21" t="s">
        <v>4606</v>
      </c>
      <c r="E1342" s="20" t="s">
        <v>1928</v>
      </c>
      <c r="K1342" s="20">
        <v>0</v>
      </c>
      <c r="W1342" s="20">
        <f>IF(Q1342&lt;&gt;0,3,IF(K1342="","",VLOOKUP(K1342,'#状态名词'!$J$1:$K$15,2,FALSE)))</f>
        <v>0</v>
      </c>
      <c r="AA1342" s="20">
        <v>1</v>
      </c>
      <c r="AB1342" s="20">
        <v>40503</v>
      </c>
      <c r="AC1342" s="20">
        <v>100</v>
      </c>
      <c r="AD1342" s="20">
        <v>1</v>
      </c>
    </row>
    <row r="1343" spans="1:31">
      <c r="A1343" s="20">
        <v>40504</v>
      </c>
      <c r="B1343" s="20" t="s">
        <v>457</v>
      </c>
      <c r="C1343" s="21" t="s">
        <v>7826</v>
      </c>
      <c r="E1343" s="20" t="s">
        <v>1929</v>
      </c>
      <c r="K1343" s="20">
        <v>0</v>
      </c>
      <c r="Q1343" s="20">
        <v>1</v>
      </c>
      <c r="R1343" s="20">
        <v>2</v>
      </c>
      <c r="S1343" s="20">
        <v>1</v>
      </c>
      <c r="W1343" s="20">
        <f>IF(Q1343&lt;&gt;0,3,IF(K1343="","",VLOOKUP(K1343,'#状态名词'!$J$1:$K$15,2,FALSE)))</f>
        <v>3</v>
      </c>
      <c r="AA1343" s="20">
        <v>1</v>
      </c>
      <c r="AB1343" s="20">
        <v>40504</v>
      </c>
      <c r="AC1343" s="20">
        <v>100</v>
      </c>
      <c r="AD1343" s="20">
        <v>1</v>
      </c>
    </row>
    <row r="1344" spans="1:31">
      <c r="A1344" s="20">
        <v>40505</v>
      </c>
      <c r="B1344" s="20" t="s">
        <v>458</v>
      </c>
      <c r="C1344" s="21" t="s">
        <v>6647</v>
      </c>
      <c r="E1344" s="20" t="s">
        <v>1812</v>
      </c>
      <c r="K1344" s="20">
        <v>0</v>
      </c>
      <c r="Q1344" s="20">
        <v>1</v>
      </c>
      <c r="R1344" s="20">
        <v>2</v>
      </c>
      <c r="S1344" s="20">
        <v>1</v>
      </c>
      <c r="W1344" s="20">
        <f>IF(Q1344&lt;&gt;0,3,IF(K1344="","",VLOOKUP(K1344,'#状态名词'!$J$1:$K$15,2,FALSE)))</f>
        <v>3</v>
      </c>
      <c r="AA1344" s="20">
        <v>1</v>
      </c>
      <c r="AB1344" s="20">
        <v>40505</v>
      </c>
      <c r="AC1344" s="20">
        <v>100</v>
      </c>
      <c r="AD1344" s="20">
        <v>1</v>
      </c>
    </row>
    <row r="1345" spans="1:31">
      <c r="A1345" s="20">
        <v>40506</v>
      </c>
      <c r="B1345" s="20" t="s">
        <v>459</v>
      </c>
      <c r="C1345" s="21" t="s">
        <v>4653</v>
      </c>
      <c r="E1345" s="20" t="s">
        <v>1930</v>
      </c>
      <c r="K1345" s="20">
        <v>9</v>
      </c>
      <c r="W1345" s="20">
        <f>IF(Q1345&lt;&gt;0,3,IF(K1345="","",VLOOKUP(K1345,'#状态名词'!$J$1:$K$15,2,FALSE)))</f>
        <v>3</v>
      </c>
      <c r="AA1345" s="20">
        <v>1</v>
      </c>
      <c r="AB1345" s="20">
        <v>13</v>
      </c>
      <c r="AC1345" s="20" t="s">
        <v>486</v>
      </c>
      <c r="AD1345" s="20">
        <v>0</v>
      </c>
    </row>
    <row r="1346" spans="1:31" ht="27">
      <c r="A1346" s="20">
        <v>40507</v>
      </c>
      <c r="B1346" s="20" t="s">
        <v>460</v>
      </c>
      <c r="C1346" s="21" t="s">
        <v>8133</v>
      </c>
      <c r="E1346" s="20" t="s">
        <v>1655</v>
      </c>
      <c r="H1346" s="20">
        <v>10</v>
      </c>
      <c r="J1346" s="19" t="s">
        <v>116</v>
      </c>
      <c r="K1346" s="20">
        <v>11</v>
      </c>
      <c r="L1346" s="20">
        <v>100</v>
      </c>
      <c r="O1346" s="20">
        <v>0</v>
      </c>
      <c r="W1346" s="20">
        <f>IF(Q1346&lt;&gt;0,3,IF(K1346="","",VLOOKUP(K1346,'#状态名词'!$J$1:$K$15,2,FALSE)))</f>
        <v>4</v>
      </c>
      <c r="AA1346" s="20">
        <v>1</v>
      </c>
      <c r="AB1346" s="20">
        <v>40507</v>
      </c>
      <c r="AC1346" s="20">
        <v>100</v>
      </c>
      <c r="AD1346" s="20">
        <v>1</v>
      </c>
    </row>
    <row r="1347" spans="1:31">
      <c r="W1347" s="20" t="str">
        <f>IF(Q1347&lt;&gt;0,3,IF(K1347="","",VLOOKUP(K1347,'#状态名词'!$J$1:$K$15,2,FALSE)))</f>
        <v/>
      </c>
      <c r="AA1347" s="20">
        <v>1</v>
      </c>
      <c r="AB1347" s="20">
        <v>61</v>
      </c>
      <c r="AC1347" s="20">
        <v>100</v>
      </c>
      <c r="AD1347" s="20">
        <v>1</v>
      </c>
      <c r="AE1347" s="20" t="s">
        <v>4654</v>
      </c>
    </row>
    <row r="1348" spans="1:31">
      <c r="A1348" s="20">
        <v>40508</v>
      </c>
      <c r="B1348" s="20" t="s">
        <v>461</v>
      </c>
      <c r="C1348" s="21" t="s">
        <v>4655</v>
      </c>
      <c r="E1348" s="20" t="s">
        <v>1752</v>
      </c>
      <c r="K1348" s="20">
        <v>9</v>
      </c>
      <c r="W1348" s="20">
        <f>IF(Q1348&lt;&gt;0,3,IF(K1348="","",VLOOKUP(K1348,'#状态名词'!$J$1:$K$15,2,FALSE)))</f>
        <v>3</v>
      </c>
      <c r="AA1348" s="20">
        <v>1</v>
      </c>
      <c r="AB1348" s="20">
        <v>40508</v>
      </c>
      <c r="AC1348" s="20">
        <v>45</v>
      </c>
      <c r="AD1348" s="20">
        <v>0</v>
      </c>
    </row>
    <row r="1349" spans="1:31">
      <c r="A1349" s="20">
        <v>40509</v>
      </c>
      <c r="B1349" s="20" t="s">
        <v>462</v>
      </c>
      <c r="C1349" s="21" t="s">
        <v>6552</v>
      </c>
      <c r="E1349" s="20" t="s">
        <v>1931</v>
      </c>
      <c r="K1349" s="20">
        <v>0</v>
      </c>
      <c r="Q1349" s="20">
        <v>1</v>
      </c>
      <c r="R1349" s="20">
        <v>2</v>
      </c>
      <c r="S1349" s="20">
        <v>6</v>
      </c>
      <c r="W1349" s="20">
        <f>IF(Q1349&lt;&gt;0,3,IF(K1349="","",VLOOKUP(K1349,'#状态名词'!$J$1:$K$15,2,FALSE)))</f>
        <v>3</v>
      </c>
      <c r="AA1349" s="20">
        <v>1</v>
      </c>
      <c r="AB1349" s="20">
        <v>40509</v>
      </c>
      <c r="AC1349" s="20">
        <v>100</v>
      </c>
      <c r="AD1349" s="20">
        <v>1</v>
      </c>
    </row>
    <row r="1350" spans="1:31">
      <c r="A1350" s="20">
        <v>40510</v>
      </c>
      <c r="B1350" s="20" t="s">
        <v>463</v>
      </c>
      <c r="C1350" s="21" t="s">
        <v>464</v>
      </c>
      <c r="E1350" s="20" t="s">
        <v>1932</v>
      </c>
      <c r="K1350" s="20">
        <v>0</v>
      </c>
      <c r="W1350" s="20">
        <f>IF(Q1350&lt;&gt;0,3,IF(K1350="","",VLOOKUP(K1350,'#状态名词'!$J$1:$K$15,2,FALSE)))</f>
        <v>0</v>
      </c>
      <c r="AA1350" s="20">
        <v>1</v>
      </c>
      <c r="AB1350" s="20">
        <v>40510</v>
      </c>
      <c r="AC1350" s="20">
        <v>100</v>
      </c>
      <c r="AD1350" s="20">
        <v>1</v>
      </c>
    </row>
    <row r="1351" spans="1:31">
      <c r="A1351" s="20">
        <v>40511</v>
      </c>
      <c r="B1351" s="20" t="s">
        <v>465</v>
      </c>
      <c r="C1351" s="21" t="s">
        <v>4657</v>
      </c>
      <c r="E1351" s="20" t="s">
        <v>1933</v>
      </c>
      <c r="K1351" s="20">
        <v>0</v>
      </c>
      <c r="W1351" s="20">
        <f>IF(Q1351&lt;&gt;0,3,IF(K1351="","",VLOOKUP(K1351,'#状态名词'!$J$1:$K$15,2,FALSE)))</f>
        <v>0</v>
      </c>
      <c r="AA1351" s="20">
        <v>1</v>
      </c>
      <c r="AB1351" s="20">
        <v>40511</v>
      </c>
      <c r="AC1351" s="20">
        <v>100</v>
      </c>
      <c r="AD1351" s="20">
        <v>1</v>
      </c>
    </row>
    <row r="1352" spans="1:31">
      <c r="A1352" s="20">
        <v>40512</v>
      </c>
      <c r="B1352" s="20" t="s">
        <v>466</v>
      </c>
      <c r="C1352" s="21" t="s">
        <v>4622</v>
      </c>
      <c r="E1352" s="20" t="s">
        <v>1934</v>
      </c>
      <c r="K1352" s="20">
        <v>0</v>
      </c>
      <c r="W1352" s="20">
        <f>IF(Q1352&lt;&gt;0,3,IF(K1352="","",VLOOKUP(K1352,'#状态名词'!$J$1:$K$15,2,FALSE)))</f>
        <v>0</v>
      </c>
      <c r="AA1352" s="20">
        <v>1</v>
      </c>
      <c r="AB1352" s="20">
        <v>40512</v>
      </c>
      <c r="AC1352" s="20">
        <v>100</v>
      </c>
      <c r="AD1352" s="20">
        <v>1</v>
      </c>
    </row>
    <row r="1353" spans="1:31">
      <c r="A1353" s="20">
        <v>40513</v>
      </c>
      <c r="B1353" s="20" t="s">
        <v>467</v>
      </c>
      <c r="C1353" s="21" t="s">
        <v>4658</v>
      </c>
      <c r="E1353" s="20" t="s">
        <v>1935</v>
      </c>
      <c r="J1353" s="19"/>
      <c r="K1353" s="20">
        <v>0</v>
      </c>
      <c r="Q1353" s="20">
        <v>1</v>
      </c>
      <c r="R1353" s="20">
        <v>2</v>
      </c>
      <c r="S1353" s="20">
        <v>1</v>
      </c>
      <c r="W1353" s="20">
        <f>IF(Q1353&lt;&gt;0,3,IF(K1353="","",VLOOKUP(K1353,'#状态名词'!$J$1:$K$15,2,FALSE)))</f>
        <v>3</v>
      </c>
      <c r="AA1353" s="20">
        <v>1</v>
      </c>
      <c r="AB1353" s="20">
        <v>40513</v>
      </c>
      <c r="AC1353" s="20">
        <v>100</v>
      </c>
      <c r="AD1353" s="20">
        <v>1</v>
      </c>
    </row>
    <row r="1354" spans="1:31">
      <c r="A1354" s="20">
        <v>40514</v>
      </c>
      <c r="B1354" s="20" t="s">
        <v>468</v>
      </c>
      <c r="C1354" s="21" t="s">
        <v>4659</v>
      </c>
      <c r="E1354" s="20" t="s">
        <v>1673</v>
      </c>
      <c r="K1354" s="20">
        <v>0</v>
      </c>
      <c r="Q1354" s="20">
        <v>3</v>
      </c>
      <c r="R1354" s="20">
        <v>1</v>
      </c>
      <c r="S1354" s="20">
        <v>50</v>
      </c>
      <c r="W1354" s="20">
        <f>IF(Q1354&lt;&gt;0,3,IF(K1354="","",VLOOKUP(K1354,'#状态名词'!$J$1:$K$15,2,FALSE)))</f>
        <v>3</v>
      </c>
      <c r="AA1354" s="20">
        <v>1</v>
      </c>
      <c r="AB1354" s="20">
        <v>40514</v>
      </c>
      <c r="AC1354" s="20">
        <v>100</v>
      </c>
      <c r="AD1354" s="20">
        <v>1</v>
      </c>
    </row>
    <row r="1355" spans="1:31">
      <c r="A1355" s="20">
        <v>40515</v>
      </c>
      <c r="B1355" s="20" t="s">
        <v>469</v>
      </c>
      <c r="C1355" s="21" t="s">
        <v>6704</v>
      </c>
      <c r="E1355" s="20" t="s">
        <v>1755</v>
      </c>
      <c r="G1355" s="31">
        <v>40507</v>
      </c>
      <c r="K1355" s="20">
        <v>0</v>
      </c>
      <c r="W1355" s="20">
        <f>IF(Q1355&lt;&gt;0,3,IF(K1355="","",VLOOKUP(K1355,'#状态名词'!$J$1:$K$15,2,FALSE)))</f>
        <v>0</v>
      </c>
      <c r="AA1355" s="20">
        <v>1</v>
      </c>
      <c r="AB1355" s="20">
        <v>40515</v>
      </c>
      <c r="AC1355" s="20">
        <v>100</v>
      </c>
      <c r="AD1355" s="20">
        <v>1</v>
      </c>
    </row>
    <row r="1356" spans="1:31">
      <c r="A1356" s="20">
        <v>40516</v>
      </c>
      <c r="B1356" s="20" t="s">
        <v>4661</v>
      </c>
      <c r="C1356" s="21" t="s">
        <v>6553</v>
      </c>
      <c r="E1356" s="20" t="s">
        <v>1936</v>
      </c>
      <c r="H1356" s="20">
        <v>10</v>
      </c>
      <c r="J1356" s="20" t="s">
        <v>1519</v>
      </c>
      <c r="K1356" s="20">
        <v>11</v>
      </c>
      <c r="L1356" s="20">
        <v>100</v>
      </c>
      <c r="U1356" s="20">
        <v>60</v>
      </c>
      <c r="W1356" s="20">
        <f>IF(Q1356&lt;&gt;0,3,IF(K1356="","",VLOOKUP(K1356,'#状态名词'!$J$1:$K$15,2,FALSE)))</f>
        <v>4</v>
      </c>
      <c r="AA1356" s="20">
        <v>1</v>
      </c>
      <c r="AB1356" s="20">
        <v>40521</v>
      </c>
      <c r="AC1356" s="20">
        <v>16</v>
      </c>
      <c r="AD1356" s="20">
        <v>1</v>
      </c>
    </row>
    <row r="1357" spans="1:31">
      <c r="W1357" s="20" t="str">
        <f>IF(Q1357&lt;&gt;0,3,IF(K1357="","",VLOOKUP(K1357,'#状态名词'!$J$1:$K$15,2,FALSE)))</f>
        <v/>
      </c>
      <c r="AA1357" s="20">
        <v>1</v>
      </c>
      <c r="AB1357" s="20">
        <v>40522</v>
      </c>
      <c r="AC1357" s="20">
        <v>16</v>
      </c>
      <c r="AD1357" s="20">
        <v>1</v>
      </c>
    </row>
    <row r="1358" spans="1:31">
      <c r="W1358" s="20" t="str">
        <f>IF(Q1358&lt;&gt;0,3,IF(K1358="","",VLOOKUP(K1358,'#状态名词'!$J$1:$K$15,2,FALSE)))</f>
        <v/>
      </c>
      <c r="AA1358" s="20">
        <v>1</v>
      </c>
      <c r="AB1358" s="20">
        <v>40523</v>
      </c>
      <c r="AC1358" s="20">
        <v>16</v>
      </c>
      <c r="AD1358" s="20">
        <v>1</v>
      </c>
    </row>
    <row r="1359" spans="1:31">
      <c r="W1359" s="20" t="str">
        <f>IF(Q1359&lt;&gt;0,3,IF(K1359="","",VLOOKUP(K1359,'#状态名词'!$J$1:$K$15,2,FALSE)))</f>
        <v/>
      </c>
      <c r="AA1359" s="20">
        <v>1</v>
      </c>
      <c r="AB1359" s="20">
        <v>3</v>
      </c>
      <c r="AC1359" s="20">
        <v>16</v>
      </c>
      <c r="AD1359" s="20">
        <v>0</v>
      </c>
      <c r="AE1359" s="20">
        <v>30</v>
      </c>
    </row>
    <row r="1360" spans="1:31">
      <c r="W1360" s="20" t="str">
        <f>IF(Q1360&lt;&gt;0,3,IF(K1360="","",VLOOKUP(K1360,'#状态名词'!$J$1:$K$15,2,FALSE)))</f>
        <v/>
      </c>
      <c r="AA1360" s="20">
        <v>1</v>
      </c>
      <c r="AB1360" s="20">
        <v>4</v>
      </c>
      <c r="AC1360" s="20">
        <v>16</v>
      </c>
      <c r="AD1360" s="20">
        <v>0</v>
      </c>
      <c r="AE1360" s="20">
        <v>30</v>
      </c>
    </row>
    <row r="1361" spans="1:31">
      <c r="A1361" s="20">
        <v>40517</v>
      </c>
      <c r="B1361" s="20" t="s">
        <v>470</v>
      </c>
      <c r="C1361" s="21" t="s">
        <v>6554</v>
      </c>
      <c r="E1361" s="20" t="s">
        <v>1863</v>
      </c>
      <c r="K1361" s="20">
        <v>0</v>
      </c>
      <c r="Q1361" s="20">
        <v>2</v>
      </c>
      <c r="R1361" s="20">
        <v>0</v>
      </c>
      <c r="S1361" s="20">
        <v>80</v>
      </c>
      <c r="W1361" s="20">
        <f>IF(Q1361&lt;&gt;0,3,IF(K1361="","",VLOOKUP(K1361,'#状态名词'!$J$1:$K$15,2,FALSE)))</f>
        <v>3</v>
      </c>
      <c r="AA1361" s="20">
        <v>1</v>
      </c>
      <c r="AB1361" s="20">
        <v>40517</v>
      </c>
      <c r="AC1361" s="20">
        <v>100</v>
      </c>
      <c r="AD1361" s="20">
        <v>1</v>
      </c>
    </row>
    <row r="1362" spans="1:31">
      <c r="A1362" s="20">
        <v>40518</v>
      </c>
      <c r="B1362" s="20" t="s">
        <v>471</v>
      </c>
      <c r="C1362" s="21" t="s">
        <v>6641</v>
      </c>
      <c r="E1362" s="20" t="s">
        <v>1937</v>
      </c>
      <c r="K1362" s="20">
        <v>0</v>
      </c>
      <c r="W1362" s="20">
        <f>IF(Q1362&lt;&gt;0,3,IF(K1362="","",VLOOKUP(K1362,'#状态名词'!$J$1:$K$15,2,FALSE)))</f>
        <v>0</v>
      </c>
      <c r="AA1362" s="20">
        <v>1</v>
      </c>
      <c r="AB1362" s="20">
        <v>40518</v>
      </c>
      <c r="AC1362" s="20">
        <v>100</v>
      </c>
      <c r="AD1362" s="20">
        <v>1</v>
      </c>
    </row>
    <row r="1363" spans="1:31">
      <c r="A1363" s="20">
        <v>40601</v>
      </c>
      <c r="B1363" s="20" t="s">
        <v>472</v>
      </c>
      <c r="C1363" s="21" t="s">
        <v>4663</v>
      </c>
      <c r="E1363" s="20" t="s">
        <v>1679</v>
      </c>
      <c r="F1363" s="20" t="s">
        <v>4664</v>
      </c>
      <c r="H1363" s="20">
        <v>20</v>
      </c>
      <c r="J1363" s="20" t="s">
        <v>107</v>
      </c>
      <c r="K1363" s="20">
        <v>5</v>
      </c>
      <c r="L1363" s="20">
        <v>50</v>
      </c>
      <c r="N1363" s="20">
        <v>0</v>
      </c>
      <c r="O1363" s="20">
        <v>0</v>
      </c>
      <c r="W1363" s="20">
        <f>IF(Q1363&lt;&gt;0,3,IF(K1363="","",VLOOKUP(K1363,'#状态名词'!$J$1:$K$15,2,FALSE)))</f>
        <v>1</v>
      </c>
    </row>
    <row r="1364" spans="1:31">
      <c r="A1364" s="20">
        <v>40602</v>
      </c>
      <c r="B1364" s="20" t="s">
        <v>473</v>
      </c>
      <c r="C1364" s="21" t="s">
        <v>4665</v>
      </c>
      <c r="E1364" s="20" t="s">
        <v>1938</v>
      </c>
      <c r="W1364" s="20" t="str">
        <f>IF(Q1364&lt;&gt;0,3,IF(K1364="","",VLOOKUP(K1364,'#状态名词'!$J$1:$K$15,2,FALSE)))</f>
        <v/>
      </c>
      <c r="AA1364" s="20">
        <v>1</v>
      </c>
      <c r="AB1364" s="20">
        <v>40602</v>
      </c>
      <c r="AC1364" s="20">
        <v>100</v>
      </c>
      <c r="AD1364" s="20">
        <v>1</v>
      </c>
    </row>
    <row r="1365" spans="1:31">
      <c r="A1365" s="20">
        <v>40603</v>
      </c>
      <c r="B1365" s="20" t="s">
        <v>474</v>
      </c>
      <c r="C1365" s="21" t="s">
        <v>6555</v>
      </c>
      <c r="E1365" s="20" t="s">
        <v>1939</v>
      </c>
      <c r="W1365" s="20" t="str">
        <f>IF(Q1365&lt;&gt;0,3,IF(K1365="","",VLOOKUP(K1365,'#状态名词'!$J$1:$K$15,2,FALSE)))</f>
        <v/>
      </c>
      <c r="AA1365" s="20">
        <v>1</v>
      </c>
      <c r="AB1365" s="20">
        <v>40603</v>
      </c>
      <c r="AC1365" s="20">
        <v>100</v>
      </c>
      <c r="AD1365" s="20">
        <v>1</v>
      </c>
    </row>
    <row r="1366" spans="1:31">
      <c r="A1366" s="20">
        <v>40604</v>
      </c>
      <c r="B1366" s="20" t="s">
        <v>476</v>
      </c>
      <c r="C1366" s="21" t="s">
        <v>4606</v>
      </c>
      <c r="E1366" s="20" t="s">
        <v>1940</v>
      </c>
      <c r="W1366" s="20" t="str">
        <f>IF(Q1366&lt;&gt;0,3,IF(K1366="","",VLOOKUP(K1366,'#状态名词'!$J$1:$K$15,2,FALSE)))</f>
        <v/>
      </c>
      <c r="AA1366" s="20">
        <v>1</v>
      </c>
      <c r="AB1366" s="20">
        <v>40604</v>
      </c>
      <c r="AC1366" s="20">
        <v>100</v>
      </c>
      <c r="AD1366" s="20">
        <v>1</v>
      </c>
    </row>
    <row r="1367" spans="1:31">
      <c r="A1367" s="20">
        <v>40605</v>
      </c>
      <c r="B1367" s="20" t="s">
        <v>477</v>
      </c>
      <c r="C1367" s="21" t="s">
        <v>4666</v>
      </c>
      <c r="E1367" s="20" t="s">
        <v>1732</v>
      </c>
      <c r="W1367" s="20" t="str">
        <f>IF(Q1367&lt;&gt;0,3,IF(K1367="","",VLOOKUP(K1367,'#状态名词'!$J$1:$K$15,2,FALSE)))</f>
        <v/>
      </c>
      <c r="AA1367" s="20">
        <v>1</v>
      </c>
      <c r="AB1367" s="20">
        <v>40605</v>
      </c>
      <c r="AC1367" s="20">
        <v>100</v>
      </c>
      <c r="AD1367" s="20">
        <v>1</v>
      </c>
    </row>
    <row r="1368" spans="1:31">
      <c r="A1368" s="20">
        <v>40606</v>
      </c>
      <c r="B1368" s="20" t="s">
        <v>478</v>
      </c>
      <c r="C1368" s="21" t="s">
        <v>4605</v>
      </c>
      <c r="E1368" s="20" t="s">
        <v>1941</v>
      </c>
      <c r="W1368" s="20" t="str">
        <f>IF(Q1368&lt;&gt;0,3,IF(K1368="","",VLOOKUP(K1368,'#状态名词'!$J$1:$K$15,2,FALSE)))</f>
        <v/>
      </c>
      <c r="AA1368" s="20">
        <v>1</v>
      </c>
      <c r="AB1368" s="20">
        <v>40606</v>
      </c>
      <c r="AC1368" s="20">
        <v>100</v>
      </c>
      <c r="AD1368" s="20">
        <v>1</v>
      </c>
    </row>
    <row r="1369" spans="1:31">
      <c r="A1369" s="20">
        <v>40607</v>
      </c>
      <c r="B1369" s="20" t="s">
        <v>479</v>
      </c>
      <c r="C1369" s="21" t="s">
        <v>6556</v>
      </c>
      <c r="E1369" s="20" t="s">
        <v>1942</v>
      </c>
      <c r="W1369" s="20" t="str">
        <f>IF(Q1369&lt;&gt;0,3,IF(K1369="","",VLOOKUP(K1369,'#状态名词'!$J$1:$K$15,2,FALSE)))</f>
        <v/>
      </c>
      <c r="AA1369" s="20">
        <v>1</v>
      </c>
      <c r="AB1369" s="20">
        <v>40607</v>
      </c>
      <c r="AC1369" s="20">
        <v>100</v>
      </c>
      <c r="AD1369" s="20">
        <v>1</v>
      </c>
    </row>
    <row r="1370" spans="1:31">
      <c r="A1370" s="20">
        <v>40608</v>
      </c>
      <c r="B1370" s="20" t="s">
        <v>481</v>
      </c>
      <c r="C1370" s="21" t="s">
        <v>8117</v>
      </c>
      <c r="E1370" s="20" t="s">
        <v>1679</v>
      </c>
      <c r="J1370" s="19"/>
      <c r="W1370" s="20" t="str">
        <f>IF(Q1370&lt;&gt;0,3,IF(K1370="","",VLOOKUP(K1370,'#状态名词'!$J$1:$K$15,2,FALSE)))</f>
        <v/>
      </c>
      <c r="AA1370" s="20">
        <v>1</v>
      </c>
      <c r="AB1370" s="20">
        <v>40608</v>
      </c>
      <c r="AC1370" s="20">
        <v>100</v>
      </c>
      <c r="AD1370" s="20">
        <v>1</v>
      </c>
    </row>
    <row r="1371" spans="1:31">
      <c r="A1371" s="20">
        <v>40609</v>
      </c>
      <c r="B1371" s="20" t="s">
        <v>482</v>
      </c>
      <c r="C1371" s="21" t="s">
        <v>464</v>
      </c>
      <c r="E1371" s="20" t="s">
        <v>1745</v>
      </c>
      <c r="W1371" s="20" t="str">
        <f>IF(Q1371&lt;&gt;0,3,IF(K1371="","",VLOOKUP(K1371,'#状态名词'!$J$1:$K$15,2,FALSE)))</f>
        <v/>
      </c>
      <c r="AA1371" s="20">
        <v>1</v>
      </c>
      <c r="AB1371" s="20">
        <v>40609</v>
      </c>
      <c r="AC1371" s="20">
        <v>100</v>
      </c>
      <c r="AD1371" s="20">
        <v>1</v>
      </c>
    </row>
    <row r="1372" spans="1:31">
      <c r="A1372" s="20">
        <v>40610</v>
      </c>
      <c r="B1372" s="20" t="s">
        <v>483</v>
      </c>
      <c r="C1372" s="21" t="s">
        <v>6557</v>
      </c>
      <c r="E1372" s="20" t="s">
        <v>1943</v>
      </c>
      <c r="W1372" s="20" t="str">
        <f>IF(Q1372&lt;&gt;0,3,IF(K1372="","",VLOOKUP(K1372,'#状态名词'!$J$1:$K$15,2,FALSE)))</f>
        <v/>
      </c>
      <c r="AA1372" s="20">
        <v>1</v>
      </c>
      <c r="AB1372" s="20">
        <v>40610</v>
      </c>
      <c r="AC1372" s="20">
        <v>100</v>
      </c>
      <c r="AD1372" s="20">
        <v>1</v>
      </c>
    </row>
    <row r="1373" spans="1:31">
      <c r="A1373" s="20">
        <v>40611</v>
      </c>
      <c r="B1373" s="20" t="s">
        <v>484</v>
      </c>
      <c r="C1373" s="21" t="s">
        <v>4668</v>
      </c>
      <c r="E1373" s="20" t="s">
        <v>1944</v>
      </c>
      <c r="W1373" s="20" t="str">
        <f>IF(Q1373&lt;&gt;0,3,IF(K1373="","",VLOOKUP(K1373,'#状态名词'!$J$1:$K$15,2,FALSE)))</f>
        <v/>
      </c>
      <c r="AA1373" s="20">
        <v>1</v>
      </c>
      <c r="AB1373" s="20">
        <v>40611</v>
      </c>
      <c r="AC1373" s="20">
        <v>100</v>
      </c>
      <c r="AD1373" s="20">
        <v>1</v>
      </c>
    </row>
    <row r="1374" spans="1:31">
      <c r="A1374" s="20">
        <v>40612</v>
      </c>
      <c r="B1374" s="20" t="s">
        <v>485</v>
      </c>
      <c r="C1374" s="21" t="s">
        <v>6558</v>
      </c>
      <c r="E1374" s="20" t="s">
        <v>1945</v>
      </c>
      <c r="W1374" s="20" t="str">
        <f>IF(Q1374&lt;&gt;0,3,IF(K1374="","",VLOOKUP(K1374,'#状态名词'!$J$1:$K$15,2,FALSE)))</f>
        <v/>
      </c>
      <c r="AA1374" s="20">
        <v>1</v>
      </c>
      <c r="AB1374" s="20">
        <v>40612</v>
      </c>
      <c r="AC1374" s="20">
        <v>100</v>
      </c>
      <c r="AD1374" s="20">
        <v>1</v>
      </c>
    </row>
    <row r="1375" spans="1:31">
      <c r="A1375" s="20">
        <v>40613</v>
      </c>
      <c r="B1375" s="20" t="s">
        <v>4394</v>
      </c>
      <c r="C1375" s="21" t="s">
        <v>4669</v>
      </c>
      <c r="E1375" s="20" t="s">
        <v>1946</v>
      </c>
      <c r="K1375" s="20">
        <v>9</v>
      </c>
      <c r="W1375" s="20">
        <f>IF(Q1375&lt;&gt;0,3,IF(K1375="","",VLOOKUP(K1375,'#状态名词'!$J$1:$K$15,2,FALSE)))</f>
        <v>3</v>
      </c>
      <c r="AA1375" s="20">
        <v>1</v>
      </c>
      <c r="AB1375" s="20">
        <v>43</v>
      </c>
      <c r="AC1375" s="20" t="s">
        <v>4670</v>
      </c>
      <c r="AD1375" s="20">
        <v>1</v>
      </c>
      <c r="AE1375" s="20">
        <v>1</v>
      </c>
    </row>
    <row r="1376" spans="1:31">
      <c r="A1376" s="20">
        <v>40614</v>
      </c>
      <c r="B1376" s="20" t="s">
        <v>487</v>
      </c>
      <c r="C1376" s="21" t="s">
        <v>4671</v>
      </c>
      <c r="E1376" s="20" t="s">
        <v>1947</v>
      </c>
      <c r="Q1376" s="20">
        <v>3</v>
      </c>
      <c r="R1376" s="20">
        <v>0</v>
      </c>
      <c r="S1376" s="20">
        <v>80</v>
      </c>
      <c r="W1376" s="20">
        <f>IF(Q1376&lt;&gt;0,3,IF(K1376="","",VLOOKUP(K1376,'#状态名词'!$J$1:$K$15,2,FALSE)))</f>
        <v>3</v>
      </c>
      <c r="AA1376" s="20">
        <v>1</v>
      </c>
      <c r="AB1376" s="20">
        <v>40614</v>
      </c>
      <c r="AC1376" s="20">
        <v>100</v>
      </c>
      <c r="AD1376" s="20">
        <v>1</v>
      </c>
    </row>
    <row r="1377" spans="1:31">
      <c r="A1377" s="20">
        <v>40615</v>
      </c>
      <c r="B1377" s="20" t="s">
        <v>488</v>
      </c>
      <c r="C1377" s="21" t="s">
        <v>4591</v>
      </c>
      <c r="E1377" s="20" t="s">
        <v>1948</v>
      </c>
      <c r="K1377" s="20">
        <v>9</v>
      </c>
      <c r="W1377" s="20">
        <f>IF(Q1377&lt;&gt;0,3,IF(K1377="","",VLOOKUP(K1377,'#状态名词'!$J$1:$K$15,2,FALSE)))</f>
        <v>3</v>
      </c>
      <c r="AA1377" s="20">
        <v>1</v>
      </c>
      <c r="AB1377" s="20">
        <v>42</v>
      </c>
      <c r="AC1377" s="20" t="s">
        <v>486</v>
      </c>
      <c r="AD1377" s="20">
        <v>1</v>
      </c>
      <c r="AE1377" s="20">
        <v>3</v>
      </c>
    </row>
    <row r="1378" spans="1:31">
      <c r="A1378" s="20">
        <v>40616</v>
      </c>
      <c r="B1378" s="20" t="s">
        <v>489</v>
      </c>
      <c r="C1378" s="21" t="s">
        <v>8118</v>
      </c>
      <c r="E1378" s="20" t="s">
        <v>1949</v>
      </c>
      <c r="W1378" s="20" t="str">
        <f>IF(Q1378&lt;&gt;0,3,IF(K1378="","",VLOOKUP(K1378,'#状态名词'!$J$1:$K$15,2,FALSE)))</f>
        <v/>
      </c>
      <c r="AA1378" s="20">
        <v>1</v>
      </c>
      <c r="AB1378" s="20">
        <v>40616</v>
      </c>
      <c r="AC1378" s="20">
        <v>100</v>
      </c>
      <c r="AD1378" s="20">
        <v>1</v>
      </c>
    </row>
    <row r="1379" spans="1:31">
      <c r="A1379" s="20">
        <v>40617</v>
      </c>
      <c r="B1379" s="20" t="s">
        <v>490</v>
      </c>
      <c r="C1379" s="21" t="s">
        <v>2056</v>
      </c>
      <c r="E1379" s="20" t="s">
        <v>1950</v>
      </c>
      <c r="W1379" s="20" t="str">
        <f>IF(Q1379&lt;&gt;0,3,IF(K1379="","",VLOOKUP(K1379,'#状态名词'!$J$1:$K$15,2,FALSE)))</f>
        <v/>
      </c>
      <c r="AA1379" s="20">
        <v>1</v>
      </c>
      <c r="AB1379" s="20">
        <v>40617</v>
      </c>
      <c r="AC1379" s="20">
        <v>100</v>
      </c>
      <c r="AD1379" s="20">
        <v>1</v>
      </c>
    </row>
    <row r="1380" spans="1:31">
      <c r="A1380" s="20">
        <v>40618</v>
      </c>
      <c r="B1380" s="20" t="s">
        <v>4672</v>
      </c>
      <c r="C1380" s="21" t="s">
        <v>6559</v>
      </c>
      <c r="E1380" s="20" t="s">
        <v>1951</v>
      </c>
      <c r="H1380" s="20">
        <v>15</v>
      </c>
      <c r="J1380" s="20" t="s">
        <v>1484</v>
      </c>
      <c r="K1380" s="20">
        <v>11</v>
      </c>
      <c r="L1380" s="20">
        <v>100</v>
      </c>
      <c r="W1380" s="20">
        <f>IF(Q1380&lt;&gt;0,3,IF(K1380="","",VLOOKUP(K1380,'#状态名词'!$J$1:$K$15,2,FALSE)))</f>
        <v>4</v>
      </c>
      <c r="AA1380" s="20">
        <v>1</v>
      </c>
      <c r="AB1380" s="20">
        <v>40618</v>
      </c>
      <c r="AC1380" s="20">
        <v>100</v>
      </c>
      <c r="AD1380" s="20">
        <v>1</v>
      </c>
    </row>
    <row r="1381" spans="1:31">
      <c r="A1381" s="20">
        <v>40701</v>
      </c>
      <c r="B1381" s="20" t="s">
        <v>491</v>
      </c>
      <c r="C1381" s="21" t="s">
        <v>4673</v>
      </c>
      <c r="E1381" s="20" t="s">
        <v>1952</v>
      </c>
      <c r="K1381" s="20">
        <v>9</v>
      </c>
      <c r="W1381" s="20">
        <f>IF(Q1381&lt;&gt;0,3,IF(K1381="","",VLOOKUP(K1381,'#状态名词'!$J$1:$K$15,2,FALSE)))</f>
        <v>3</v>
      </c>
      <c r="AA1381" s="20">
        <v>1</v>
      </c>
      <c r="AB1381" s="20">
        <v>13</v>
      </c>
      <c r="AC1381" s="20" t="s">
        <v>492</v>
      </c>
      <c r="AD1381" s="20">
        <v>0</v>
      </c>
      <c r="AE1381" s="20">
        <v>2</v>
      </c>
    </row>
    <row r="1382" spans="1:31">
      <c r="A1382" s="20">
        <v>40702</v>
      </c>
      <c r="B1382" s="20" t="s">
        <v>493</v>
      </c>
      <c r="C1382" s="21" t="s">
        <v>4674</v>
      </c>
      <c r="E1382" s="20" t="s">
        <v>1953</v>
      </c>
      <c r="W1382" s="20" t="str">
        <f>IF(Q1382&lt;&gt;0,3,IF(K1382="","",VLOOKUP(K1382,'#状态名词'!$J$1:$K$15,2,FALSE)))</f>
        <v/>
      </c>
      <c r="AA1382" s="20">
        <v>1</v>
      </c>
      <c r="AB1382" s="20">
        <v>40702</v>
      </c>
      <c r="AC1382" s="20">
        <v>100</v>
      </c>
      <c r="AD1382" s="20">
        <v>1</v>
      </c>
    </row>
    <row r="1383" spans="1:31">
      <c r="A1383" s="20">
        <v>40703</v>
      </c>
      <c r="B1383" s="20" t="s">
        <v>494</v>
      </c>
      <c r="C1383" s="21" t="s">
        <v>4675</v>
      </c>
      <c r="E1383" s="20" t="s">
        <v>1954</v>
      </c>
      <c r="W1383" s="20" t="str">
        <f>IF(Q1383&lt;&gt;0,3,IF(K1383="","",VLOOKUP(K1383,'#状态名词'!$J$1:$K$15,2,FALSE)))</f>
        <v/>
      </c>
      <c r="AA1383" s="20">
        <v>1</v>
      </c>
      <c r="AB1383" s="20">
        <v>40703</v>
      </c>
      <c r="AC1383" s="20">
        <v>100</v>
      </c>
      <c r="AD1383" s="20">
        <v>1</v>
      </c>
    </row>
    <row r="1384" spans="1:31">
      <c r="A1384" s="20">
        <v>40704</v>
      </c>
      <c r="B1384" s="20" t="s">
        <v>495</v>
      </c>
      <c r="C1384" s="21" t="s">
        <v>4676</v>
      </c>
      <c r="E1384" s="20" t="s">
        <v>1955</v>
      </c>
      <c r="J1384" s="19"/>
      <c r="K1384" s="20">
        <v>9</v>
      </c>
      <c r="W1384" s="20">
        <f>IF(Q1384&lt;&gt;0,3,IF(K1384="","",VLOOKUP(K1384,'#状态名词'!$J$1:$K$15,2,FALSE)))</f>
        <v>3</v>
      </c>
      <c r="AA1384" s="20">
        <v>1</v>
      </c>
      <c r="AB1384" s="20">
        <v>11</v>
      </c>
      <c r="AC1384" s="20" t="s">
        <v>496</v>
      </c>
      <c r="AD1384" s="20">
        <v>0</v>
      </c>
      <c r="AE1384" s="20">
        <v>2</v>
      </c>
    </row>
    <row r="1385" spans="1:31">
      <c r="A1385" s="20">
        <v>40705</v>
      </c>
      <c r="B1385" s="20" t="s">
        <v>497</v>
      </c>
      <c r="C1385" s="21" t="s">
        <v>6560</v>
      </c>
      <c r="E1385" s="20" t="s">
        <v>1675</v>
      </c>
      <c r="W1385" s="20" t="str">
        <f>IF(Q1385&lt;&gt;0,3,IF(K1385="","",VLOOKUP(K1385,'#状态名词'!$J$1:$K$15,2,FALSE)))</f>
        <v/>
      </c>
      <c r="AA1385" s="20">
        <v>1</v>
      </c>
      <c r="AB1385" s="20">
        <v>40705</v>
      </c>
      <c r="AC1385" s="20">
        <v>100</v>
      </c>
      <c r="AD1385" s="20">
        <v>1</v>
      </c>
    </row>
    <row r="1386" spans="1:31">
      <c r="A1386" s="20">
        <v>40706</v>
      </c>
      <c r="B1386" s="20" t="s">
        <v>498</v>
      </c>
      <c r="C1386" s="21" t="s">
        <v>4668</v>
      </c>
      <c r="E1386" s="20" t="s">
        <v>1956</v>
      </c>
      <c r="W1386" s="20" t="str">
        <f>IF(Q1386&lt;&gt;0,3,IF(K1386="","",VLOOKUP(K1386,'#状态名词'!$J$1:$K$15,2,FALSE)))</f>
        <v/>
      </c>
      <c r="AA1386" s="20">
        <v>1</v>
      </c>
      <c r="AB1386" s="20">
        <v>40706</v>
      </c>
      <c r="AC1386" s="20">
        <v>100</v>
      </c>
      <c r="AD1386" s="20">
        <v>1</v>
      </c>
    </row>
    <row r="1387" spans="1:31">
      <c r="A1387" s="20">
        <v>40707</v>
      </c>
      <c r="B1387" s="20" t="s">
        <v>499</v>
      </c>
      <c r="C1387" s="21" t="s">
        <v>4677</v>
      </c>
      <c r="E1387" s="20" t="s">
        <v>1957</v>
      </c>
      <c r="W1387" s="20" t="str">
        <f>IF(Q1387&lt;&gt;0,3,IF(K1387="","",VLOOKUP(K1387,'#状态名词'!$J$1:$K$15,2,FALSE)))</f>
        <v/>
      </c>
      <c r="AA1387" s="20">
        <v>1</v>
      </c>
      <c r="AB1387" s="20">
        <v>40707</v>
      </c>
      <c r="AC1387" s="20">
        <v>100</v>
      </c>
      <c r="AD1387" s="20">
        <v>0</v>
      </c>
    </row>
    <row r="1388" spans="1:31">
      <c r="A1388" s="20">
        <v>40708</v>
      </c>
      <c r="B1388" s="20" t="s">
        <v>500</v>
      </c>
      <c r="C1388" s="21" t="s">
        <v>6561</v>
      </c>
      <c r="E1388" s="20" t="s">
        <v>1646</v>
      </c>
      <c r="K1388" s="20">
        <v>9</v>
      </c>
      <c r="W1388" s="20">
        <f>IF(Q1388&lt;&gt;0,3,IF(K1388="","",VLOOKUP(K1388,'#状态名词'!$J$1:$K$15,2,FALSE)))</f>
        <v>3</v>
      </c>
      <c r="AA1388" s="20">
        <v>1</v>
      </c>
      <c r="AB1388" s="20">
        <v>2</v>
      </c>
      <c r="AC1388" s="20" t="s">
        <v>4678</v>
      </c>
      <c r="AD1388" s="20">
        <v>0</v>
      </c>
      <c r="AE1388" s="20">
        <v>1</v>
      </c>
    </row>
    <row r="1389" spans="1:31">
      <c r="W1389" s="20" t="str">
        <f>IF(Q1389&lt;&gt;0,3,IF(K1389="","",VLOOKUP(K1389,'#状态名词'!$J$1:$K$15,2,FALSE)))</f>
        <v/>
      </c>
      <c r="AB1389" s="20">
        <v>3</v>
      </c>
      <c r="AC1389" s="20" t="s">
        <v>4678</v>
      </c>
      <c r="AD1389" s="20">
        <v>0</v>
      </c>
      <c r="AE1389" s="20">
        <v>1</v>
      </c>
    </row>
    <row r="1390" spans="1:31">
      <c r="W1390" s="20" t="str">
        <f>IF(Q1390&lt;&gt;0,3,IF(K1390="","",VLOOKUP(K1390,'#状态名词'!$J$1:$K$15,2,FALSE)))</f>
        <v/>
      </c>
      <c r="AB1390" s="20">
        <v>4</v>
      </c>
      <c r="AC1390" s="20" t="s">
        <v>4678</v>
      </c>
      <c r="AD1390" s="20">
        <v>0</v>
      </c>
      <c r="AE1390" s="20">
        <v>1</v>
      </c>
    </row>
    <row r="1391" spans="1:31">
      <c r="A1391" s="20">
        <v>40709</v>
      </c>
      <c r="B1391" s="20" t="s">
        <v>501</v>
      </c>
      <c r="C1391" s="21" t="s">
        <v>6562</v>
      </c>
      <c r="E1391" s="20" t="s">
        <v>1718</v>
      </c>
      <c r="W1391" s="20" t="str">
        <f>IF(Q1391&lt;&gt;0,3,IF(K1391="","",VLOOKUP(K1391,'#状态名词'!$J$1:$K$15,2,FALSE)))</f>
        <v/>
      </c>
      <c r="AA1391" s="20">
        <v>1</v>
      </c>
      <c r="AB1391" s="20">
        <v>40709</v>
      </c>
      <c r="AC1391" s="20">
        <v>100</v>
      </c>
      <c r="AD1391" s="20">
        <v>1</v>
      </c>
    </row>
    <row r="1392" spans="1:31">
      <c r="A1392" s="20">
        <v>40710</v>
      </c>
      <c r="B1392" s="20" t="s">
        <v>502</v>
      </c>
      <c r="C1392" s="21" t="s">
        <v>4679</v>
      </c>
      <c r="E1392" s="20" t="s">
        <v>1958</v>
      </c>
      <c r="W1392" s="20" t="str">
        <f>IF(Q1392&lt;&gt;0,3,IF(K1392="","",VLOOKUP(K1392,'#状态名词'!$J$1:$K$15,2,FALSE)))</f>
        <v/>
      </c>
      <c r="AA1392" s="20">
        <v>1</v>
      </c>
      <c r="AB1392" s="20">
        <v>40710</v>
      </c>
      <c r="AC1392" s="20">
        <v>100</v>
      </c>
      <c r="AD1392" s="20">
        <v>0</v>
      </c>
    </row>
    <row r="1393" spans="1:31">
      <c r="W1393" s="20" t="str">
        <f>IF(Q1393&lt;&gt;0,3,IF(K1393="","",VLOOKUP(K1393,'#状态名词'!$J$1:$K$15,2,FALSE)))</f>
        <v/>
      </c>
      <c r="AA1393" s="20">
        <v>1</v>
      </c>
      <c r="AB1393" s="20">
        <v>40719</v>
      </c>
      <c r="AC1393" s="20">
        <v>100</v>
      </c>
      <c r="AD1393" s="20">
        <v>1</v>
      </c>
    </row>
    <row r="1394" spans="1:31">
      <c r="A1394" s="20">
        <v>40711</v>
      </c>
      <c r="B1394" s="20" t="s">
        <v>503</v>
      </c>
      <c r="C1394" s="21" t="s">
        <v>7498</v>
      </c>
      <c r="E1394" s="20" t="s">
        <v>1959</v>
      </c>
      <c r="H1394" s="20">
        <v>15</v>
      </c>
      <c r="J1394" s="20" t="s">
        <v>1520</v>
      </c>
      <c r="K1394" s="20">
        <v>11</v>
      </c>
      <c r="W1394" s="20">
        <f>IF(Q1394&lt;&gt;0,3,IF(K1394="","",VLOOKUP(K1394,'#状态名词'!$J$1:$K$15,2,FALSE)))</f>
        <v>4</v>
      </c>
      <c r="AA1394" s="20">
        <v>1</v>
      </c>
      <c r="AB1394" s="20">
        <v>40711</v>
      </c>
      <c r="AC1394" s="20">
        <v>100</v>
      </c>
      <c r="AD1394" s="20">
        <v>1</v>
      </c>
    </row>
    <row r="1395" spans="1:31">
      <c r="W1395" s="20" t="str">
        <f>IF(Q1395&lt;&gt;0,3,IF(K1395="","",VLOOKUP(K1395,'#状态名词'!$J$1:$K$15,2,FALSE)))</f>
        <v/>
      </c>
      <c r="AA1395" s="20">
        <v>1</v>
      </c>
      <c r="AB1395" s="20">
        <v>34</v>
      </c>
      <c r="AC1395" s="20">
        <v>100</v>
      </c>
      <c r="AD1395" s="20">
        <v>0</v>
      </c>
      <c r="AE1395" s="20">
        <v>20</v>
      </c>
    </row>
    <row r="1396" spans="1:31">
      <c r="A1396" s="20">
        <v>40712</v>
      </c>
      <c r="B1396" s="20" t="s">
        <v>504</v>
      </c>
      <c r="C1396" s="21" t="s">
        <v>7827</v>
      </c>
      <c r="E1396" s="20" t="s">
        <v>1960</v>
      </c>
      <c r="W1396" s="20" t="str">
        <f>IF(Q1396&lt;&gt;0,3,IF(K1396="","",VLOOKUP(K1396,'#状态名词'!$J$1:$K$15,2,FALSE)))</f>
        <v/>
      </c>
      <c r="AA1396" s="20">
        <v>1</v>
      </c>
      <c r="AB1396" s="20">
        <v>40712</v>
      </c>
      <c r="AC1396" s="20">
        <v>100</v>
      </c>
      <c r="AD1396" s="20">
        <v>1</v>
      </c>
    </row>
    <row r="1397" spans="1:31">
      <c r="A1397" s="20">
        <v>40713</v>
      </c>
      <c r="B1397" s="20" t="s">
        <v>506</v>
      </c>
      <c r="C1397" s="21" t="s">
        <v>6563</v>
      </c>
      <c r="E1397" s="20" t="s">
        <v>1961</v>
      </c>
      <c r="K1397" s="20">
        <v>13</v>
      </c>
      <c r="W1397" s="20">
        <f>IF(Q1397&lt;&gt;0,3,IF(K1397="","",VLOOKUP(K1397,'#状态名词'!$J$1:$K$15,2,FALSE)))</f>
        <v>0</v>
      </c>
      <c r="AA1397" s="20">
        <v>1</v>
      </c>
      <c r="AB1397" s="20">
        <v>40713</v>
      </c>
      <c r="AC1397" s="20">
        <v>100</v>
      </c>
      <c r="AD1397" s="20">
        <v>0</v>
      </c>
    </row>
    <row r="1398" spans="1:31">
      <c r="A1398" s="20">
        <v>40714</v>
      </c>
      <c r="B1398" s="20" t="s">
        <v>507</v>
      </c>
      <c r="C1398" s="21" t="s">
        <v>4680</v>
      </c>
      <c r="E1398" s="20" t="s">
        <v>1961</v>
      </c>
      <c r="W1398" s="20" t="str">
        <f>IF(Q1398&lt;&gt;0,3,IF(K1398="","",VLOOKUP(K1398,'#状态名词'!$J$1:$K$15,2,FALSE)))</f>
        <v/>
      </c>
      <c r="AA1398" s="20">
        <v>1</v>
      </c>
      <c r="AB1398" s="20">
        <v>40714</v>
      </c>
      <c r="AC1398" s="20">
        <v>100</v>
      </c>
      <c r="AD1398" s="20">
        <v>1</v>
      </c>
    </row>
    <row r="1399" spans="1:31">
      <c r="A1399" s="20">
        <v>40715</v>
      </c>
      <c r="B1399" s="20" t="s">
        <v>508</v>
      </c>
      <c r="C1399" s="21" t="s">
        <v>4681</v>
      </c>
      <c r="E1399" s="20" t="s">
        <v>1962</v>
      </c>
      <c r="W1399" s="20" t="str">
        <f>IF(Q1399&lt;&gt;0,3,IF(K1399="","",VLOOKUP(K1399,'#状态名词'!$J$1:$K$15,2,FALSE)))</f>
        <v/>
      </c>
      <c r="AA1399" s="20">
        <v>1</v>
      </c>
      <c r="AB1399" s="20">
        <v>40715</v>
      </c>
      <c r="AC1399" s="20">
        <v>100</v>
      </c>
      <c r="AD1399" s="20">
        <v>1</v>
      </c>
    </row>
    <row r="1400" spans="1:31">
      <c r="A1400" s="20">
        <v>40716</v>
      </c>
      <c r="B1400" s="20" t="s">
        <v>509</v>
      </c>
      <c r="C1400" s="21" t="s">
        <v>6564</v>
      </c>
      <c r="E1400" s="20" t="s">
        <v>1963</v>
      </c>
      <c r="K1400" s="20">
        <v>13</v>
      </c>
      <c r="W1400" s="20">
        <f>IF(Q1400&lt;&gt;0,3,IF(K1400="","",VLOOKUP(K1400,'#状态名词'!$J$1:$K$15,2,FALSE)))</f>
        <v>0</v>
      </c>
      <c r="AA1400" s="20">
        <v>1</v>
      </c>
      <c r="AB1400" s="20">
        <v>12</v>
      </c>
      <c r="AC1400" s="20" t="s">
        <v>510</v>
      </c>
      <c r="AD1400" s="20">
        <v>0</v>
      </c>
    </row>
    <row r="1401" spans="1:31">
      <c r="A1401" s="20">
        <v>40717</v>
      </c>
      <c r="B1401" s="20" t="s">
        <v>511</v>
      </c>
      <c r="C1401" s="21" t="s">
        <v>512</v>
      </c>
      <c r="E1401" s="20" t="s">
        <v>1964</v>
      </c>
      <c r="W1401" s="20" t="str">
        <f>IF(Q1401&lt;&gt;0,3,IF(K1401="","",VLOOKUP(K1401,'#状态名词'!$J$1:$K$15,2,FALSE)))</f>
        <v/>
      </c>
      <c r="AA1401" s="20">
        <v>1</v>
      </c>
      <c r="AB1401" s="20">
        <v>40717</v>
      </c>
      <c r="AC1401" s="20">
        <v>100</v>
      </c>
      <c r="AD1401" s="20">
        <v>0</v>
      </c>
    </row>
    <row r="1402" spans="1:31">
      <c r="W1402" s="20" t="str">
        <f>IF(Q1402&lt;&gt;0,3,IF(K1402="","",VLOOKUP(K1402,'#状态名词'!$J$1:$K$15,2,FALSE)))</f>
        <v/>
      </c>
      <c r="AA1402" s="20">
        <v>1</v>
      </c>
      <c r="AB1402" s="20">
        <v>40720</v>
      </c>
      <c r="AC1402" s="20">
        <v>100</v>
      </c>
      <c r="AD1402" s="20">
        <v>1</v>
      </c>
    </row>
    <row r="1403" spans="1:31">
      <c r="A1403" s="20">
        <v>40718</v>
      </c>
      <c r="B1403" s="20" t="s">
        <v>513</v>
      </c>
      <c r="C1403" s="21" t="s">
        <v>6631</v>
      </c>
      <c r="E1403" s="20" t="s">
        <v>1965</v>
      </c>
      <c r="J1403" s="19"/>
      <c r="K1403" s="20">
        <v>12</v>
      </c>
      <c r="W1403" s="20">
        <f>IF(Q1403&lt;&gt;0,3,IF(K1403="","",VLOOKUP(K1403,'#状态名词'!$J$1:$K$15,2,FALSE)))</f>
        <v>0</v>
      </c>
      <c r="AA1403" s="20">
        <v>1</v>
      </c>
      <c r="AB1403" s="20">
        <v>40718</v>
      </c>
      <c r="AC1403" s="20">
        <v>100</v>
      </c>
      <c r="AD1403" s="20">
        <v>1</v>
      </c>
    </row>
    <row r="1404" spans="1:31">
      <c r="A1404" s="20">
        <v>40801</v>
      </c>
      <c r="B1404" s="20" t="s">
        <v>97</v>
      </c>
      <c r="C1404" s="21" t="s">
        <v>4683</v>
      </c>
      <c r="E1404" s="20" t="s">
        <v>1827</v>
      </c>
      <c r="J1404" s="19"/>
      <c r="W1404" s="20" t="str">
        <f>IF(Q1404&lt;&gt;0,3,IF(K1404="","",VLOOKUP(K1404,'#状态名词'!$J$1:$K$15,2,FALSE)))</f>
        <v/>
      </c>
      <c r="AA1404" s="20">
        <v>1</v>
      </c>
      <c r="AB1404" s="20">
        <v>40801</v>
      </c>
      <c r="AC1404" s="20">
        <v>100</v>
      </c>
      <c r="AD1404" s="20">
        <v>1</v>
      </c>
    </row>
    <row r="1405" spans="1:31">
      <c r="A1405" s="20">
        <v>40802</v>
      </c>
      <c r="B1405" s="20" t="s">
        <v>514</v>
      </c>
      <c r="C1405" s="21" t="s">
        <v>4684</v>
      </c>
      <c r="E1405" s="20" t="s">
        <v>1813</v>
      </c>
      <c r="W1405" s="20" t="str">
        <f>IF(Q1405&lt;&gt;0,3,IF(K1405="","",VLOOKUP(K1405,'#状态名词'!$J$1:$K$15,2,FALSE)))</f>
        <v/>
      </c>
      <c r="AA1405" s="20">
        <v>1</v>
      </c>
      <c r="AB1405" s="20">
        <v>40802</v>
      </c>
      <c r="AC1405" s="20">
        <v>100</v>
      </c>
      <c r="AD1405" s="20">
        <v>1</v>
      </c>
    </row>
    <row r="1406" spans="1:31">
      <c r="A1406" s="20">
        <v>40803</v>
      </c>
      <c r="B1406" s="20" t="s">
        <v>99</v>
      </c>
      <c r="C1406" s="21" t="s">
        <v>2056</v>
      </c>
      <c r="E1406" s="20" t="s">
        <v>1835</v>
      </c>
      <c r="W1406" s="20" t="str">
        <f>IF(Q1406&lt;&gt;0,3,IF(K1406="","",VLOOKUP(K1406,'#状态名词'!$J$1:$K$15,2,FALSE)))</f>
        <v/>
      </c>
      <c r="AA1406" s="20">
        <v>1</v>
      </c>
      <c r="AB1406" s="20">
        <v>40803</v>
      </c>
      <c r="AC1406" s="20">
        <v>100</v>
      </c>
      <c r="AD1406" s="20">
        <v>1</v>
      </c>
    </row>
    <row r="1407" spans="1:31">
      <c r="A1407" s="20">
        <v>40804</v>
      </c>
      <c r="B1407" s="20" t="s">
        <v>515</v>
      </c>
      <c r="C1407" s="21" t="s">
        <v>4614</v>
      </c>
      <c r="E1407" s="20" t="s">
        <v>1820</v>
      </c>
      <c r="W1407" s="20" t="str">
        <f>IF(Q1407&lt;&gt;0,3,IF(K1407="","",VLOOKUP(K1407,'#状态名词'!$J$1:$K$15,2,FALSE)))</f>
        <v/>
      </c>
      <c r="AA1407" s="20">
        <v>1</v>
      </c>
      <c r="AB1407" s="20">
        <v>40804</v>
      </c>
      <c r="AC1407" s="20">
        <v>100</v>
      </c>
      <c r="AD1407" s="20">
        <v>1</v>
      </c>
    </row>
    <row r="1408" spans="1:31">
      <c r="A1408" s="20">
        <v>40805</v>
      </c>
      <c r="B1408" s="20" t="s">
        <v>98</v>
      </c>
      <c r="C1408" s="21" t="s">
        <v>2059</v>
      </c>
      <c r="E1408" s="20" t="s">
        <v>1798</v>
      </c>
      <c r="W1408" s="20" t="str">
        <f>IF(Q1408&lt;&gt;0,3,IF(K1408="","",VLOOKUP(K1408,'#状态名词'!$J$1:$K$15,2,FALSE)))</f>
        <v/>
      </c>
      <c r="AA1408" s="20">
        <v>1</v>
      </c>
      <c r="AB1408" s="20">
        <v>40805</v>
      </c>
      <c r="AC1408" s="20">
        <v>100</v>
      </c>
      <c r="AD1408" s="20">
        <v>1</v>
      </c>
    </row>
    <row r="1409" spans="1:31">
      <c r="A1409" s="20">
        <v>40806</v>
      </c>
      <c r="B1409" s="20" t="s">
        <v>100</v>
      </c>
      <c r="C1409" s="21" t="s">
        <v>4591</v>
      </c>
      <c r="E1409" s="20" t="s">
        <v>1966</v>
      </c>
      <c r="K1409" s="20">
        <v>9</v>
      </c>
      <c r="W1409" s="20">
        <f>IF(Q1409&lt;&gt;0,3,IF(K1409="","",VLOOKUP(K1409,'#状态名词'!$J$1:$K$15,2,FALSE)))</f>
        <v>3</v>
      </c>
      <c r="AA1409" s="20">
        <v>1</v>
      </c>
      <c r="AB1409" s="20">
        <v>42</v>
      </c>
      <c r="AC1409" s="20" t="s">
        <v>486</v>
      </c>
      <c r="AD1409" s="20">
        <v>1</v>
      </c>
      <c r="AE1409" s="20">
        <v>3</v>
      </c>
    </row>
    <row r="1410" spans="1:31">
      <c r="A1410" s="20">
        <v>40807</v>
      </c>
      <c r="B1410" s="20" t="s">
        <v>516</v>
      </c>
      <c r="C1410" s="21" t="s">
        <v>4685</v>
      </c>
      <c r="E1410" s="20" t="s">
        <v>1967</v>
      </c>
      <c r="K1410" s="20">
        <v>6</v>
      </c>
      <c r="W1410" s="20">
        <f>IF(Q1410&lt;&gt;0,3,IF(K1410="","",VLOOKUP(K1410,'#状态名词'!$J$1:$K$15,2,FALSE)))</f>
        <v>3</v>
      </c>
      <c r="AA1410" s="20">
        <v>1</v>
      </c>
      <c r="AB1410" s="20">
        <v>35</v>
      </c>
      <c r="AC1410" s="20" t="s">
        <v>496</v>
      </c>
      <c r="AD1410" s="20">
        <v>1</v>
      </c>
    </row>
    <row r="1411" spans="1:31">
      <c r="A1411" s="20">
        <v>40808</v>
      </c>
      <c r="B1411" s="20" t="s">
        <v>517</v>
      </c>
      <c r="C1411" s="21" t="s">
        <v>4686</v>
      </c>
      <c r="E1411" s="20" t="s">
        <v>1968</v>
      </c>
      <c r="Q1411" s="20">
        <v>3</v>
      </c>
      <c r="R1411" s="20">
        <v>1</v>
      </c>
      <c r="S1411" s="20">
        <v>30</v>
      </c>
      <c r="W1411" s="20">
        <f>IF(Q1411&lt;&gt;0,3,IF(K1411="","",VLOOKUP(K1411,'#状态名词'!$J$1:$K$15,2,FALSE)))</f>
        <v>3</v>
      </c>
      <c r="AA1411" s="20">
        <v>1</v>
      </c>
      <c r="AB1411" s="20">
        <v>40808</v>
      </c>
      <c r="AC1411" s="20">
        <v>100</v>
      </c>
      <c r="AD1411" s="20">
        <v>1</v>
      </c>
    </row>
    <row r="1412" spans="1:31">
      <c r="A1412" s="20">
        <v>40809</v>
      </c>
      <c r="B1412" s="20" t="s">
        <v>518</v>
      </c>
      <c r="C1412" s="21" t="s">
        <v>2066</v>
      </c>
      <c r="E1412" s="20" t="s">
        <v>1811</v>
      </c>
      <c r="K1412" s="20">
        <v>9</v>
      </c>
      <c r="W1412" s="20">
        <f>IF(Q1412&lt;&gt;0,3,IF(K1412="","",VLOOKUP(K1412,'#状态名词'!$J$1:$K$15,2,FALSE)))</f>
        <v>3</v>
      </c>
      <c r="AA1412" s="20">
        <v>1</v>
      </c>
      <c r="AB1412" s="20">
        <v>40809</v>
      </c>
      <c r="AC1412" s="20">
        <v>35</v>
      </c>
      <c r="AD1412" s="20">
        <v>1</v>
      </c>
    </row>
    <row r="1413" spans="1:31">
      <c r="A1413" s="20">
        <v>40810</v>
      </c>
      <c r="B1413" s="20" t="s">
        <v>519</v>
      </c>
      <c r="C1413" s="21" t="s">
        <v>4687</v>
      </c>
      <c r="E1413" s="20" t="s">
        <v>1676</v>
      </c>
      <c r="F1413" s="20" t="s">
        <v>520</v>
      </c>
      <c r="H1413" s="20">
        <v>20</v>
      </c>
      <c r="J1413" s="20" t="s">
        <v>1508</v>
      </c>
      <c r="K1413" s="20">
        <v>5</v>
      </c>
      <c r="L1413" s="20">
        <v>15</v>
      </c>
      <c r="N1413" s="20">
        <v>0</v>
      </c>
      <c r="O1413" s="20">
        <v>3</v>
      </c>
      <c r="V1413" s="20">
        <v>20</v>
      </c>
      <c r="W1413" s="20">
        <f>IF(Q1413&lt;&gt;0,3,IF(K1413="","",VLOOKUP(K1413,'#状态名词'!$J$1:$K$15,2,FALSE)))</f>
        <v>1</v>
      </c>
      <c r="AD1413" s="20">
        <v>1</v>
      </c>
    </row>
    <row r="1414" spans="1:31">
      <c r="A1414" s="20">
        <v>40811</v>
      </c>
      <c r="B1414" s="20" t="s">
        <v>521</v>
      </c>
      <c r="C1414" s="21" t="s">
        <v>9042</v>
      </c>
      <c r="E1414" s="20" t="s">
        <v>1649</v>
      </c>
      <c r="H1414" s="20">
        <v>10</v>
      </c>
      <c r="J1414" s="20" t="s">
        <v>1521</v>
      </c>
      <c r="K1414" s="20">
        <v>11</v>
      </c>
      <c r="W1414" s="20">
        <f>IF(Q1414&lt;&gt;0,3,IF(K1414="","",VLOOKUP(K1414,'#状态名词'!$J$1:$K$15,2,FALSE)))</f>
        <v>4</v>
      </c>
      <c r="Y1414" s="20">
        <v>4</v>
      </c>
      <c r="Z1414" s="20">
        <v>40819</v>
      </c>
      <c r="AA1414" s="20">
        <v>1</v>
      </c>
      <c r="AB1414" s="20">
        <v>40811</v>
      </c>
      <c r="AC1414" s="20">
        <v>100</v>
      </c>
      <c r="AD1414" s="20">
        <v>1</v>
      </c>
    </row>
    <row r="1415" spans="1:31">
      <c r="W1415" s="20" t="str">
        <f>IF(Q1415&lt;&gt;0,3,IF(K1415="","",VLOOKUP(K1415,'#状态名词'!$J$1:$K$15,2,FALSE)))</f>
        <v/>
      </c>
      <c r="Y1415" s="20">
        <v>8</v>
      </c>
      <c r="Z1415" s="20">
        <v>40820</v>
      </c>
    </row>
    <row r="1416" spans="1:31">
      <c r="W1416" s="20" t="str">
        <f>IF(Q1416&lt;&gt;0,3,IF(K1416="","",VLOOKUP(K1416,'#状态名词'!$J$1:$K$15,2,FALSE)))</f>
        <v/>
      </c>
      <c r="Y1416" s="20">
        <v>12</v>
      </c>
      <c r="Z1416" s="20">
        <v>40821</v>
      </c>
    </row>
    <row r="1417" spans="1:31">
      <c r="W1417" s="20" t="str">
        <f>IF(Q1417&lt;&gt;0,3,IF(K1417="","",VLOOKUP(K1417,'#状态名词'!$J$1:$K$15,2,FALSE)))</f>
        <v/>
      </c>
      <c r="Y1417" s="20">
        <v>16</v>
      </c>
      <c r="Z1417" s="20">
        <v>40822</v>
      </c>
    </row>
    <row r="1418" spans="1:31">
      <c r="W1418" s="20" t="str">
        <f>IF(Q1418&lt;&gt;0,3,IF(K1418="","",VLOOKUP(K1418,'#状态名词'!$J$1:$K$15,2,FALSE)))</f>
        <v/>
      </c>
      <c r="Y1418" s="20">
        <v>20</v>
      </c>
      <c r="Z1418" s="20">
        <v>40823</v>
      </c>
    </row>
    <row r="1419" spans="1:31">
      <c r="A1419" s="20">
        <v>40812</v>
      </c>
      <c r="B1419" s="20" t="s">
        <v>526</v>
      </c>
      <c r="C1419" s="21" t="s">
        <v>6565</v>
      </c>
      <c r="E1419" s="20" t="s">
        <v>1969</v>
      </c>
      <c r="W1419" s="20" t="str">
        <f>IF(Q1419&lt;&gt;0,3,IF(K1419="","",VLOOKUP(K1419,'#状态名词'!$J$1:$K$15,2,FALSE)))</f>
        <v/>
      </c>
      <c r="AA1419" s="20">
        <v>1</v>
      </c>
      <c r="AB1419" s="20">
        <v>40812</v>
      </c>
      <c r="AC1419" s="20">
        <v>100</v>
      </c>
      <c r="AD1419" s="20">
        <v>1</v>
      </c>
    </row>
    <row r="1420" spans="1:31">
      <c r="A1420" s="20">
        <v>40813</v>
      </c>
      <c r="B1420" s="20" t="s">
        <v>527</v>
      </c>
      <c r="C1420" s="21" t="s">
        <v>6566</v>
      </c>
      <c r="E1420" s="20" t="s">
        <v>1641</v>
      </c>
      <c r="G1420" s="20">
        <v>40810</v>
      </c>
      <c r="J1420" s="19"/>
      <c r="W1420" s="20" t="str">
        <f>IF(Q1420&lt;&gt;0,3,IF(K1420="","",VLOOKUP(K1420,'#状态名词'!$J$1:$K$15,2,FALSE)))</f>
        <v/>
      </c>
      <c r="AA1420" s="20">
        <v>1</v>
      </c>
      <c r="AB1420" s="20">
        <v>43</v>
      </c>
      <c r="AC1420" s="20" t="s">
        <v>528</v>
      </c>
      <c r="AD1420" s="20">
        <v>1</v>
      </c>
      <c r="AE1420" s="20">
        <v>2</v>
      </c>
    </row>
    <row r="1421" spans="1:31">
      <c r="A1421" s="20">
        <v>40814</v>
      </c>
      <c r="B1421" s="20" t="s">
        <v>529</v>
      </c>
      <c r="C1421" s="21" t="s">
        <v>6567</v>
      </c>
      <c r="E1421" s="20" t="s">
        <v>1970</v>
      </c>
      <c r="G1421" s="20">
        <v>40811</v>
      </c>
      <c r="J1421" s="19"/>
      <c r="W1421" s="20" t="str">
        <f>IF(Q1421&lt;&gt;0,3,IF(K1421="","",VLOOKUP(K1421,'#状态名词'!$J$1:$K$15,2,FALSE)))</f>
        <v/>
      </c>
      <c r="AA1421" s="20">
        <v>1</v>
      </c>
      <c r="AB1421" s="20">
        <v>44</v>
      </c>
      <c r="AC1421" s="20" t="s">
        <v>530</v>
      </c>
      <c r="AD1421" s="20">
        <v>1</v>
      </c>
      <c r="AE1421" s="20">
        <v>5</v>
      </c>
    </row>
    <row r="1422" spans="1:31">
      <c r="A1422" s="20">
        <v>40815</v>
      </c>
      <c r="B1422" s="20" t="s">
        <v>531</v>
      </c>
      <c r="C1422" s="21" t="s">
        <v>6568</v>
      </c>
      <c r="E1422" s="20" t="s">
        <v>1971</v>
      </c>
      <c r="W1422" s="20" t="str">
        <f>IF(Q1422&lt;&gt;0,3,IF(K1422="","",VLOOKUP(K1422,'#状态名词'!$J$1:$K$15,2,FALSE)))</f>
        <v/>
      </c>
      <c r="AA1422" s="20">
        <v>1</v>
      </c>
      <c r="AB1422" s="20">
        <v>40815</v>
      </c>
      <c r="AC1422" s="20">
        <v>100</v>
      </c>
      <c r="AD1422" s="20">
        <v>1</v>
      </c>
    </row>
    <row r="1423" spans="1:31">
      <c r="A1423" s="20">
        <v>40816</v>
      </c>
      <c r="B1423" s="20" t="s">
        <v>532</v>
      </c>
      <c r="C1423" s="21" t="s">
        <v>6569</v>
      </c>
      <c r="E1423" s="20" t="s">
        <v>1918</v>
      </c>
      <c r="W1423" s="20" t="str">
        <f>IF(Q1423&lt;&gt;0,3,IF(K1423="","",VLOOKUP(K1423,'#状态名词'!$J$1:$K$15,2,FALSE)))</f>
        <v/>
      </c>
      <c r="AA1423" s="20">
        <v>1</v>
      </c>
      <c r="AB1423" s="20">
        <v>40816</v>
      </c>
      <c r="AC1423" s="20">
        <v>100</v>
      </c>
      <c r="AD1423" s="20">
        <v>1</v>
      </c>
    </row>
    <row r="1424" spans="1:31">
      <c r="A1424" s="20">
        <v>40817</v>
      </c>
      <c r="B1424" s="20" t="s">
        <v>533</v>
      </c>
      <c r="C1424" s="21" t="s">
        <v>4691</v>
      </c>
      <c r="E1424" s="20" t="s">
        <v>1870</v>
      </c>
      <c r="K1424" s="20">
        <v>9</v>
      </c>
      <c r="W1424" s="20">
        <f>IF(Q1424&lt;&gt;0,3,IF(K1424="","",VLOOKUP(K1424,'#状态名词'!$J$1:$K$15,2,FALSE)))</f>
        <v>3</v>
      </c>
      <c r="AA1424" s="20">
        <v>1</v>
      </c>
      <c r="AB1424" s="20">
        <v>40817</v>
      </c>
      <c r="AC1424" s="20" t="s">
        <v>496</v>
      </c>
      <c r="AD1424" s="20">
        <v>0</v>
      </c>
    </row>
    <row r="1425" spans="1:31">
      <c r="A1425" s="20">
        <v>40818</v>
      </c>
      <c r="B1425" s="20" t="s">
        <v>534</v>
      </c>
      <c r="C1425" s="21" t="s">
        <v>4692</v>
      </c>
      <c r="E1425" s="20" t="s">
        <v>1972</v>
      </c>
      <c r="W1425" s="20" t="str">
        <f>IF(Q1425&lt;&gt;0,3,IF(K1425="","",VLOOKUP(K1425,'#状态名词'!$J$1:$K$15,2,FALSE)))</f>
        <v/>
      </c>
      <c r="AA1425" s="20">
        <v>1</v>
      </c>
      <c r="AB1425" s="20">
        <v>40818</v>
      </c>
      <c r="AC1425" s="20">
        <v>100</v>
      </c>
      <c r="AD1425" s="20">
        <v>1</v>
      </c>
    </row>
    <row r="1426" spans="1:31">
      <c r="A1426" s="20">
        <v>40819</v>
      </c>
      <c r="B1426" s="20" t="s">
        <v>4688</v>
      </c>
      <c r="G1426" s="31">
        <v>40811</v>
      </c>
      <c r="W1426" s="20" t="str">
        <f>IF(Q1426&lt;&gt;0,3,IF(K1426="","",VLOOKUP(K1426,'#状态名词'!$J$1:$K$15,2,FALSE)))</f>
        <v/>
      </c>
      <c r="AA1426" s="20">
        <v>1</v>
      </c>
      <c r="AB1426" s="20">
        <v>43</v>
      </c>
      <c r="AC1426" s="20">
        <v>100</v>
      </c>
      <c r="AD1426" s="20">
        <v>1</v>
      </c>
      <c r="AE1426" s="20">
        <v>1</v>
      </c>
    </row>
    <row r="1427" spans="1:31">
      <c r="A1427" s="20">
        <v>40820</v>
      </c>
      <c r="B1427" s="20" t="s">
        <v>522</v>
      </c>
      <c r="G1427" s="31">
        <v>40811</v>
      </c>
      <c r="W1427" s="20" t="str">
        <f>IF(Q1427&lt;&gt;0,3,IF(K1427="","",VLOOKUP(K1427,'#状态名词'!$J$1:$K$15,2,FALSE)))</f>
        <v/>
      </c>
      <c r="AA1427" s="20">
        <v>1</v>
      </c>
      <c r="AB1427" s="20">
        <v>43</v>
      </c>
      <c r="AC1427" s="20">
        <v>100</v>
      </c>
      <c r="AD1427" s="20">
        <v>1</v>
      </c>
      <c r="AE1427" s="20">
        <v>1</v>
      </c>
    </row>
    <row r="1428" spans="1:31">
      <c r="A1428" s="20">
        <v>40821</v>
      </c>
      <c r="B1428" s="20" t="s">
        <v>523</v>
      </c>
      <c r="G1428" s="31">
        <v>40811</v>
      </c>
      <c r="W1428" s="20" t="str">
        <f>IF(Q1428&lt;&gt;0,3,IF(K1428="","",VLOOKUP(K1428,'#状态名词'!$J$1:$K$15,2,FALSE)))</f>
        <v/>
      </c>
      <c r="AA1428" s="20">
        <v>1</v>
      </c>
      <c r="AB1428" s="20">
        <v>43</v>
      </c>
      <c r="AC1428" s="20">
        <v>100</v>
      </c>
      <c r="AD1428" s="20">
        <v>1</v>
      </c>
      <c r="AE1428" s="20">
        <v>1</v>
      </c>
    </row>
    <row r="1429" spans="1:31">
      <c r="A1429" s="20">
        <v>40822</v>
      </c>
      <c r="B1429" s="20" t="s">
        <v>524</v>
      </c>
      <c r="G1429" s="31">
        <v>40811</v>
      </c>
      <c r="W1429" s="20" t="str">
        <f>IF(Q1429&lt;&gt;0,3,IF(K1429="","",VLOOKUP(K1429,'#状态名词'!$J$1:$K$15,2,FALSE)))</f>
        <v/>
      </c>
      <c r="AA1429" s="20">
        <v>1</v>
      </c>
      <c r="AB1429" s="20">
        <v>43</v>
      </c>
      <c r="AC1429" s="20">
        <v>100</v>
      </c>
      <c r="AD1429" s="20">
        <v>1</v>
      </c>
      <c r="AE1429" s="20">
        <v>1</v>
      </c>
    </row>
    <row r="1430" spans="1:31">
      <c r="A1430" s="20">
        <v>40823</v>
      </c>
      <c r="B1430" s="20" t="s">
        <v>525</v>
      </c>
      <c r="G1430" s="31">
        <v>40811</v>
      </c>
      <c r="W1430" s="20" t="str">
        <f>IF(Q1430&lt;&gt;0,3,IF(K1430="","",VLOOKUP(K1430,'#状态名词'!$J$1:$K$15,2,FALSE)))</f>
        <v/>
      </c>
      <c r="AA1430" s="20">
        <v>1</v>
      </c>
      <c r="AB1430" s="20">
        <v>43</v>
      </c>
      <c r="AC1430" s="20">
        <v>100</v>
      </c>
      <c r="AD1430" s="20">
        <v>1</v>
      </c>
      <c r="AE1430" s="20">
        <v>1</v>
      </c>
    </row>
    <row r="1431" spans="1:31">
      <c r="A1431" s="20">
        <v>40901</v>
      </c>
      <c r="B1431" s="20" t="s">
        <v>535</v>
      </c>
      <c r="C1431" s="21" t="s">
        <v>4603</v>
      </c>
      <c r="E1431" s="20" t="s">
        <v>1765</v>
      </c>
      <c r="W1431" s="20" t="str">
        <f>IF(Q1431&lt;&gt;0,3,IF(K1431="","",VLOOKUP(K1431,'#状态名词'!$J$1:$K$15,2,FALSE)))</f>
        <v/>
      </c>
      <c r="AA1431" s="20">
        <v>1</v>
      </c>
      <c r="AB1431" s="20">
        <v>40901</v>
      </c>
      <c r="AC1431" s="20">
        <v>100</v>
      </c>
      <c r="AD1431" s="20">
        <v>1</v>
      </c>
    </row>
    <row r="1432" spans="1:31">
      <c r="A1432" s="20">
        <v>40902</v>
      </c>
      <c r="B1432" s="20" t="s">
        <v>536</v>
      </c>
      <c r="C1432" s="21" t="s">
        <v>4693</v>
      </c>
      <c r="E1432" s="20" t="s">
        <v>1804</v>
      </c>
      <c r="W1432" s="20" t="str">
        <f>IF(Q1432&lt;&gt;0,3,IF(K1432="","",VLOOKUP(K1432,'#状态名词'!$J$1:$K$15,2,FALSE)))</f>
        <v/>
      </c>
      <c r="AA1432" s="20">
        <v>1</v>
      </c>
      <c r="AB1432" s="20">
        <v>40902</v>
      </c>
      <c r="AC1432" s="20">
        <v>100</v>
      </c>
      <c r="AD1432" s="20">
        <v>1</v>
      </c>
    </row>
    <row r="1433" spans="1:31">
      <c r="A1433" s="20">
        <v>40903</v>
      </c>
      <c r="B1433" s="20" t="s">
        <v>537</v>
      </c>
      <c r="C1433" s="21" t="s">
        <v>2056</v>
      </c>
      <c r="E1433" s="20" t="s">
        <v>1949</v>
      </c>
      <c r="W1433" s="20" t="str">
        <f>IF(Q1433&lt;&gt;0,3,IF(K1433="","",VLOOKUP(K1433,'#状态名词'!$J$1:$K$15,2,FALSE)))</f>
        <v/>
      </c>
      <c r="AA1433" s="20">
        <v>1</v>
      </c>
      <c r="AB1433" s="20">
        <v>40903</v>
      </c>
      <c r="AC1433" s="20">
        <v>100</v>
      </c>
      <c r="AD1433" s="20">
        <v>1</v>
      </c>
    </row>
    <row r="1434" spans="1:31">
      <c r="A1434" s="20">
        <v>40904</v>
      </c>
      <c r="B1434" s="20" t="s">
        <v>538</v>
      </c>
      <c r="C1434" s="21" t="s">
        <v>4694</v>
      </c>
      <c r="E1434" s="20" t="s">
        <v>1914</v>
      </c>
      <c r="J1434" s="19"/>
      <c r="W1434" s="20" t="str">
        <f>IF(Q1434&lt;&gt;0,3,IF(K1434="","",VLOOKUP(K1434,'#状态名词'!$J$1:$K$15,2,FALSE)))</f>
        <v/>
      </c>
      <c r="AA1434" s="20">
        <v>1</v>
      </c>
      <c r="AB1434" s="20">
        <v>40904</v>
      </c>
      <c r="AC1434" s="20">
        <v>100</v>
      </c>
      <c r="AD1434" s="20">
        <v>1</v>
      </c>
    </row>
    <row r="1435" spans="1:31">
      <c r="A1435" s="20">
        <v>40905</v>
      </c>
      <c r="B1435" s="20" t="s">
        <v>539</v>
      </c>
      <c r="C1435" s="21" t="s">
        <v>4695</v>
      </c>
      <c r="E1435" s="20" t="s">
        <v>1865</v>
      </c>
      <c r="F1435" s="20" t="s">
        <v>4696</v>
      </c>
      <c r="H1435" s="20">
        <v>20</v>
      </c>
      <c r="J1435" s="20" t="s">
        <v>117</v>
      </c>
      <c r="K1435" s="20">
        <v>5</v>
      </c>
      <c r="L1435" s="20">
        <v>25</v>
      </c>
      <c r="N1435" s="20">
        <v>0</v>
      </c>
      <c r="O1435" s="20">
        <v>3</v>
      </c>
      <c r="W1435" s="20">
        <f>IF(Q1435&lt;&gt;0,3,IF(K1435="","",VLOOKUP(K1435,'#状态名词'!$J$1:$K$15,2,FALSE)))</f>
        <v>1</v>
      </c>
      <c r="AA1435" s="20">
        <v>1</v>
      </c>
      <c r="AB1435" s="20">
        <v>43</v>
      </c>
      <c r="AC1435" s="20">
        <v>100</v>
      </c>
      <c r="AD1435" s="20">
        <v>1</v>
      </c>
      <c r="AE1435" s="20">
        <v>2</v>
      </c>
    </row>
    <row r="1436" spans="1:31">
      <c r="A1436" s="20">
        <v>40906</v>
      </c>
      <c r="B1436" s="20" t="s">
        <v>540</v>
      </c>
      <c r="C1436" s="21" t="s">
        <v>6570</v>
      </c>
      <c r="E1436" s="20" t="s">
        <v>1973</v>
      </c>
      <c r="H1436" s="20">
        <v>25</v>
      </c>
      <c r="J1436" s="20" t="s">
        <v>1522</v>
      </c>
      <c r="K1436" s="20">
        <v>11</v>
      </c>
      <c r="W1436" s="20">
        <f>IF(Q1436&lt;&gt;0,3,IF(K1436="","",VLOOKUP(K1436,'#状态名词'!$J$1:$K$15,2,FALSE)))</f>
        <v>4</v>
      </c>
      <c r="AA1436" s="20">
        <v>1</v>
      </c>
      <c r="AB1436" s="20">
        <v>40906</v>
      </c>
      <c r="AC1436" s="20">
        <v>100</v>
      </c>
      <c r="AD1436" s="20">
        <v>1</v>
      </c>
    </row>
    <row r="1437" spans="1:31">
      <c r="A1437" s="20">
        <v>40907</v>
      </c>
      <c r="B1437" s="20" t="s">
        <v>541</v>
      </c>
      <c r="C1437" s="21" t="s">
        <v>6571</v>
      </c>
      <c r="E1437" s="20" t="s">
        <v>1974</v>
      </c>
      <c r="W1437" s="20" t="str">
        <f>IF(Q1437&lt;&gt;0,3,IF(K1437="","",VLOOKUP(K1437,'#状态名词'!$J$1:$K$15,2,FALSE)))</f>
        <v/>
      </c>
      <c r="AA1437" s="20">
        <v>1</v>
      </c>
      <c r="AB1437" s="20">
        <v>40907</v>
      </c>
      <c r="AC1437" s="20">
        <v>100</v>
      </c>
      <c r="AD1437" s="20">
        <v>1</v>
      </c>
    </row>
    <row r="1438" spans="1:31">
      <c r="A1438" s="20">
        <v>40908</v>
      </c>
      <c r="B1438" s="20" t="s">
        <v>542</v>
      </c>
      <c r="C1438" s="21" t="s">
        <v>6572</v>
      </c>
      <c r="E1438" s="20" t="s">
        <v>1781</v>
      </c>
      <c r="W1438" s="20" t="str">
        <f>IF(Q1438&lt;&gt;0,3,IF(K1438="","",VLOOKUP(K1438,'#状态名词'!$J$1:$K$15,2,FALSE)))</f>
        <v/>
      </c>
      <c r="AA1438" s="20">
        <v>1</v>
      </c>
      <c r="AB1438" s="20">
        <v>40908</v>
      </c>
      <c r="AC1438" s="20">
        <v>100</v>
      </c>
      <c r="AD1438" s="20">
        <v>1</v>
      </c>
    </row>
    <row r="1439" spans="1:31">
      <c r="A1439" s="20">
        <v>40909</v>
      </c>
      <c r="B1439" s="20" t="s">
        <v>543</v>
      </c>
      <c r="C1439" s="21" t="s">
        <v>4699</v>
      </c>
      <c r="E1439" s="20" t="s">
        <v>1946</v>
      </c>
      <c r="G1439" s="20">
        <v>40906</v>
      </c>
      <c r="W1439" s="20" t="str">
        <f>IF(Q1439&lt;&gt;0,3,IF(K1439="","",VLOOKUP(K1439,'#状态名词'!$J$1:$K$15,2,FALSE)))</f>
        <v/>
      </c>
      <c r="AA1439" s="20">
        <v>1</v>
      </c>
      <c r="AB1439" s="20">
        <v>44</v>
      </c>
      <c r="AC1439" s="20" t="s">
        <v>528</v>
      </c>
      <c r="AD1439" s="20">
        <v>1</v>
      </c>
      <c r="AE1439" s="20">
        <v>5</v>
      </c>
    </row>
    <row r="1440" spans="1:31">
      <c r="A1440" s="20">
        <v>40910</v>
      </c>
      <c r="B1440" s="20" t="s">
        <v>544</v>
      </c>
      <c r="C1440" s="21" t="s">
        <v>4700</v>
      </c>
      <c r="E1440" s="20" t="s">
        <v>1733</v>
      </c>
      <c r="K1440" s="20">
        <v>9</v>
      </c>
      <c r="W1440" s="20">
        <f>IF(Q1440&lt;&gt;0,3,IF(K1440="","",VLOOKUP(K1440,'#状态名词'!$J$1:$K$15,2,FALSE)))</f>
        <v>3</v>
      </c>
      <c r="AA1440" s="20">
        <v>1</v>
      </c>
      <c r="AB1440" s="20">
        <v>40910</v>
      </c>
      <c r="AC1440" s="20">
        <v>2</v>
      </c>
      <c r="AD1440" s="20">
        <v>1</v>
      </c>
    </row>
    <row r="1441" spans="1:31">
      <c r="A1441" s="20">
        <v>40911</v>
      </c>
      <c r="B1441" s="20" t="s">
        <v>545</v>
      </c>
      <c r="C1441" s="21" t="s">
        <v>6573</v>
      </c>
      <c r="E1441" s="20" t="s">
        <v>1975</v>
      </c>
      <c r="W1441" s="20" t="str">
        <f>IF(Q1441&lt;&gt;0,3,IF(K1441="","",VLOOKUP(K1441,'#状态名词'!$J$1:$K$15,2,FALSE)))</f>
        <v/>
      </c>
      <c r="AA1441" s="20">
        <v>1</v>
      </c>
      <c r="AB1441" s="20">
        <v>40911</v>
      </c>
      <c r="AC1441" s="20">
        <v>100</v>
      </c>
      <c r="AD1441" s="20">
        <v>1</v>
      </c>
    </row>
    <row r="1442" spans="1:31">
      <c r="A1442" s="20">
        <v>40912</v>
      </c>
      <c r="B1442" s="20" t="s">
        <v>546</v>
      </c>
      <c r="C1442" s="21" t="s">
        <v>7137</v>
      </c>
      <c r="E1442" s="20" t="s">
        <v>1704</v>
      </c>
      <c r="W1442" s="20" t="str">
        <f>IF(Q1442&lt;&gt;0,3,IF(K1442="","",VLOOKUP(K1442,'#状态名词'!$J$1:$K$15,2,FALSE)))</f>
        <v/>
      </c>
      <c r="AA1442" s="20">
        <v>1</v>
      </c>
      <c r="AB1442" s="20">
        <v>40912</v>
      </c>
      <c r="AC1442" s="20">
        <v>100</v>
      </c>
      <c r="AD1442" s="20">
        <v>1</v>
      </c>
    </row>
    <row r="1443" spans="1:31" ht="27">
      <c r="A1443" s="20">
        <v>40913</v>
      </c>
      <c r="B1443" s="20" t="s">
        <v>547</v>
      </c>
      <c r="C1443" s="21" t="s">
        <v>4702</v>
      </c>
      <c r="E1443" s="20" t="s">
        <v>1828</v>
      </c>
      <c r="K1443" s="20">
        <v>9</v>
      </c>
      <c r="W1443" s="20">
        <f>IF(Q1443&lt;&gt;0,3,IF(K1443="","",VLOOKUP(K1443,'#状态名词'!$J$1:$K$15,2,FALSE)))</f>
        <v>3</v>
      </c>
      <c r="AA1443" s="20">
        <v>1</v>
      </c>
      <c r="AB1443" s="20">
        <v>40913</v>
      </c>
      <c r="AC1443" s="20">
        <v>2</v>
      </c>
      <c r="AD1443" s="20">
        <v>0</v>
      </c>
    </row>
    <row r="1444" spans="1:31">
      <c r="A1444" s="20">
        <v>40914</v>
      </c>
      <c r="B1444" s="20" t="s">
        <v>548</v>
      </c>
      <c r="C1444" s="73" t="s">
        <v>9036</v>
      </c>
      <c r="E1444" s="20" t="s">
        <v>1833</v>
      </c>
      <c r="H1444" s="20">
        <v>20</v>
      </c>
      <c r="J1444" s="20" t="s">
        <v>1518</v>
      </c>
      <c r="K1444" s="20">
        <v>11</v>
      </c>
      <c r="W1444" s="20">
        <f>IF(Q1444&lt;&gt;0,3,IF(K1444="","",VLOOKUP(K1444,'#状态名词'!$J$1:$K$15,2,FALSE)))</f>
        <v>4</v>
      </c>
      <c r="Y1444" s="20">
        <v>4</v>
      </c>
      <c r="Z1444" s="20">
        <v>40919</v>
      </c>
      <c r="AA1444" s="20">
        <v>1</v>
      </c>
      <c r="AB1444" s="20">
        <v>40914</v>
      </c>
      <c r="AC1444" s="20">
        <v>100</v>
      </c>
      <c r="AD1444" s="20">
        <v>1</v>
      </c>
    </row>
    <row r="1445" spans="1:31">
      <c r="J1445" s="19"/>
      <c r="W1445" s="20" t="str">
        <f>IF(Q1445&lt;&gt;0,3,IF(K1445="","",VLOOKUP(K1445,'#状态名词'!$J$1:$K$15,2,FALSE)))</f>
        <v/>
      </c>
      <c r="Y1445" s="20">
        <v>8</v>
      </c>
      <c r="Z1445" s="20">
        <v>40920</v>
      </c>
    </row>
    <row r="1446" spans="1:31">
      <c r="J1446" s="19"/>
      <c r="W1446" s="20" t="str">
        <f>IF(Q1446&lt;&gt;0,3,IF(K1446="","",VLOOKUP(K1446,'#状态名词'!$J$1:$K$15,2,FALSE)))</f>
        <v/>
      </c>
      <c r="Y1446" s="20">
        <v>12</v>
      </c>
      <c r="Z1446" s="20">
        <v>40921</v>
      </c>
    </row>
    <row r="1447" spans="1:31">
      <c r="J1447" s="19"/>
      <c r="W1447" s="20" t="str">
        <f>IF(Q1447&lt;&gt;0,3,IF(K1447="","",VLOOKUP(K1447,'#状态名词'!$J$1:$K$15,2,FALSE)))</f>
        <v/>
      </c>
      <c r="Y1447" s="20">
        <v>16</v>
      </c>
      <c r="Z1447" s="20">
        <v>40922</v>
      </c>
    </row>
    <row r="1448" spans="1:31">
      <c r="W1448" s="20" t="str">
        <f>IF(Q1448&lt;&gt;0,3,IF(K1448="","",VLOOKUP(K1448,'#状态名词'!$J$1:$K$15,2,FALSE)))</f>
        <v/>
      </c>
      <c r="Y1448" s="20">
        <v>20</v>
      </c>
      <c r="Z1448" s="20">
        <v>40923</v>
      </c>
    </row>
    <row r="1449" spans="1:31">
      <c r="A1449" s="20">
        <v>40919</v>
      </c>
      <c r="B1449" s="20" t="s">
        <v>4703</v>
      </c>
      <c r="G1449" s="31">
        <v>40914</v>
      </c>
      <c r="W1449" s="20" t="str">
        <f>IF(Q1449&lt;&gt;0,3,IF(K1449="","",VLOOKUP(K1449,'#状态名词'!$J$1:$K$15,2,FALSE)))</f>
        <v/>
      </c>
      <c r="AA1449" s="20">
        <v>1</v>
      </c>
      <c r="AB1449" s="20">
        <v>44</v>
      </c>
      <c r="AC1449" s="20">
        <v>100</v>
      </c>
      <c r="AD1449" s="20">
        <v>1</v>
      </c>
      <c r="AE1449" s="20">
        <v>5</v>
      </c>
    </row>
    <row r="1450" spans="1:31">
      <c r="A1450" s="20">
        <v>40920</v>
      </c>
      <c r="B1450" s="20" t="s">
        <v>549</v>
      </c>
      <c r="G1450" s="31">
        <v>40914</v>
      </c>
      <c r="W1450" s="20" t="str">
        <f>IF(Q1450&lt;&gt;0,3,IF(K1450="","",VLOOKUP(K1450,'#状态名词'!$J$1:$K$15,2,FALSE)))</f>
        <v/>
      </c>
      <c r="AA1450" s="20">
        <v>1</v>
      </c>
      <c r="AB1450" s="20">
        <v>44</v>
      </c>
      <c r="AC1450" s="20">
        <v>100</v>
      </c>
      <c r="AD1450" s="20">
        <v>1</v>
      </c>
      <c r="AE1450" s="20">
        <v>5</v>
      </c>
    </row>
    <row r="1451" spans="1:31">
      <c r="A1451" s="20">
        <v>40921</v>
      </c>
      <c r="B1451" s="20" t="s">
        <v>550</v>
      </c>
      <c r="G1451" s="31">
        <v>40914</v>
      </c>
      <c r="J1451" s="19"/>
      <c r="W1451" s="20" t="str">
        <f>IF(Q1451&lt;&gt;0,3,IF(K1451="","",VLOOKUP(K1451,'#状态名词'!$J$1:$K$15,2,FALSE)))</f>
        <v/>
      </c>
      <c r="AA1451" s="20">
        <v>1</v>
      </c>
      <c r="AB1451" s="20">
        <v>44</v>
      </c>
      <c r="AC1451" s="20">
        <v>100</v>
      </c>
      <c r="AD1451" s="20">
        <v>1</v>
      </c>
      <c r="AE1451" s="20">
        <v>5</v>
      </c>
    </row>
    <row r="1452" spans="1:31">
      <c r="A1452" s="20">
        <v>40922</v>
      </c>
      <c r="B1452" s="20" t="s">
        <v>551</v>
      </c>
      <c r="G1452" s="31">
        <v>40914</v>
      </c>
      <c r="W1452" s="20" t="str">
        <f>IF(Q1452&lt;&gt;0,3,IF(K1452="","",VLOOKUP(K1452,'#状态名词'!$J$1:$K$15,2,FALSE)))</f>
        <v/>
      </c>
      <c r="AA1452" s="20">
        <v>1</v>
      </c>
      <c r="AB1452" s="20">
        <v>44</v>
      </c>
      <c r="AC1452" s="20">
        <v>100</v>
      </c>
      <c r="AD1452" s="20">
        <v>1</v>
      </c>
      <c r="AE1452" s="20">
        <v>5</v>
      </c>
    </row>
    <row r="1453" spans="1:31">
      <c r="A1453" s="20">
        <v>40923</v>
      </c>
      <c r="B1453" s="20" t="s">
        <v>552</v>
      </c>
      <c r="G1453" s="31">
        <v>40914</v>
      </c>
      <c r="W1453" s="20" t="str">
        <f>IF(Q1453&lt;&gt;0,3,IF(K1453="","",VLOOKUP(K1453,'#状态名词'!$J$1:$K$15,2,FALSE)))</f>
        <v/>
      </c>
      <c r="AA1453" s="20">
        <v>1</v>
      </c>
      <c r="AB1453" s="20">
        <v>44</v>
      </c>
      <c r="AC1453" s="20">
        <v>100</v>
      </c>
      <c r="AD1453" s="20">
        <v>1</v>
      </c>
      <c r="AE1453" s="20">
        <v>5</v>
      </c>
    </row>
    <row r="1454" spans="1:31">
      <c r="A1454" s="20">
        <v>40915</v>
      </c>
      <c r="B1454" s="20" t="s">
        <v>553</v>
      </c>
      <c r="C1454" s="21" t="s">
        <v>6574</v>
      </c>
      <c r="E1454" s="20" t="s">
        <v>1657</v>
      </c>
      <c r="W1454" s="20" t="str">
        <f>IF(Q1454&lt;&gt;0,3,IF(K1454="","",VLOOKUP(K1454,'#状态名词'!$J$1:$K$15,2,FALSE)))</f>
        <v/>
      </c>
      <c r="AA1454" s="20">
        <v>1</v>
      </c>
      <c r="AB1454" s="20">
        <v>40915</v>
      </c>
      <c r="AC1454" s="20">
        <v>100</v>
      </c>
      <c r="AD1454" s="20">
        <v>1</v>
      </c>
    </row>
    <row r="1455" spans="1:31">
      <c r="A1455" s="20">
        <v>40916</v>
      </c>
      <c r="B1455" s="20" t="s">
        <v>554</v>
      </c>
      <c r="C1455" s="21" t="s">
        <v>8119</v>
      </c>
      <c r="E1455" s="20" t="s">
        <v>1828</v>
      </c>
      <c r="J1455" s="20" t="s">
        <v>1518</v>
      </c>
      <c r="K1455" s="20">
        <v>11</v>
      </c>
      <c r="W1455" s="20">
        <f>IF(Q1455&lt;&gt;0,3,IF(K1455="","",VLOOKUP(K1455,'#状态名词'!$J$1:$K$15,2,FALSE)))</f>
        <v>4</v>
      </c>
      <c r="AA1455" s="20">
        <v>1</v>
      </c>
      <c r="AB1455" s="20">
        <v>40916</v>
      </c>
      <c r="AC1455" s="20">
        <v>100</v>
      </c>
      <c r="AD1455" s="20">
        <v>1</v>
      </c>
    </row>
    <row r="1456" spans="1:31">
      <c r="A1456" s="20">
        <v>40917</v>
      </c>
      <c r="B1456" s="20" t="s">
        <v>555</v>
      </c>
      <c r="C1456" s="21" t="s">
        <v>6575</v>
      </c>
      <c r="E1456" s="20" t="s">
        <v>1976</v>
      </c>
      <c r="J1456" s="20" t="s">
        <v>1518</v>
      </c>
      <c r="K1456" s="20">
        <v>11</v>
      </c>
      <c r="W1456" s="20">
        <f>IF(Q1456&lt;&gt;0,3,IF(K1456="","",VLOOKUP(K1456,'#状态名词'!$J$1:$K$15,2,FALSE)))</f>
        <v>4</v>
      </c>
      <c r="AA1456" s="20">
        <v>1</v>
      </c>
      <c r="AB1456" s="20">
        <v>40917</v>
      </c>
      <c r="AC1456" s="20">
        <v>100</v>
      </c>
      <c r="AD1456" s="20">
        <v>1</v>
      </c>
    </row>
    <row r="1457" spans="1:31">
      <c r="A1457" s="20">
        <v>40918</v>
      </c>
      <c r="B1457" s="20" t="s">
        <v>557</v>
      </c>
      <c r="C1457" s="21" t="s">
        <v>6576</v>
      </c>
      <c r="E1457" s="20" t="s">
        <v>1732</v>
      </c>
      <c r="J1457" s="20" t="s">
        <v>1518</v>
      </c>
      <c r="K1457" s="20">
        <v>11</v>
      </c>
      <c r="W1457" s="20">
        <f>IF(Q1457&lt;&gt;0,3,IF(K1457="","",VLOOKUP(K1457,'#状态名词'!$J$1:$K$15,2,FALSE)))</f>
        <v>4</v>
      </c>
      <c r="AA1457" s="20">
        <v>1</v>
      </c>
      <c r="AB1457" s="20">
        <v>40918</v>
      </c>
      <c r="AC1457" s="20">
        <v>100</v>
      </c>
      <c r="AD1457" s="20">
        <v>1</v>
      </c>
    </row>
    <row r="1458" spans="1:31">
      <c r="A1458" s="20">
        <v>41001</v>
      </c>
      <c r="B1458" s="20" t="s">
        <v>558</v>
      </c>
      <c r="C1458" s="21" t="s">
        <v>4708</v>
      </c>
      <c r="E1458" s="20" t="s">
        <v>1977</v>
      </c>
      <c r="W1458" s="20" t="str">
        <f>IF(Q1458&lt;&gt;0,3,IF(K1458="","",VLOOKUP(K1458,'#状态名词'!$J$1:$K$15,2,FALSE)))</f>
        <v/>
      </c>
      <c r="AA1458" s="20">
        <v>1</v>
      </c>
      <c r="AB1458" s="20">
        <v>41001</v>
      </c>
      <c r="AC1458" s="20">
        <v>100</v>
      </c>
      <c r="AD1458" s="20">
        <v>1</v>
      </c>
    </row>
    <row r="1459" spans="1:31">
      <c r="A1459" s="20">
        <v>41002</v>
      </c>
      <c r="B1459" s="20" t="s">
        <v>559</v>
      </c>
      <c r="C1459" s="21" t="s">
        <v>4628</v>
      </c>
      <c r="E1459" s="20" t="s">
        <v>1783</v>
      </c>
      <c r="W1459" s="20" t="str">
        <f>IF(Q1459&lt;&gt;0,3,IF(K1459="","",VLOOKUP(K1459,'#状态名词'!$J$1:$K$15,2,FALSE)))</f>
        <v/>
      </c>
      <c r="AA1459" s="20">
        <v>1</v>
      </c>
      <c r="AB1459" s="20">
        <v>41002</v>
      </c>
      <c r="AC1459" s="20">
        <v>100</v>
      </c>
      <c r="AD1459" s="20">
        <v>1</v>
      </c>
    </row>
    <row r="1460" spans="1:31">
      <c r="A1460" s="20">
        <v>41003</v>
      </c>
      <c r="B1460" s="20" t="s">
        <v>560</v>
      </c>
      <c r="C1460" s="21" t="s">
        <v>2056</v>
      </c>
      <c r="E1460" s="20" t="s">
        <v>1859</v>
      </c>
      <c r="W1460" s="20" t="str">
        <f>IF(Q1460&lt;&gt;0,3,IF(K1460="","",VLOOKUP(K1460,'#状态名词'!$J$1:$K$15,2,FALSE)))</f>
        <v/>
      </c>
      <c r="AA1460" s="20">
        <v>1</v>
      </c>
      <c r="AB1460" s="20">
        <v>41003</v>
      </c>
      <c r="AC1460" s="20">
        <v>100</v>
      </c>
      <c r="AD1460" s="20">
        <v>1</v>
      </c>
    </row>
    <row r="1461" spans="1:31">
      <c r="A1461" s="20">
        <v>41004</v>
      </c>
      <c r="B1461" s="20" t="s">
        <v>561</v>
      </c>
      <c r="C1461" s="21" t="s">
        <v>9037</v>
      </c>
      <c r="E1461" s="20" t="s">
        <v>1978</v>
      </c>
      <c r="J1461" s="19" t="s">
        <v>1518</v>
      </c>
      <c r="K1461" s="20">
        <v>11</v>
      </c>
      <c r="W1461" s="20">
        <f>IF(Q1461&lt;&gt;0,3,IF(K1461="","",VLOOKUP(K1461,'#状态名词'!$J$1:$K$15,2,FALSE)))</f>
        <v>4</v>
      </c>
      <c r="Y1461" s="20">
        <v>4</v>
      </c>
      <c r="Z1461" s="20">
        <v>41019</v>
      </c>
      <c r="AA1461" s="20">
        <v>1</v>
      </c>
      <c r="AB1461" s="20">
        <v>41004</v>
      </c>
      <c r="AC1461" s="20">
        <v>100</v>
      </c>
      <c r="AD1461" s="20">
        <v>1</v>
      </c>
    </row>
    <row r="1462" spans="1:31">
      <c r="W1462" s="20" t="str">
        <f>IF(Q1462&lt;&gt;0,3,IF(K1462="","",VLOOKUP(K1462,'#状态名词'!$J$1:$K$15,2,FALSE)))</f>
        <v/>
      </c>
      <c r="Y1462" s="20">
        <v>8</v>
      </c>
      <c r="Z1462" s="20">
        <v>41020</v>
      </c>
    </row>
    <row r="1463" spans="1:31">
      <c r="W1463" s="20" t="str">
        <f>IF(Q1463&lt;&gt;0,3,IF(K1463="","",VLOOKUP(K1463,'#状态名词'!$J$1:$K$15,2,FALSE)))</f>
        <v/>
      </c>
      <c r="Y1463" s="20">
        <v>12</v>
      </c>
      <c r="Z1463" s="20">
        <v>41021</v>
      </c>
    </row>
    <row r="1464" spans="1:31">
      <c r="W1464" s="20" t="str">
        <f>IF(Q1464&lt;&gt;0,3,IF(K1464="","",VLOOKUP(K1464,'#状态名词'!$J$1:$K$15,2,FALSE)))</f>
        <v/>
      </c>
      <c r="Y1464" s="20">
        <v>16</v>
      </c>
      <c r="Z1464" s="20">
        <v>41022</v>
      </c>
    </row>
    <row r="1465" spans="1:31">
      <c r="W1465" s="20" t="str">
        <f>IF(Q1465&lt;&gt;0,3,IF(K1465="","",VLOOKUP(K1465,'#状态名词'!$J$1:$K$15,2,FALSE)))</f>
        <v/>
      </c>
      <c r="Y1465" s="20">
        <v>20</v>
      </c>
      <c r="Z1465" s="20">
        <v>41023</v>
      </c>
    </row>
    <row r="1466" spans="1:31">
      <c r="A1466" s="20">
        <v>41019</v>
      </c>
      <c r="B1466" s="20" t="s">
        <v>4709</v>
      </c>
      <c r="G1466" s="31">
        <v>41004</v>
      </c>
      <c r="W1466" s="20" t="str">
        <f>IF(Q1466&lt;&gt;0,3,IF(K1466="","",VLOOKUP(K1466,'#状态名词'!$J$1:$K$15,2,FALSE)))</f>
        <v/>
      </c>
      <c r="AA1466" s="20">
        <v>1</v>
      </c>
      <c r="AB1466" s="20">
        <v>33</v>
      </c>
      <c r="AC1466" s="20">
        <v>100</v>
      </c>
      <c r="AD1466" s="20">
        <v>1</v>
      </c>
      <c r="AE1466" s="20">
        <v>2</v>
      </c>
    </row>
    <row r="1467" spans="1:31">
      <c r="A1467" s="20">
        <v>41020</v>
      </c>
      <c r="B1467" s="20" t="s">
        <v>562</v>
      </c>
      <c r="G1467" s="31">
        <v>41004</v>
      </c>
      <c r="W1467" s="20" t="str">
        <f>IF(Q1467&lt;&gt;0,3,IF(K1467="","",VLOOKUP(K1467,'#状态名词'!$J$1:$K$15,2,FALSE)))</f>
        <v/>
      </c>
      <c r="AA1467" s="20">
        <v>1</v>
      </c>
      <c r="AB1467" s="20">
        <v>33</v>
      </c>
      <c r="AC1467" s="20">
        <v>100</v>
      </c>
      <c r="AD1467" s="20">
        <v>1</v>
      </c>
      <c r="AE1467" s="20">
        <v>2</v>
      </c>
    </row>
    <row r="1468" spans="1:31">
      <c r="A1468" s="20">
        <v>41021</v>
      </c>
      <c r="B1468" s="20" t="s">
        <v>563</v>
      </c>
      <c r="G1468" s="31">
        <v>41004</v>
      </c>
      <c r="W1468" s="20" t="str">
        <f>IF(Q1468&lt;&gt;0,3,IF(K1468="","",VLOOKUP(K1468,'#状态名词'!$J$1:$K$15,2,FALSE)))</f>
        <v/>
      </c>
      <c r="AA1468" s="20">
        <v>1</v>
      </c>
      <c r="AB1468" s="20">
        <v>33</v>
      </c>
      <c r="AC1468" s="20">
        <v>100</v>
      </c>
      <c r="AD1468" s="20">
        <v>1</v>
      </c>
      <c r="AE1468" s="20">
        <v>2</v>
      </c>
    </row>
    <row r="1469" spans="1:31">
      <c r="A1469" s="20">
        <v>41022</v>
      </c>
      <c r="B1469" s="20" t="s">
        <v>564</v>
      </c>
      <c r="G1469" s="31">
        <v>41004</v>
      </c>
      <c r="W1469" s="20" t="str">
        <f>IF(Q1469&lt;&gt;0,3,IF(K1469="","",VLOOKUP(K1469,'#状态名词'!$J$1:$K$15,2,FALSE)))</f>
        <v/>
      </c>
      <c r="AA1469" s="20">
        <v>1</v>
      </c>
      <c r="AB1469" s="20">
        <v>33</v>
      </c>
      <c r="AC1469" s="20">
        <v>100</v>
      </c>
      <c r="AD1469" s="20">
        <v>1</v>
      </c>
      <c r="AE1469" s="20">
        <v>2</v>
      </c>
    </row>
    <row r="1470" spans="1:31">
      <c r="A1470" s="20">
        <v>41023</v>
      </c>
      <c r="B1470" s="20" t="s">
        <v>565</v>
      </c>
      <c r="G1470" s="31">
        <v>41004</v>
      </c>
      <c r="W1470" s="20" t="str">
        <f>IF(Q1470&lt;&gt;0,3,IF(K1470="","",VLOOKUP(K1470,'#状态名词'!$J$1:$K$15,2,FALSE)))</f>
        <v/>
      </c>
      <c r="AA1470" s="20">
        <v>1</v>
      </c>
      <c r="AB1470" s="20">
        <v>33</v>
      </c>
      <c r="AC1470" s="20">
        <v>100</v>
      </c>
      <c r="AD1470" s="20">
        <v>1</v>
      </c>
      <c r="AE1470" s="20">
        <v>2</v>
      </c>
    </row>
    <row r="1471" spans="1:31">
      <c r="A1471" s="20">
        <v>41005</v>
      </c>
      <c r="B1471" s="20" t="s">
        <v>566</v>
      </c>
      <c r="C1471" s="21" t="s">
        <v>9038</v>
      </c>
      <c r="E1471" s="20" t="s">
        <v>1879</v>
      </c>
      <c r="J1471" s="20" t="s">
        <v>1518</v>
      </c>
      <c r="K1471" s="20">
        <v>11</v>
      </c>
      <c r="W1471" s="20">
        <f>IF(Q1471&lt;&gt;0,3,IF(K1471="","",VLOOKUP(K1471,'#状态名词'!$J$1:$K$15,2,FALSE)))</f>
        <v>4</v>
      </c>
      <c r="Y1471" s="20">
        <v>4</v>
      </c>
      <c r="Z1471" s="20">
        <v>41024</v>
      </c>
      <c r="AA1471" s="20">
        <v>1</v>
      </c>
      <c r="AB1471" s="20">
        <v>41005</v>
      </c>
      <c r="AC1471" s="20">
        <v>100</v>
      </c>
      <c r="AD1471" s="20">
        <v>1</v>
      </c>
    </row>
    <row r="1472" spans="1:31">
      <c r="J1472" s="19"/>
      <c r="W1472" s="20" t="str">
        <f>IF(Q1472&lt;&gt;0,3,IF(K1472="","",VLOOKUP(K1472,'#状态名词'!$J$1:$K$15,2,FALSE)))</f>
        <v/>
      </c>
      <c r="Y1472" s="20">
        <v>8</v>
      </c>
      <c r="Z1472" s="20">
        <v>41025</v>
      </c>
    </row>
    <row r="1473" spans="1:31">
      <c r="W1473" s="20" t="str">
        <f>IF(Q1473&lt;&gt;0,3,IF(K1473="","",VLOOKUP(K1473,'#状态名词'!$J$1:$K$15,2,FALSE)))</f>
        <v/>
      </c>
      <c r="Y1473" s="20">
        <v>12</v>
      </c>
      <c r="Z1473" s="20">
        <v>41026</v>
      </c>
    </row>
    <row r="1474" spans="1:31">
      <c r="W1474" s="20" t="str">
        <f>IF(Q1474&lt;&gt;0,3,IF(K1474="","",VLOOKUP(K1474,'#状态名词'!$J$1:$K$15,2,FALSE)))</f>
        <v/>
      </c>
      <c r="Y1474" s="20">
        <v>16</v>
      </c>
      <c r="Z1474" s="20">
        <v>41027</v>
      </c>
    </row>
    <row r="1475" spans="1:31">
      <c r="W1475" s="20" t="str">
        <f>IF(Q1475&lt;&gt;0,3,IF(K1475="","",VLOOKUP(K1475,'#状态名词'!$J$1:$K$15,2,FALSE)))</f>
        <v/>
      </c>
      <c r="Y1475" s="20">
        <v>20</v>
      </c>
      <c r="Z1475" s="20">
        <v>41028</v>
      </c>
    </row>
    <row r="1476" spans="1:31">
      <c r="A1476" s="20">
        <v>41024</v>
      </c>
      <c r="B1476" s="20" t="s">
        <v>4710</v>
      </c>
      <c r="G1476" s="31">
        <v>41005</v>
      </c>
      <c r="W1476" s="20" t="str">
        <f>IF(Q1476&lt;&gt;0,3,IF(K1476="","",VLOOKUP(K1476,'#状态名词'!$J$1:$K$15,2,FALSE)))</f>
        <v/>
      </c>
      <c r="AA1476" s="20">
        <v>1</v>
      </c>
      <c r="AB1476" s="20">
        <v>32</v>
      </c>
      <c r="AC1476" s="20">
        <v>100</v>
      </c>
      <c r="AD1476" s="20">
        <v>1</v>
      </c>
      <c r="AE1476" s="20">
        <v>2</v>
      </c>
    </row>
    <row r="1477" spans="1:31">
      <c r="A1477" s="20">
        <v>41025</v>
      </c>
      <c r="B1477" s="20" t="s">
        <v>567</v>
      </c>
      <c r="G1477" s="31">
        <v>41005</v>
      </c>
      <c r="W1477" s="20" t="str">
        <f>IF(Q1477&lt;&gt;0,3,IF(K1477="","",VLOOKUP(K1477,'#状态名词'!$J$1:$K$15,2,FALSE)))</f>
        <v/>
      </c>
      <c r="AA1477" s="20">
        <v>1</v>
      </c>
      <c r="AB1477" s="20">
        <v>32</v>
      </c>
      <c r="AC1477" s="20">
        <v>100</v>
      </c>
      <c r="AD1477" s="20">
        <v>1</v>
      </c>
      <c r="AE1477" s="20">
        <v>2</v>
      </c>
    </row>
    <row r="1478" spans="1:31">
      <c r="A1478" s="20">
        <v>41026</v>
      </c>
      <c r="B1478" s="20" t="s">
        <v>568</v>
      </c>
      <c r="G1478" s="31">
        <v>41005</v>
      </c>
      <c r="W1478" s="20" t="str">
        <f>IF(Q1478&lt;&gt;0,3,IF(K1478="","",VLOOKUP(K1478,'#状态名词'!$J$1:$K$15,2,FALSE)))</f>
        <v/>
      </c>
      <c r="AA1478" s="20">
        <v>1</v>
      </c>
      <c r="AB1478" s="20">
        <v>32</v>
      </c>
      <c r="AC1478" s="20">
        <v>100</v>
      </c>
      <c r="AD1478" s="20">
        <v>1</v>
      </c>
      <c r="AE1478" s="20">
        <v>2</v>
      </c>
    </row>
    <row r="1479" spans="1:31">
      <c r="A1479" s="20">
        <v>41027</v>
      </c>
      <c r="B1479" s="20" t="s">
        <v>569</v>
      </c>
      <c r="G1479" s="31">
        <v>41005</v>
      </c>
      <c r="W1479" s="20" t="str">
        <f>IF(Q1479&lt;&gt;0,3,IF(K1479="","",VLOOKUP(K1479,'#状态名词'!$J$1:$K$15,2,FALSE)))</f>
        <v/>
      </c>
      <c r="AA1479" s="20">
        <v>1</v>
      </c>
      <c r="AB1479" s="20">
        <v>32</v>
      </c>
      <c r="AC1479" s="20">
        <v>100</v>
      </c>
      <c r="AD1479" s="20">
        <v>1</v>
      </c>
      <c r="AE1479" s="20">
        <v>2</v>
      </c>
    </row>
    <row r="1480" spans="1:31">
      <c r="A1480" s="20">
        <v>41028</v>
      </c>
      <c r="B1480" s="20" t="s">
        <v>570</v>
      </c>
      <c r="G1480" s="31">
        <v>41005</v>
      </c>
      <c r="W1480" s="20" t="str">
        <f>IF(Q1480&lt;&gt;0,3,IF(K1480="","",VLOOKUP(K1480,'#状态名词'!$J$1:$K$15,2,FALSE)))</f>
        <v/>
      </c>
      <c r="AA1480" s="20">
        <v>1</v>
      </c>
      <c r="AB1480" s="20">
        <v>32</v>
      </c>
      <c r="AC1480" s="20">
        <v>100</v>
      </c>
      <c r="AD1480" s="20">
        <v>1</v>
      </c>
      <c r="AE1480" s="20">
        <v>2</v>
      </c>
    </row>
    <row r="1481" spans="1:31">
      <c r="A1481" s="20">
        <v>41006</v>
      </c>
      <c r="B1481" s="20" t="s">
        <v>571</v>
      </c>
      <c r="C1481" s="21" t="s">
        <v>464</v>
      </c>
      <c r="E1481" s="20" t="s">
        <v>1953</v>
      </c>
      <c r="W1481" s="20" t="str">
        <f>IF(Q1481&lt;&gt;0,3,IF(K1481="","",VLOOKUP(K1481,'#状态名词'!$J$1:$K$15,2,FALSE)))</f>
        <v/>
      </c>
      <c r="AA1481" s="20">
        <v>1</v>
      </c>
      <c r="AB1481" s="20">
        <v>41006</v>
      </c>
      <c r="AC1481" s="20">
        <v>100</v>
      </c>
      <c r="AD1481" s="20">
        <v>1</v>
      </c>
    </row>
    <row r="1482" spans="1:31">
      <c r="A1482" s="20">
        <v>41007</v>
      </c>
      <c r="B1482" s="20" t="s">
        <v>572</v>
      </c>
      <c r="C1482" s="21" t="s">
        <v>9039</v>
      </c>
      <c r="E1482" s="20" t="s">
        <v>1730</v>
      </c>
      <c r="J1482" s="20" t="s">
        <v>1518</v>
      </c>
      <c r="K1482" s="20">
        <v>11</v>
      </c>
      <c r="W1482" s="20">
        <f>IF(Q1482&lt;&gt;0,3,IF(K1482="","",VLOOKUP(K1482,'#状态名词'!$J$1:$K$15,2,FALSE)))</f>
        <v>4</v>
      </c>
      <c r="Y1482" s="20">
        <v>4</v>
      </c>
      <c r="Z1482" s="20">
        <v>41029</v>
      </c>
      <c r="AA1482" s="20">
        <v>1</v>
      </c>
      <c r="AB1482" s="20">
        <v>41007</v>
      </c>
      <c r="AC1482" s="20">
        <v>100</v>
      </c>
      <c r="AD1482" s="20">
        <v>1</v>
      </c>
    </row>
    <row r="1483" spans="1:31">
      <c r="W1483" s="20" t="str">
        <f>IF(Q1483&lt;&gt;0,3,IF(K1483="","",VLOOKUP(K1483,'#状态名词'!$J$1:$K$15,2,FALSE)))</f>
        <v/>
      </c>
      <c r="Y1483" s="20">
        <v>8</v>
      </c>
      <c r="Z1483" s="20">
        <v>41030</v>
      </c>
    </row>
    <row r="1484" spans="1:31">
      <c r="J1484" s="19"/>
      <c r="W1484" s="20" t="str">
        <f>IF(Q1484&lt;&gt;0,3,IF(K1484="","",VLOOKUP(K1484,'#状态名词'!$J$1:$K$15,2,FALSE)))</f>
        <v/>
      </c>
      <c r="Y1484" s="20">
        <v>12</v>
      </c>
      <c r="Z1484" s="20">
        <v>41031</v>
      </c>
    </row>
    <row r="1485" spans="1:31">
      <c r="W1485" s="20" t="str">
        <f>IF(Q1485&lt;&gt;0,3,IF(K1485="","",VLOOKUP(K1485,'#状态名词'!$J$1:$K$15,2,FALSE)))</f>
        <v/>
      </c>
      <c r="Y1485" s="20">
        <v>16</v>
      </c>
      <c r="Z1485" s="20">
        <v>41032</v>
      </c>
    </row>
    <row r="1486" spans="1:31">
      <c r="W1486" s="20" t="str">
        <f>IF(Q1486&lt;&gt;0,3,IF(K1486="","",VLOOKUP(K1486,'#状态名词'!$J$1:$K$15,2,FALSE)))</f>
        <v/>
      </c>
      <c r="Y1486" s="20">
        <v>20</v>
      </c>
      <c r="Z1486" s="20">
        <v>41033</v>
      </c>
    </row>
    <row r="1487" spans="1:31">
      <c r="A1487" s="20">
        <v>41029</v>
      </c>
      <c r="B1487" s="20" t="s">
        <v>4711</v>
      </c>
      <c r="G1487" s="31">
        <v>41007</v>
      </c>
      <c r="W1487" s="20" t="str">
        <f>IF(Q1487&lt;&gt;0,3,IF(K1487="","",VLOOKUP(K1487,'#状态名词'!$J$1:$K$15,2,FALSE)))</f>
        <v/>
      </c>
      <c r="AA1487" s="20">
        <v>1</v>
      </c>
      <c r="AB1487" s="20">
        <v>34</v>
      </c>
      <c r="AC1487" s="20">
        <v>100</v>
      </c>
      <c r="AD1487" s="20">
        <v>1</v>
      </c>
      <c r="AE1487" s="20">
        <v>2</v>
      </c>
    </row>
    <row r="1488" spans="1:31">
      <c r="A1488" s="20">
        <v>41030</v>
      </c>
      <c r="B1488" s="20" t="s">
        <v>573</v>
      </c>
      <c r="G1488" s="31">
        <v>41007</v>
      </c>
      <c r="W1488" s="20" t="str">
        <f>IF(Q1488&lt;&gt;0,3,IF(K1488="","",VLOOKUP(K1488,'#状态名词'!$J$1:$K$15,2,FALSE)))</f>
        <v/>
      </c>
      <c r="AA1488" s="20">
        <v>1</v>
      </c>
      <c r="AB1488" s="20">
        <v>34</v>
      </c>
      <c r="AC1488" s="20">
        <v>100</v>
      </c>
      <c r="AD1488" s="20">
        <v>1</v>
      </c>
      <c r="AE1488" s="20">
        <v>2</v>
      </c>
    </row>
    <row r="1489" spans="1:31">
      <c r="A1489" s="20">
        <v>41031</v>
      </c>
      <c r="B1489" s="20" t="s">
        <v>574</v>
      </c>
      <c r="G1489" s="31">
        <v>41007</v>
      </c>
      <c r="W1489" s="20" t="str">
        <f>IF(Q1489&lt;&gt;0,3,IF(K1489="","",VLOOKUP(K1489,'#状态名词'!$J$1:$K$15,2,FALSE)))</f>
        <v/>
      </c>
      <c r="AA1489" s="20">
        <v>1</v>
      </c>
      <c r="AB1489" s="20">
        <v>34</v>
      </c>
      <c r="AC1489" s="20">
        <v>100</v>
      </c>
      <c r="AD1489" s="20">
        <v>1</v>
      </c>
      <c r="AE1489" s="20">
        <v>2</v>
      </c>
    </row>
    <row r="1490" spans="1:31">
      <c r="A1490" s="20">
        <v>41032</v>
      </c>
      <c r="B1490" s="20" t="s">
        <v>575</v>
      </c>
      <c r="G1490" s="31">
        <v>41007</v>
      </c>
      <c r="W1490" s="20" t="str">
        <f>IF(Q1490&lt;&gt;0,3,IF(K1490="","",VLOOKUP(K1490,'#状态名词'!$J$1:$K$15,2,FALSE)))</f>
        <v/>
      </c>
      <c r="AA1490" s="20">
        <v>1</v>
      </c>
      <c r="AB1490" s="20">
        <v>34</v>
      </c>
      <c r="AC1490" s="20">
        <v>100</v>
      </c>
      <c r="AD1490" s="20">
        <v>1</v>
      </c>
      <c r="AE1490" s="20">
        <v>2</v>
      </c>
    </row>
    <row r="1491" spans="1:31">
      <c r="A1491" s="20">
        <v>41033</v>
      </c>
      <c r="B1491" s="20" t="s">
        <v>576</v>
      </c>
      <c r="G1491" s="31">
        <v>41007</v>
      </c>
      <c r="W1491" s="20" t="str">
        <f>IF(Q1491&lt;&gt;0,3,IF(K1491="","",VLOOKUP(K1491,'#状态名词'!$J$1:$K$15,2,FALSE)))</f>
        <v/>
      </c>
      <c r="AA1491" s="20">
        <v>1</v>
      </c>
      <c r="AB1491" s="20">
        <v>34</v>
      </c>
      <c r="AC1491" s="20">
        <v>100</v>
      </c>
      <c r="AD1491" s="20">
        <v>1</v>
      </c>
      <c r="AE1491" s="20">
        <v>2</v>
      </c>
    </row>
    <row r="1492" spans="1:31">
      <c r="A1492" s="20">
        <v>41008</v>
      </c>
      <c r="B1492" s="20" t="s">
        <v>577</v>
      </c>
      <c r="C1492" s="21" t="s">
        <v>4712</v>
      </c>
      <c r="E1492" s="20" t="s">
        <v>1679</v>
      </c>
      <c r="W1492" s="20" t="str">
        <f>IF(Q1492&lt;&gt;0,3,IF(K1492="","",VLOOKUP(K1492,'#状态名词'!$J$1:$K$15,2,FALSE)))</f>
        <v/>
      </c>
      <c r="AA1492" s="20">
        <v>1</v>
      </c>
      <c r="AB1492" s="20">
        <v>41008</v>
      </c>
      <c r="AC1492" s="20">
        <v>100</v>
      </c>
      <c r="AD1492" s="20">
        <v>1</v>
      </c>
    </row>
    <row r="1493" spans="1:31">
      <c r="A1493" s="20">
        <v>41009</v>
      </c>
      <c r="B1493" s="20" t="s">
        <v>578</v>
      </c>
      <c r="C1493" s="21" t="s">
        <v>4713</v>
      </c>
      <c r="E1493" s="20" t="s">
        <v>1703</v>
      </c>
      <c r="W1493" s="20" t="str">
        <f>IF(Q1493&lt;&gt;0,3,IF(K1493="","",VLOOKUP(K1493,'#状态名词'!$J$1:$K$15,2,FALSE)))</f>
        <v/>
      </c>
      <c r="AA1493" s="20">
        <v>1</v>
      </c>
      <c r="AB1493" s="20">
        <v>41009</v>
      </c>
      <c r="AC1493" s="20">
        <v>100</v>
      </c>
      <c r="AD1493" s="20">
        <v>1</v>
      </c>
    </row>
    <row r="1494" spans="1:31">
      <c r="A1494" s="20">
        <v>41010</v>
      </c>
      <c r="B1494" s="20" t="s">
        <v>579</v>
      </c>
      <c r="C1494" s="21" t="s">
        <v>9041</v>
      </c>
      <c r="E1494" s="20" t="s">
        <v>1758</v>
      </c>
      <c r="J1494" s="20" t="s">
        <v>1518</v>
      </c>
      <c r="K1494" s="20">
        <v>11</v>
      </c>
      <c r="W1494" s="20">
        <f>IF(Q1494&lt;&gt;0,3,IF(K1494="","",VLOOKUP(K1494,'#状态名词'!$J$1:$K$15,2,FALSE)))</f>
        <v>4</v>
      </c>
      <c r="Y1494" s="20">
        <v>4</v>
      </c>
      <c r="Z1494" s="20">
        <v>41034</v>
      </c>
      <c r="AA1494" s="20">
        <v>1</v>
      </c>
      <c r="AB1494" s="20">
        <v>41010</v>
      </c>
      <c r="AC1494" s="20">
        <v>100</v>
      </c>
      <c r="AD1494" s="20">
        <v>1</v>
      </c>
    </row>
    <row r="1495" spans="1:31">
      <c r="W1495" s="20" t="str">
        <f>IF(Q1495&lt;&gt;0,3,IF(K1495="","",VLOOKUP(K1495,'#状态名词'!$J$1:$K$15,2,FALSE)))</f>
        <v/>
      </c>
      <c r="Y1495" s="20">
        <v>8</v>
      </c>
      <c r="Z1495" s="20">
        <v>41035</v>
      </c>
    </row>
    <row r="1496" spans="1:31">
      <c r="W1496" s="20" t="str">
        <f>IF(Q1496&lt;&gt;0,3,IF(K1496="","",VLOOKUP(K1496,'#状态名词'!$J$1:$K$15,2,FALSE)))</f>
        <v/>
      </c>
      <c r="Y1496" s="20">
        <v>12</v>
      </c>
      <c r="Z1496" s="20">
        <v>41036</v>
      </c>
    </row>
    <row r="1497" spans="1:31">
      <c r="W1497" s="20" t="str">
        <f>IF(Q1497&lt;&gt;0,3,IF(K1497="","",VLOOKUP(K1497,'#状态名词'!$J$1:$K$15,2,FALSE)))</f>
        <v/>
      </c>
      <c r="Y1497" s="20">
        <v>16</v>
      </c>
      <c r="Z1497" s="20">
        <v>41037</v>
      </c>
    </row>
    <row r="1498" spans="1:31">
      <c r="J1498" s="19"/>
      <c r="W1498" s="20" t="str">
        <f>IF(Q1498&lt;&gt;0,3,IF(K1498="","",VLOOKUP(K1498,'#状态名词'!$J$1:$K$15,2,FALSE)))</f>
        <v/>
      </c>
      <c r="Y1498" s="20">
        <v>20</v>
      </c>
      <c r="Z1498" s="20">
        <v>41038</v>
      </c>
    </row>
    <row r="1499" spans="1:31">
      <c r="A1499" s="20">
        <v>41034</v>
      </c>
      <c r="B1499" s="20" t="s">
        <v>4714</v>
      </c>
      <c r="G1499" s="31">
        <v>41010</v>
      </c>
      <c r="J1499" s="19"/>
      <c r="W1499" s="20" t="str">
        <f>IF(Q1499&lt;&gt;0,3,IF(K1499="","",VLOOKUP(K1499,'#状态名词'!$J$1:$K$15,2,FALSE)))</f>
        <v/>
      </c>
      <c r="AA1499" s="20">
        <v>1</v>
      </c>
      <c r="AB1499" s="20">
        <v>44</v>
      </c>
      <c r="AC1499" s="20">
        <v>100</v>
      </c>
      <c r="AD1499" s="20">
        <v>1</v>
      </c>
      <c r="AE1499" s="20">
        <v>2</v>
      </c>
    </row>
    <row r="1500" spans="1:31">
      <c r="A1500" s="20">
        <v>41035</v>
      </c>
      <c r="B1500" s="20" t="s">
        <v>580</v>
      </c>
      <c r="G1500" s="31">
        <v>41010</v>
      </c>
      <c r="W1500" s="20" t="str">
        <f>IF(Q1500&lt;&gt;0,3,IF(K1500="","",VLOOKUP(K1500,'#状态名词'!$J$1:$K$15,2,FALSE)))</f>
        <v/>
      </c>
      <c r="AA1500" s="20">
        <v>1</v>
      </c>
      <c r="AB1500" s="20">
        <v>44</v>
      </c>
      <c r="AC1500" s="20">
        <v>100</v>
      </c>
      <c r="AD1500" s="20">
        <v>1</v>
      </c>
      <c r="AE1500" s="20">
        <v>2</v>
      </c>
    </row>
    <row r="1501" spans="1:31">
      <c r="A1501" s="20">
        <v>41036</v>
      </c>
      <c r="B1501" s="20" t="s">
        <v>581</v>
      </c>
      <c r="G1501" s="31">
        <v>41010</v>
      </c>
      <c r="W1501" s="20" t="str">
        <f>IF(Q1501&lt;&gt;0,3,IF(K1501="","",VLOOKUP(K1501,'#状态名词'!$J$1:$K$15,2,FALSE)))</f>
        <v/>
      </c>
      <c r="AA1501" s="20">
        <v>1</v>
      </c>
      <c r="AB1501" s="20">
        <v>44</v>
      </c>
      <c r="AC1501" s="20">
        <v>100</v>
      </c>
      <c r="AD1501" s="20">
        <v>1</v>
      </c>
      <c r="AE1501" s="20">
        <v>2</v>
      </c>
    </row>
    <row r="1502" spans="1:31">
      <c r="A1502" s="20">
        <v>41037</v>
      </c>
      <c r="B1502" s="20" t="s">
        <v>582</v>
      </c>
      <c r="G1502" s="31">
        <v>41010</v>
      </c>
      <c r="W1502" s="20" t="str">
        <f>IF(Q1502&lt;&gt;0,3,IF(K1502="","",VLOOKUP(K1502,'#状态名词'!$J$1:$K$15,2,FALSE)))</f>
        <v/>
      </c>
      <c r="AA1502" s="20">
        <v>1</v>
      </c>
      <c r="AB1502" s="20">
        <v>44</v>
      </c>
      <c r="AC1502" s="20">
        <v>100</v>
      </c>
      <c r="AD1502" s="20">
        <v>1</v>
      </c>
      <c r="AE1502" s="20">
        <v>2</v>
      </c>
    </row>
    <row r="1503" spans="1:31">
      <c r="A1503" s="20">
        <v>41038</v>
      </c>
      <c r="B1503" s="20" t="s">
        <v>583</v>
      </c>
      <c r="G1503" s="31">
        <v>41010</v>
      </c>
      <c r="W1503" s="20" t="str">
        <f>IF(Q1503&lt;&gt;0,3,IF(K1503="","",VLOOKUP(K1503,'#状态名词'!$J$1:$K$15,2,FALSE)))</f>
        <v/>
      </c>
      <c r="AA1503" s="20">
        <v>1</v>
      </c>
      <c r="AB1503" s="20">
        <v>44</v>
      </c>
      <c r="AC1503" s="20">
        <v>100</v>
      </c>
      <c r="AD1503" s="20">
        <v>1</v>
      </c>
      <c r="AE1503" s="20">
        <v>2</v>
      </c>
    </row>
    <row r="1504" spans="1:31">
      <c r="A1504" s="20">
        <v>41011</v>
      </c>
      <c r="B1504" s="20" t="s">
        <v>584</v>
      </c>
      <c r="C1504" s="21" t="s">
        <v>6577</v>
      </c>
      <c r="E1504" s="20" t="s">
        <v>1979</v>
      </c>
      <c r="W1504" s="20" t="str">
        <f>IF(Q1504&lt;&gt;0,3,IF(K1504="","",VLOOKUP(K1504,'#状态名词'!$J$1:$K$15,2,FALSE)))</f>
        <v/>
      </c>
      <c r="Y1504" s="20">
        <v>10</v>
      </c>
      <c r="Z1504" s="20">
        <v>41044</v>
      </c>
      <c r="AA1504" s="20">
        <v>1</v>
      </c>
      <c r="AB1504" s="20">
        <v>41011</v>
      </c>
      <c r="AC1504" s="20">
        <v>100</v>
      </c>
      <c r="AD1504" s="20">
        <v>1</v>
      </c>
    </row>
    <row r="1505" spans="1:31">
      <c r="W1505" s="20" t="str">
        <f>IF(Q1505&lt;&gt;0,3,IF(K1505="","",VLOOKUP(K1505,'#状态名词'!$J$1:$K$15,2,FALSE)))</f>
        <v/>
      </c>
      <c r="Y1505" s="20">
        <v>20</v>
      </c>
      <c r="Z1505" s="20">
        <v>41045</v>
      </c>
    </row>
    <row r="1506" spans="1:31">
      <c r="A1506" s="20">
        <v>41044</v>
      </c>
      <c r="B1506" s="20" t="s">
        <v>4715</v>
      </c>
      <c r="C1506" s="21" t="s">
        <v>722</v>
      </c>
      <c r="W1506" s="20" t="str">
        <f>IF(Q1506&lt;&gt;0,3,IF(K1506="","",VLOOKUP(K1506,'#状态名词'!$J$1:$K$15,2,FALSE)))</f>
        <v/>
      </c>
      <c r="AA1506" s="20">
        <v>1</v>
      </c>
      <c r="AB1506" s="20">
        <v>41044</v>
      </c>
      <c r="AC1506" s="20">
        <v>100</v>
      </c>
      <c r="AD1506" s="20">
        <v>1</v>
      </c>
    </row>
    <row r="1507" spans="1:31">
      <c r="A1507" s="20">
        <v>41045</v>
      </c>
      <c r="B1507" s="20" t="s">
        <v>4716</v>
      </c>
      <c r="C1507" s="21" t="s">
        <v>722</v>
      </c>
      <c r="W1507" s="20" t="str">
        <f>IF(Q1507&lt;&gt;0,3,IF(K1507="","",VLOOKUP(K1507,'#状态名词'!$J$1:$K$15,2,FALSE)))</f>
        <v/>
      </c>
      <c r="AA1507" s="20">
        <v>1</v>
      </c>
      <c r="AB1507" s="20">
        <v>41044</v>
      </c>
      <c r="AC1507" s="20">
        <v>100</v>
      </c>
      <c r="AD1507" s="20">
        <v>1</v>
      </c>
    </row>
    <row r="1508" spans="1:31" ht="27">
      <c r="A1508" s="20">
        <v>41012</v>
      </c>
      <c r="B1508" s="20" t="s">
        <v>585</v>
      </c>
      <c r="C1508" s="21" t="s">
        <v>7127</v>
      </c>
      <c r="E1508" s="20" t="s">
        <v>1771</v>
      </c>
      <c r="F1508" s="20" t="s">
        <v>7128</v>
      </c>
      <c r="H1508" s="20">
        <v>20</v>
      </c>
      <c r="J1508" s="20" t="s">
        <v>1472</v>
      </c>
      <c r="K1508" s="20">
        <v>5</v>
      </c>
      <c r="L1508" s="20">
        <v>30</v>
      </c>
      <c r="N1508" s="20">
        <v>3</v>
      </c>
      <c r="O1508" s="20">
        <v>1</v>
      </c>
      <c r="W1508" s="20">
        <f>IF(Q1508&lt;&gt;0,3,IF(K1508="","",VLOOKUP(K1508,'#状态名词'!$J$1:$K$15,2,FALSE)))</f>
        <v>1</v>
      </c>
    </row>
    <row r="1509" spans="1:31">
      <c r="A1509" s="20">
        <v>41013</v>
      </c>
      <c r="B1509" s="20" t="s">
        <v>586</v>
      </c>
      <c r="C1509" s="21" t="s">
        <v>9040</v>
      </c>
      <c r="E1509" s="20" t="s">
        <v>1980</v>
      </c>
      <c r="J1509" s="20" t="s">
        <v>1523</v>
      </c>
      <c r="K1509" s="20">
        <v>11</v>
      </c>
      <c r="W1509" s="20">
        <f>IF(Q1509&lt;&gt;0,3,IF(K1509="","",VLOOKUP(K1509,'#状态名词'!$J$1:$K$15,2,FALSE)))</f>
        <v>4</v>
      </c>
      <c r="Y1509" s="20">
        <v>4</v>
      </c>
      <c r="Z1509" s="20">
        <v>41039</v>
      </c>
      <c r="AA1509" s="20">
        <v>1</v>
      </c>
      <c r="AB1509" s="20">
        <v>41013</v>
      </c>
      <c r="AC1509" s="20">
        <v>100</v>
      </c>
      <c r="AD1509" s="20">
        <v>1</v>
      </c>
    </row>
    <row r="1510" spans="1:31">
      <c r="W1510" s="20" t="str">
        <f>IF(Q1510&lt;&gt;0,3,IF(K1510="","",VLOOKUP(K1510,'#状态名词'!$J$1:$K$15,2,FALSE)))</f>
        <v/>
      </c>
      <c r="Y1510" s="20">
        <v>8</v>
      </c>
      <c r="Z1510" s="20">
        <v>41040</v>
      </c>
    </row>
    <row r="1511" spans="1:31">
      <c r="J1511" s="19"/>
      <c r="W1511" s="20" t="str">
        <f>IF(Q1511&lt;&gt;0,3,IF(K1511="","",VLOOKUP(K1511,'#状态名词'!$J$1:$K$15,2,FALSE)))</f>
        <v/>
      </c>
      <c r="Y1511" s="20">
        <v>12</v>
      </c>
      <c r="Z1511" s="20">
        <v>41041</v>
      </c>
    </row>
    <row r="1512" spans="1:31">
      <c r="W1512" s="20" t="str">
        <f>IF(Q1512&lt;&gt;0,3,IF(K1512="","",VLOOKUP(K1512,'#状态名词'!$J$1:$K$15,2,FALSE)))</f>
        <v/>
      </c>
      <c r="Y1512" s="20">
        <v>16</v>
      </c>
      <c r="Z1512" s="20">
        <v>41042</v>
      </c>
    </row>
    <row r="1513" spans="1:31">
      <c r="W1513" s="20" t="str">
        <f>IF(Q1513&lt;&gt;0,3,IF(K1513="","",VLOOKUP(K1513,'#状态名词'!$J$1:$K$15,2,FALSE)))</f>
        <v/>
      </c>
      <c r="Y1513" s="20">
        <v>20</v>
      </c>
      <c r="Z1513" s="20">
        <v>41043</v>
      </c>
    </row>
    <row r="1514" spans="1:31">
      <c r="A1514" s="20">
        <v>41039</v>
      </c>
      <c r="B1514" s="20" t="s">
        <v>4717</v>
      </c>
      <c r="G1514" s="31">
        <v>41013</v>
      </c>
      <c r="J1514" s="19"/>
      <c r="W1514" s="20" t="str">
        <f>IF(Q1514&lt;&gt;0,3,IF(K1514="","",VLOOKUP(K1514,'#状态名词'!$J$1:$K$15,2,FALSE)))</f>
        <v/>
      </c>
      <c r="AA1514" s="20">
        <v>1</v>
      </c>
      <c r="AB1514" s="20">
        <v>42</v>
      </c>
      <c r="AC1514" s="20">
        <v>100</v>
      </c>
      <c r="AD1514" s="20">
        <v>1</v>
      </c>
      <c r="AE1514" s="20">
        <v>2</v>
      </c>
    </row>
    <row r="1515" spans="1:31">
      <c r="A1515" s="20">
        <v>41040</v>
      </c>
      <c r="B1515" s="20" t="s">
        <v>587</v>
      </c>
      <c r="G1515" s="31">
        <v>41013</v>
      </c>
      <c r="J1515" s="19"/>
      <c r="W1515" s="20" t="str">
        <f>IF(Q1515&lt;&gt;0,3,IF(K1515="","",VLOOKUP(K1515,'#状态名词'!$J$1:$K$15,2,FALSE)))</f>
        <v/>
      </c>
      <c r="AA1515" s="20">
        <v>1</v>
      </c>
      <c r="AB1515" s="20">
        <v>42</v>
      </c>
      <c r="AC1515" s="20">
        <v>100</v>
      </c>
      <c r="AD1515" s="20">
        <v>1</v>
      </c>
      <c r="AE1515" s="20">
        <v>2</v>
      </c>
    </row>
    <row r="1516" spans="1:31">
      <c r="A1516" s="20">
        <v>41041</v>
      </c>
      <c r="B1516" s="20" t="s">
        <v>588</v>
      </c>
      <c r="G1516" s="31">
        <v>41013</v>
      </c>
      <c r="W1516" s="20" t="str">
        <f>IF(Q1516&lt;&gt;0,3,IF(K1516="","",VLOOKUP(K1516,'#状态名词'!$J$1:$K$15,2,FALSE)))</f>
        <v/>
      </c>
      <c r="AA1516" s="20">
        <v>1</v>
      </c>
      <c r="AB1516" s="20">
        <v>42</v>
      </c>
      <c r="AC1516" s="20">
        <v>100</v>
      </c>
      <c r="AD1516" s="20">
        <v>1</v>
      </c>
      <c r="AE1516" s="20">
        <v>2</v>
      </c>
    </row>
    <row r="1517" spans="1:31">
      <c r="A1517" s="20">
        <v>41042</v>
      </c>
      <c r="B1517" s="20" t="s">
        <v>589</v>
      </c>
      <c r="G1517" s="31">
        <v>41013</v>
      </c>
      <c r="J1517" s="19"/>
      <c r="W1517" s="20" t="str">
        <f>IF(Q1517&lt;&gt;0,3,IF(K1517="","",VLOOKUP(K1517,'#状态名词'!$J$1:$K$15,2,FALSE)))</f>
        <v/>
      </c>
      <c r="AA1517" s="20">
        <v>1</v>
      </c>
      <c r="AB1517" s="20">
        <v>42</v>
      </c>
      <c r="AC1517" s="20">
        <v>100</v>
      </c>
      <c r="AD1517" s="20">
        <v>1</v>
      </c>
      <c r="AE1517" s="20">
        <v>2</v>
      </c>
    </row>
    <row r="1518" spans="1:31">
      <c r="A1518" s="20">
        <v>41043</v>
      </c>
      <c r="B1518" s="20" t="s">
        <v>590</v>
      </c>
      <c r="G1518" s="31">
        <v>41013</v>
      </c>
      <c r="W1518" s="20" t="str">
        <f>IF(Q1518&lt;&gt;0,3,IF(K1518="","",VLOOKUP(K1518,'#状态名词'!$J$1:$K$15,2,FALSE)))</f>
        <v/>
      </c>
      <c r="AA1518" s="20">
        <v>1</v>
      </c>
      <c r="AB1518" s="20">
        <v>42</v>
      </c>
      <c r="AC1518" s="20">
        <v>100</v>
      </c>
      <c r="AD1518" s="20">
        <v>1</v>
      </c>
      <c r="AE1518" s="20">
        <v>2</v>
      </c>
    </row>
    <row r="1519" spans="1:31">
      <c r="A1519" s="20">
        <v>41014</v>
      </c>
      <c r="B1519" s="20" t="s">
        <v>591</v>
      </c>
      <c r="C1519" s="21" t="s">
        <v>2059</v>
      </c>
      <c r="E1519" s="20" t="s">
        <v>1643</v>
      </c>
      <c r="J1519" s="19"/>
      <c r="W1519" s="20" t="str">
        <f>IF(Q1519&lt;&gt;0,3,IF(K1519="","",VLOOKUP(K1519,'#状态名词'!$J$1:$K$15,2,FALSE)))</f>
        <v/>
      </c>
      <c r="AA1519" s="20">
        <v>1</v>
      </c>
      <c r="AB1519" s="20">
        <v>41014</v>
      </c>
      <c r="AC1519" s="20">
        <v>100</v>
      </c>
      <c r="AD1519" s="20">
        <v>1</v>
      </c>
    </row>
    <row r="1520" spans="1:31">
      <c r="A1520" s="20">
        <v>41015</v>
      </c>
      <c r="B1520" s="20" t="s">
        <v>592</v>
      </c>
      <c r="C1520" s="21" t="s">
        <v>4625</v>
      </c>
      <c r="E1520" s="20" t="s">
        <v>1770</v>
      </c>
      <c r="J1520" s="19"/>
      <c r="W1520" s="20" t="str">
        <f>IF(Q1520&lt;&gt;0,3,IF(K1520="","",VLOOKUP(K1520,'#状态名词'!$J$1:$K$15,2,FALSE)))</f>
        <v/>
      </c>
      <c r="AA1520" s="20">
        <v>1</v>
      </c>
      <c r="AB1520" s="20">
        <v>41015</v>
      </c>
      <c r="AC1520" s="20">
        <v>100</v>
      </c>
      <c r="AD1520" s="20">
        <v>1</v>
      </c>
    </row>
    <row r="1521" spans="1:31">
      <c r="A1521" s="20">
        <v>41016</v>
      </c>
      <c r="B1521" s="21" t="s">
        <v>593</v>
      </c>
      <c r="C1521" s="21" t="s">
        <v>7499</v>
      </c>
      <c r="E1521" s="20" t="s">
        <v>1796</v>
      </c>
      <c r="H1521" s="20">
        <v>20</v>
      </c>
      <c r="J1521" s="19" t="s">
        <v>1523</v>
      </c>
      <c r="K1521" s="20">
        <v>11</v>
      </c>
      <c r="W1521" s="20">
        <f>IF(Q1521&lt;&gt;0,3,IF(K1521="","",VLOOKUP(K1521,'#状态名词'!$J$1:$K$15,2,FALSE)))</f>
        <v>4</v>
      </c>
      <c r="AA1521" s="20">
        <v>1</v>
      </c>
      <c r="AB1521" s="20">
        <v>41016</v>
      </c>
      <c r="AC1521" s="20">
        <v>100</v>
      </c>
      <c r="AD1521" s="20">
        <v>1</v>
      </c>
    </row>
    <row r="1522" spans="1:31">
      <c r="A1522" s="20">
        <v>41017</v>
      </c>
      <c r="B1522" s="20" t="s">
        <v>594</v>
      </c>
      <c r="C1522" s="21" t="s">
        <v>4606</v>
      </c>
      <c r="E1522" s="20" t="s">
        <v>1639</v>
      </c>
      <c r="W1522" s="20" t="str">
        <f>IF(Q1522&lt;&gt;0,3,IF(K1522="","",VLOOKUP(K1522,'#状态名词'!$J$1:$K$15,2,FALSE)))</f>
        <v/>
      </c>
      <c r="AA1522" s="20">
        <v>1</v>
      </c>
      <c r="AB1522" s="20">
        <v>41017</v>
      </c>
      <c r="AC1522" s="20">
        <v>100</v>
      </c>
      <c r="AD1522" s="20">
        <v>1</v>
      </c>
    </row>
    <row r="1523" spans="1:31">
      <c r="A1523" s="20">
        <v>41018</v>
      </c>
      <c r="B1523" s="20" t="s">
        <v>595</v>
      </c>
      <c r="C1523" s="21" t="s">
        <v>8120</v>
      </c>
      <c r="E1523" s="20" t="s">
        <v>1724</v>
      </c>
      <c r="W1523" s="20" t="str">
        <f>IF(Q1523&lt;&gt;0,3,IF(K1523="","",VLOOKUP(K1523,'#状态名词'!$J$1:$K$15,2,FALSE)))</f>
        <v/>
      </c>
      <c r="AA1523" s="20">
        <v>1</v>
      </c>
      <c r="AB1523" s="20">
        <v>41018</v>
      </c>
      <c r="AC1523" s="20">
        <v>100</v>
      </c>
      <c r="AD1523" s="20">
        <v>1</v>
      </c>
    </row>
    <row r="1524" spans="1:31">
      <c r="A1524" s="20">
        <v>50001</v>
      </c>
      <c r="B1524" s="20" t="s">
        <v>491</v>
      </c>
      <c r="C1524" s="21" t="s">
        <v>6579</v>
      </c>
      <c r="F1524" s="20" t="s">
        <v>4718</v>
      </c>
      <c r="H1524" s="20">
        <v>20</v>
      </c>
      <c r="J1524" s="20" t="s">
        <v>114</v>
      </c>
      <c r="K1524" s="20">
        <v>5</v>
      </c>
      <c r="L1524" s="20">
        <v>30</v>
      </c>
      <c r="N1524" s="20">
        <v>4</v>
      </c>
      <c r="O1524" s="20">
        <v>1</v>
      </c>
      <c r="W1524" s="20">
        <f>IF(Q1524&lt;&gt;0,3,IF(K1524="","",VLOOKUP(K1524,'#状态名词'!$J$1:$K$15,2,FALSE)))</f>
        <v>1</v>
      </c>
      <c r="AA1524" s="20">
        <v>1</v>
      </c>
      <c r="AB1524" s="20">
        <v>12</v>
      </c>
      <c r="AC1524" s="20">
        <v>100</v>
      </c>
      <c r="AD1524" s="20">
        <v>0</v>
      </c>
      <c r="AE1524" s="20">
        <v>3</v>
      </c>
    </row>
    <row r="1525" spans="1:31">
      <c r="A1525" s="20">
        <v>50002</v>
      </c>
      <c r="B1525" s="20" t="s">
        <v>4719</v>
      </c>
      <c r="C1525" s="21" t="s">
        <v>4720</v>
      </c>
      <c r="F1525" s="20" t="s">
        <v>864</v>
      </c>
      <c r="H1525" s="20">
        <v>20</v>
      </c>
      <c r="J1525" s="19" t="s">
        <v>1466</v>
      </c>
      <c r="K1525" s="20">
        <v>5</v>
      </c>
      <c r="L1525" s="20">
        <v>30</v>
      </c>
      <c r="N1525" s="20">
        <v>2</v>
      </c>
      <c r="O1525" s="20">
        <v>0</v>
      </c>
      <c r="W1525" s="20">
        <f>IF(Q1525&lt;&gt;0,3,IF(K1525="","",VLOOKUP(K1525,'#状态名词'!$J$1:$K$15,2,FALSE)))</f>
        <v>1</v>
      </c>
      <c r="AA1525" s="20">
        <v>1</v>
      </c>
      <c r="AB1525" s="20">
        <v>4</v>
      </c>
      <c r="AC1525" s="20">
        <v>30</v>
      </c>
      <c r="AD1525" s="20">
        <v>0</v>
      </c>
      <c r="AE1525" s="20">
        <v>3</v>
      </c>
    </row>
    <row r="1526" spans="1:31">
      <c r="A1526" s="20">
        <v>50003</v>
      </c>
      <c r="B1526" s="20" t="s">
        <v>4721</v>
      </c>
      <c r="C1526" s="21" t="s">
        <v>6578</v>
      </c>
      <c r="J1526" s="19"/>
      <c r="K1526" s="20">
        <v>9</v>
      </c>
      <c r="W1526" s="20">
        <f>IF(Q1526&lt;&gt;0,3,IF(K1526="","",VLOOKUP(K1526,'#状态名词'!$J$1:$K$15,2,FALSE)))</f>
        <v>3</v>
      </c>
      <c r="AA1526" s="20">
        <v>1</v>
      </c>
      <c r="AB1526" s="20">
        <v>2</v>
      </c>
      <c r="AC1526" s="20">
        <v>20</v>
      </c>
      <c r="AD1526" s="20">
        <v>0</v>
      </c>
      <c r="AE1526" s="20">
        <v>1</v>
      </c>
    </row>
    <row r="1527" spans="1:31">
      <c r="A1527" s="20">
        <v>50004</v>
      </c>
      <c r="B1527" s="20" t="s">
        <v>4722</v>
      </c>
      <c r="C1527" s="21" t="s">
        <v>4723</v>
      </c>
      <c r="F1527" s="20" t="s">
        <v>864</v>
      </c>
      <c r="H1527" s="20">
        <v>20</v>
      </c>
      <c r="J1527" s="19" t="s">
        <v>113</v>
      </c>
      <c r="K1527" s="20">
        <v>5</v>
      </c>
      <c r="L1527" s="20">
        <v>30</v>
      </c>
      <c r="O1527" s="20">
        <v>0</v>
      </c>
      <c r="W1527" s="20">
        <f>IF(Q1527&lt;&gt;0,3,IF(K1527="","",VLOOKUP(K1527,'#状态名词'!$J$1:$K$15,2,FALSE)))</f>
        <v>1</v>
      </c>
      <c r="AA1527" s="20">
        <v>1</v>
      </c>
      <c r="AB1527" s="20">
        <v>4</v>
      </c>
      <c r="AC1527" s="20">
        <v>30</v>
      </c>
      <c r="AD1527" s="20">
        <v>0</v>
      </c>
      <c r="AE1527" s="20">
        <v>3</v>
      </c>
    </row>
    <row r="1528" spans="1:31">
      <c r="A1528" s="20">
        <v>50005</v>
      </c>
      <c r="B1528" s="20" t="s">
        <v>4724</v>
      </c>
      <c r="C1528" s="21" t="s">
        <v>4725</v>
      </c>
      <c r="J1528" s="19"/>
      <c r="K1528" s="20">
        <v>9</v>
      </c>
      <c r="W1528" s="20">
        <f>IF(Q1528&lt;&gt;0,3,IF(K1528="","",VLOOKUP(K1528,'#状态名词'!$J$1:$K$15,2,FALSE)))</f>
        <v>3</v>
      </c>
      <c r="AA1528" s="20">
        <v>1</v>
      </c>
      <c r="AB1528" s="20">
        <v>50001</v>
      </c>
      <c r="AC1528" s="20">
        <v>100</v>
      </c>
      <c r="AD1528" s="20">
        <v>1</v>
      </c>
    </row>
    <row r="1529" spans="1:31">
      <c r="A1529" s="20">
        <v>50006</v>
      </c>
      <c r="B1529" s="20" t="s">
        <v>4726</v>
      </c>
      <c r="C1529" s="21" t="s">
        <v>4727</v>
      </c>
      <c r="F1529" s="20" t="s">
        <v>865</v>
      </c>
      <c r="H1529" s="20">
        <v>20</v>
      </c>
      <c r="J1529" s="20" t="s">
        <v>1515</v>
      </c>
      <c r="K1529" s="20">
        <v>5</v>
      </c>
      <c r="L1529" s="20">
        <v>30</v>
      </c>
      <c r="O1529" s="20">
        <v>0</v>
      </c>
      <c r="W1529" s="20">
        <f>IF(Q1529&lt;&gt;0,3,IF(K1529="","",VLOOKUP(K1529,'#状态名词'!$J$1:$K$15,2,FALSE)))</f>
        <v>1</v>
      </c>
    </row>
    <row r="1530" spans="1:31">
      <c r="A1530" s="20">
        <v>50007</v>
      </c>
      <c r="B1530" s="20" t="s">
        <v>4728</v>
      </c>
      <c r="C1530" s="21" t="s">
        <v>6637</v>
      </c>
      <c r="F1530" s="20" t="s">
        <v>4729</v>
      </c>
      <c r="H1530" s="20">
        <v>20</v>
      </c>
      <c r="J1530" s="20" t="s">
        <v>1493</v>
      </c>
      <c r="K1530" s="20">
        <v>5</v>
      </c>
      <c r="L1530" s="20">
        <v>30</v>
      </c>
      <c r="O1530" s="20">
        <v>1</v>
      </c>
      <c r="W1530" s="20">
        <f>IF(Q1530&lt;&gt;0,3,IF(K1530="","",VLOOKUP(K1530,'#状态名词'!$J$1:$K$15,2,FALSE)))</f>
        <v>1</v>
      </c>
      <c r="AA1530" s="20">
        <v>1</v>
      </c>
      <c r="AB1530" s="20">
        <v>50036</v>
      </c>
      <c r="AC1530" s="20">
        <v>100</v>
      </c>
      <c r="AD1530" s="20">
        <v>2</v>
      </c>
    </row>
    <row r="1531" spans="1:31">
      <c r="A1531" s="20">
        <v>50008</v>
      </c>
      <c r="B1531" s="20" t="s">
        <v>4730</v>
      </c>
      <c r="C1531" s="21" t="s">
        <v>4731</v>
      </c>
      <c r="F1531" s="20" t="s">
        <v>864</v>
      </c>
      <c r="H1531" s="20">
        <v>20</v>
      </c>
      <c r="J1531" s="20" t="s">
        <v>1516</v>
      </c>
      <c r="K1531" s="20">
        <v>5</v>
      </c>
      <c r="L1531" s="20">
        <v>30</v>
      </c>
      <c r="N1531" s="20">
        <v>4</v>
      </c>
      <c r="O1531" s="20">
        <v>0</v>
      </c>
      <c r="W1531" s="20">
        <f>IF(Q1531&lt;&gt;0,3,IF(K1531="","",VLOOKUP(K1531,'#状态名词'!$J$1:$K$15,2,FALSE)))</f>
        <v>1</v>
      </c>
      <c r="AA1531" s="20">
        <v>1</v>
      </c>
      <c r="AB1531" s="20">
        <v>4</v>
      </c>
      <c r="AC1531" s="20">
        <v>30</v>
      </c>
      <c r="AD1531" s="20">
        <v>0</v>
      </c>
      <c r="AE1531" s="20">
        <v>3</v>
      </c>
    </row>
    <row r="1532" spans="1:31">
      <c r="A1532" s="20">
        <v>50009</v>
      </c>
      <c r="B1532" s="20" t="s">
        <v>4732</v>
      </c>
      <c r="C1532" s="21" t="s">
        <v>6638</v>
      </c>
      <c r="W1532" s="20" t="str">
        <f>IF(Q1532&lt;&gt;0,3,IF(K1532="","",VLOOKUP(K1532,'#状态名词'!$J$1:$K$15,2,FALSE)))</f>
        <v/>
      </c>
      <c r="AB1532" s="20">
        <v>50004</v>
      </c>
    </row>
    <row r="1533" spans="1:31">
      <c r="A1533" s="20">
        <v>50010</v>
      </c>
      <c r="B1533" s="20" t="s">
        <v>4734</v>
      </c>
      <c r="C1533" s="21" t="s">
        <v>6639</v>
      </c>
      <c r="K1533" s="20">
        <v>9</v>
      </c>
      <c r="W1533" s="20">
        <f>IF(Q1533&lt;&gt;0,3,IF(K1533="","",VLOOKUP(K1533,'#状态名词'!$J$1:$K$15,2,FALSE)))</f>
        <v>3</v>
      </c>
      <c r="AA1533" s="20">
        <v>1</v>
      </c>
      <c r="AB1533" s="20">
        <v>50005</v>
      </c>
      <c r="AC1533" s="20">
        <v>100</v>
      </c>
      <c r="AD1533" s="20">
        <v>1</v>
      </c>
    </row>
    <row r="1534" spans="1:31">
      <c r="W1534" s="20" t="str">
        <f>IF(Q1534&lt;&gt;0,3,IF(K1534="","",VLOOKUP(K1534,'#状态名词'!$J$1:$K$15,2,FALSE)))</f>
        <v/>
      </c>
      <c r="AA1534" s="20">
        <v>1</v>
      </c>
      <c r="AB1534" s="20">
        <v>50006</v>
      </c>
      <c r="AC1534" s="20">
        <v>100</v>
      </c>
      <c r="AD1534" s="20">
        <v>0</v>
      </c>
    </row>
    <row r="1535" spans="1:31">
      <c r="A1535" s="20">
        <v>50011</v>
      </c>
      <c r="B1535" s="20" t="s">
        <v>4285</v>
      </c>
      <c r="C1535" s="21" t="s">
        <v>4736</v>
      </c>
      <c r="F1535" s="20" t="s">
        <v>864</v>
      </c>
      <c r="H1535" s="20">
        <v>20</v>
      </c>
      <c r="J1535" s="20" t="s">
        <v>110</v>
      </c>
      <c r="K1535" s="20">
        <v>5</v>
      </c>
      <c r="L1535" s="20">
        <v>30</v>
      </c>
      <c r="O1535" s="20">
        <v>0</v>
      </c>
      <c r="W1535" s="20">
        <f>IF(Q1535&lt;&gt;0,3,IF(K1535="","",VLOOKUP(K1535,'#状态名词'!$J$1:$K$15,2,FALSE)))</f>
        <v>1</v>
      </c>
    </row>
    <row r="1536" spans="1:31">
      <c r="A1536" s="20">
        <v>50012</v>
      </c>
      <c r="B1536" s="20" t="s">
        <v>4737</v>
      </c>
      <c r="C1536" s="21" t="s">
        <v>1531</v>
      </c>
      <c r="F1536" s="20" t="s">
        <v>4729</v>
      </c>
      <c r="H1536" s="20">
        <v>20</v>
      </c>
      <c r="J1536" s="20" t="s">
        <v>115</v>
      </c>
      <c r="K1536" s="20">
        <v>5</v>
      </c>
      <c r="L1536" s="20">
        <v>30</v>
      </c>
      <c r="O1536" s="20">
        <v>1</v>
      </c>
      <c r="V1536" s="20">
        <v>15</v>
      </c>
      <c r="W1536" s="20">
        <f>IF(Q1536&lt;&gt;0,3,IF(K1536="","",VLOOKUP(K1536,'#状态名词'!$J$1:$K$15,2,FALSE)))</f>
        <v>1</v>
      </c>
    </row>
    <row r="1537" spans="1:30">
      <c r="A1537" s="20">
        <v>50013</v>
      </c>
      <c r="B1537" s="20" t="s">
        <v>174</v>
      </c>
      <c r="C1537" s="21" t="s">
        <v>1532</v>
      </c>
      <c r="F1537" s="20" t="s">
        <v>4729</v>
      </c>
      <c r="H1537" s="20">
        <v>20</v>
      </c>
      <c r="J1537" s="20" t="s">
        <v>112</v>
      </c>
      <c r="K1537" s="20">
        <v>5</v>
      </c>
      <c r="L1537" s="20">
        <v>30</v>
      </c>
      <c r="O1537" s="20">
        <v>1</v>
      </c>
      <c r="V1537" s="20">
        <v>15</v>
      </c>
      <c r="W1537" s="20">
        <f>IF(Q1537&lt;&gt;0,3,IF(K1537="","",VLOOKUP(K1537,'#状态名词'!$J$1:$K$15,2,FALSE)))</f>
        <v>1</v>
      </c>
    </row>
    <row r="1538" spans="1:30">
      <c r="A1538" s="20">
        <v>50014</v>
      </c>
      <c r="B1538" s="20" t="s">
        <v>4738</v>
      </c>
      <c r="C1538" s="21" t="s">
        <v>1534</v>
      </c>
      <c r="F1538" s="20" t="s">
        <v>4729</v>
      </c>
      <c r="H1538" s="20">
        <v>20</v>
      </c>
      <c r="J1538" s="20" t="s">
        <v>108</v>
      </c>
      <c r="K1538" s="20">
        <v>5</v>
      </c>
      <c r="L1538" s="20">
        <v>30</v>
      </c>
      <c r="O1538" s="20">
        <v>1</v>
      </c>
      <c r="V1538" s="20">
        <v>15</v>
      </c>
      <c r="W1538" s="20">
        <f>IF(Q1538&lt;&gt;0,3,IF(K1538="","",VLOOKUP(K1538,'#状态名词'!$J$1:$K$15,2,FALSE)))</f>
        <v>1</v>
      </c>
    </row>
    <row r="1539" spans="1:30">
      <c r="A1539" s="20">
        <v>50015</v>
      </c>
      <c r="B1539" s="20" t="s">
        <v>4739</v>
      </c>
      <c r="C1539" s="21" t="s">
        <v>4740</v>
      </c>
      <c r="W1539" s="20" t="str">
        <f>IF(Q1539&lt;&gt;0,3,IF(K1539="","",VLOOKUP(K1539,'#状态名词'!$J$1:$K$15,2,FALSE)))</f>
        <v/>
      </c>
      <c r="AA1539" s="20">
        <v>1</v>
      </c>
      <c r="AB1539" s="20">
        <v>50007</v>
      </c>
      <c r="AC1539" s="20">
        <v>100</v>
      </c>
      <c r="AD1539" s="20">
        <v>1</v>
      </c>
    </row>
    <row r="1540" spans="1:30">
      <c r="A1540" s="20">
        <v>50016</v>
      </c>
      <c r="B1540" s="20" t="s">
        <v>4741</v>
      </c>
      <c r="C1540" s="21" t="s">
        <v>4742</v>
      </c>
      <c r="W1540" s="20" t="str">
        <f>IF(Q1540&lt;&gt;0,3,IF(K1540="","",VLOOKUP(K1540,'#状态名词'!$J$1:$K$15,2,FALSE)))</f>
        <v/>
      </c>
      <c r="AA1540" s="20">
        <v>1</v>
      </c>
      <c r="AB1540" s="20">
        <v>50008</v>
      </c>
      <c r="AC1540" s="20">
        <v>100</v>
      </c>
      <c r="AD1540" s="20">
        <v>1</v>
      </c>
    </row>
    <row r="1541" spans="1:30">
      <c r="A1541" s="20">
        <v>50017</v>
      </c>
      <c r="B1541" s="20" t="s">
        <v>4743</v>
      </c>
      <c r="C1541" s="21" t="s">
        <v>4744</v>
      </c>
      <c r="J1541" s="19"/>
      <c r="W1541" s="20" t="str">
        <f>IF(Q1541&lt;&gt;0,3,IF(K1541="","",VLOOKUP(K1541,'#状态名词'!$J$1:$K$15,2,FALSE)))</f>
        <v/>
      </c>
      <c r="AA1541" s="20">
        <v>1</v>
      </c>
      <c r="AB1541" s="20">
        <v>50009</v>
      </c>
      <c r="AC1541" s="20">
        <v>100</v>
      </c>
      <c r="AD1541" s="20">
        <v>1</v>
      </c>
    </row>
    <row r="1542" spans="1:30">
      <c r="A1542" s="20">
        <v>50018</v>
      </c>
      <c r="B1542" s="20" t="s">
        <v>4745</v>
      </c>
      <c r="C1542" s="21" t="s">
        <v>4746</v>
      </c>
      <c r="J1542" s="19"/>
      <c r="W1542" s="20" t="str">
        <f>IF(Q1542&lt;&gt;0,3,IF(K1542="","",VLOOKUP(K1542,'#状态名词'!$J$1:$K$15,2,FALSE)))</f>
        <v/>
      </c>
      <c r="AA1542" s="20">
        <v>1</v>
      </c>
      <c r="AB1542" s="20">
        <v>50010</v>
      </c>
      <c r="AC1542" s="20">
        <v>100</v>
      </c>
      <c r="AD1542" s="20">
        <v>1</v>
      </c>
    </row>
    <row r="1543" spans="1:30">
      <c r="A1543" s="20">
        <v>50019</v>
      </c>
      <c r="B1543" s="20" t="s">
        <v>4747</v>
      </c>
      <c r="C1543" s="21" t="s">
        <v>7935</v>
      </c>
      <c r="J1543" s="19"/>
      <c r="W1543" s="20" t="str">
        <f>IF(Q1543&lt;&gt;0,3,IF(K1543="","",VLOOKUP(K1543,'#状态名词'!$J$1:$K$15,2,FALSE)))</f>
        <v/>
      </c>
      <c r="AA1543" s="20">
        <v>1</v>
      </c>
      <c r="AB1543" s="20">
        <v>50011</v>
      </c>
      <c r="AC1543" s="20">
        <v>100</v>
      </c>
      <c r="AD1543" s="20">
        <v>1</v>
      </c>
    </row>
    <row r="1544" spans="1:30">
      <c r="A1544" s="20">
        <v>50020</v>
      </c>
      <c r="B1544" s="20" t="s">
        <v>4748</v>
      </c>
      <c r="C1544" s="21" t="s">
        <v>7936</v>
      </c>
      <c r="J1544" s="19"/>
      <c r="W1544" s="20" t="str">
        <f>IF(Q1544&lt;&gt;0,3,IF(K1544="","",VLOOKUP(K1544,'#状态名词'!$J$1:$K$15,2,FALSE)))</f>
        <v/>
      </c>
      <c r="AA1544" s="20">
        <v>1</v>
      </c>
      <c r="AB1544" s="20">
        <v>50012</v>
      </c>
      <c r="AC1544" s="20">
        <v>100</v>
      </c>
      <c r="AD1544" s="20">
        <v>1</v>
      </c>
    </row>
    <row r="1545" spans="1:30">
      <c r="A1545" s="20">
        <v>50021</v>
      </c>
      <c r="B1545" s="20" t="s">
        <v>4749</v>
      </c>
      <c r="C1545" s="21" t="s">
        <v>7937</v>
      </c>
      <c r="W1545" s="20" t="str">
        <f>IF(Q1545&lt;&gt;0,3,IF(K1545="","",VLOOKUP(K1545,'#状态名词'!$J$1:$K$15,2,FALSE)))</f>
        <v/>
      </c>
      <c r="AA1545" s="20">
        <v>1</v>
      </c>
      <c r="AB1545" s="20">
        <v>50013</v>
      </c>
      <c r="AC1545" s="20">
        <v>100</v>
      </c>
      <c r="AD1545" s="20">
        <v>1</v>
      </c>
    </row>
    <row r="1546" spans="1:30">
      <c r="A1546" s="20">
        <v>50022</v>
      </c>
      <c r="B1546" s="20" t="s">
        <v>4750</v>
      </c>
      <c r="C1546" s="21" t="s">
        <v>7938</v>
      </c>
      <c r="W1546" s="20" t="str">
        <f>IF(Q1546&lt;&gt;0,3,IF(K1546="","",VLOOKUP(K1546,'#状态名词'!$J$1:$K$15,2,FALSE)))</f>
        <v/>
      </c>
      <c r="AA1546" s="20">
        <v>1</v>
      </c>
      <c r="AB1546" s="20">
        <v>50014</v>
      </c>
      <c r="AC1546" s="20">
        <v>100</v>
      </c>
      <c r="AD1546" s="20">
        <v>1</v>
      </c>
    </row>
    <row r="1547" spans="1:30">
      <c r="A1547" s="20">
        <v>50023</v>
      </c>
      <c r="B1547" s="20" t="s">
        <v>4751</v>
      </c>
      <c r="C1547" s="21" t="s">
        <v>4752</v>
      </c>
      <c r="W1547" s="20" t="str">
        <f>IF(Q1547&lt;&gt;0,3,IF(K1547="","",VLOOKUP(K1547,'#状态名词'!$J$1:$K$15,2,FALSE)))</f>
        <v/>
      </c>
      <c r="AA1547" s="20">
        <v>1</v>
      </c>
      <c r="AB1547" s="20">
        <v>50015</v>
      </c>
      <c r="AC1547" s="20">
        <v>100</v>
      </c>
      <c r="AD1547" s="20">
        <v>1</v>
      </c>
    </row>
    <row r="1548" spans="1:30">
      <c r="A1548" s="20">
        <v>50024</v>
      </c>
      <c r="B1548" s="20" t="s">
        <v>4753</v>
      </c>
      <c r="C1548" s="21" t="s">
        <v>4754</v>
      </c>
      <c r="W1548" s="20" t="str">
        <f>IF(Q1548&lt;&gt;0,3,IF(K1548="","",VLOOKUP(K1548,'#状态名词'!$J$1:$K$15,2,FALSE)))</f>
        <v/>
      </c>
      <c r="AA1548" s="20">
        <v>1</v>
      </c>
      <c r="AB1548" s="20">
        <v>50016</v>
      </c>
      <c r="AC1548" s="20">
        <v>100</v>
      </c>
      <c r="AD1548" s="20">
        <v>1</v>
      </c>
    </row>
    <row r="1549" spans="1:30">
      <c r="A1549" s="20">
        <v>50025</v>
      </c>
      <c r="B1549" s="20" t="s">
        <v>4755</v>
      </c>
      <c r="C1549" s="21" t="s">
        <v>4756</v>
      </c>
      <c r="W1549" s="20" t="str">
        <f>IF(Q1549&lt;&gt;0,3,IF(K1549="","",VLOOKUP(K1549,'#状态名词'!$J$1:$K$15,2,FALSE)))</f>
        <v/>
      </c>
      <c r="AA1549" s="20">
        <v>1</v>
      </c>
      <c r="AB1549" s="20">
        <v>50017</v>
      </c>
      <c r="AC1549" s="20">
        <v>100</v>
      </c>
      <c r="AD1549" s="20">
        <v>1</v>
      </c>
    </row>
    <row r="1550" spans="1:30">
      <c r="A1550" s="20">
        <v>50026</v>
      </c>
      <c r="B1550" s="20" t="s">
        <v>4757</v>
      </c>
      <c r="C1550" s="21" t="s">
        <v>4758</v>
      </c>
      <c r="W1550" s="20" t="str">
        <f>IF(Q1550&lt;&gt;0,3,IF(K1550="","",VLOOKUP(K1550,'#状态名词'!$J$1:$K$15,2,FALSE)))</f>
        <v/>
      </c>
      <c r="AA1550" s="20">
        <v>1</v>
      </c>
      <c r="AB1550" s="20">
        <v>50018</v>
      </c>
      <c r="AC1550" s="20">
        <v>100</v>
      </c>
      <c r="AD1550" s="20">
        <v>1</v>
      </c>
    </row>
    <row r="1551" spans="1:30">
      <c r="A1551" s="20">
        <v>50027</v>
      </c>
      <c r="B1551" s="20" t="s">
        <v>4454</v>
      </c>
      <c r="C1551" s="21" t="s">
        <v>1535</v>
      </c>
      <c r="F1551" s="20" t="s">
        <v>4759</v>
      </c>
      <c r="H1551" s="20">
        <v>20</v>
      </c>
      <c r="J1551" s="20" t="s">
        <v>1495</v>
      </c>
      <c r="K1551" s="20">
        <v>5</v>
      </c>
      <c r="L1551" s="20">
        <v>30</v>
      </c>
      <c r="N1551" s="20">
        <v>3</v>
      </c>
      <c r="O1551" s="20">
        <v>1</v>
      </c>
      <c r="W1551" s="20">
        <f>IF(Q1551&lt;&gt;0,3,IF(K1551="","",VLOOKUP(K1551,'#状态名词'!$J$1:$K$15,2,FALSE)))</f>
        <v>1</v>
      </c>
    </row>
    <row r="1552" spans="1:30">
      <c r="A1552" s="20">
        <v>50028</v>
      </c>
      <c r="B1552" s="20" t="s">
        <v>4760</v>
      </c>
      <c r="C1552" s="21" t="s">
        <v>1536</v>
      </c>
      <c r="F1552" s="20" t="s">
        <v>4761</v>
      </c>
      <c r="H1552" s="20">
        <v>20</v>
      </c>
      <c r="J1552" s="20" t="s">
        <v>1477</v>
      </c>
      <c r="K1552" s="20">
        <v>5</v>
      </c>
      <c r="L1552" s="20">
        <v>30</v>
      </c>
      <c r="O1552" s="20">
        <v>3</v>
      </c>
      <c r="W1552" s="20">
        <f>IF(Q1552&lt;&gt;0,3,IF(K1552="","",VLOOKUP(K1552,'#状态名词'!$J$1:$K$15,2,FALSE)))</f>
        <v>1</v>
      </c>
    </row>
    <row r="1553" spans="1:31">
      <c r="A1553" s="20">
        <v>50029</v>
      </c>
      <c r="B1553" s="20" t="s">
        <v>4762</v>
      </c>
      <c r="C1553" s="21" t="s">
        <v>1533</v>
      </c>
      <c r="F1553" s="20" t="s">
        <v>4729</v>
      </c>
      <c r="H1553" s="20">
        <v>20</v>
      </c>
      <c r="J1553" s="20" t="s">
        <v>1502</v>
      </c>
      <c r="K1553" s="20">
        <v>5</v>
      </c>
      <c r="L1553" s="20">
        <v>30</v>
      </c>
      <c r="N1553" s="20">
        <v>4</v>
      </c>
      <c r="O1553" s="20">
        <v>1</v>
      </c>
      <c r="W1553" s="20">
        <f>IF(Q1553&lt;&gt;0,3,IF(K1553="","",VLOOKUP(K1553,'#状态名词'!$J$1:$K$15,2,FALSE)))</f>
        <v>1</v>
      </c>
      <c r="AA1553" s="20">
        <v>1</v>
      </c>
      <c r="AB1553" s="20">
        <v>3</v>
      </c>
      <c r="AC1553" s="20">
        <v>100</v>
      </c>
      <c r="AD1553" s="20">
        <v>0</v>
      </c>
      <c r="AE1553" s="20">
        <v>3</v>
      </c>
    </row>
    <row r="1554" spans="1:31">
      <c r="A1554" s="20">
        <v>50030</v>
      </c>
      <c r="B1554" s="20" t="s">
        <v>4763</v>
      </c>
      <c r="C1554" s="21" t="s">
        <v>4764</v>
      </c>
      <c r="F1554" s="20" t="s">
        <v>4765</v>
      </c>
      <c r="H1554" s="20">
        <v>20</v>
      </c>
      <c r="J1554" s="20" t="s">
        <v>1524</v>
      </c>
      <c r="K1554" s="20">
        <v>5</v>
      </c>
      <c r="L1554" s="20">
        <v>30</v>
      </c>
      <c r="O1554" s="20">
        <v>3</v>
      </c>
      <c r="W1554" s="20">
        <f>IF(Q1554&lt;&gt;0,3,IF(K1554="","",VLOOKUP(K1554,'#状态名词'!$J$1:$K$15,2,FALSE)))</f>
        <v>1</v>
      </c>
      <c r="AA1554" s="20">
        <v>1</v>
      </c>
      <c r="AB1554" s="20">
        <v>50019</v>
      </c>
      <c r="AC1554" s="20">
        <v>100</v>
      </c>
      <c r="AD1554" s="20">
        <v>1</v>
      </c>
    </row>
    <row r="1555" spans="1:31">
      <c r="A1555" s="20">
        <v>50031</v>
      </c>
      <c r="B1555" s="20" t="s">
        <v>4766</v>
      </c>
      <c r="C1555" s="21" t="s">
        <v>4767</v>
      </c>
      <c r="W1555" s="20" t="str">
        <f>IF(Q1555&lt;&gt;0,3,IF(K1555="","",VLOOKUP(K1555,'#状态名词'!$J$1:$K$15,2,FALSE)))</f>
        <v/>
      </c>
      <c r="AA1555" s="20">
        <v>1</v>
      </c>
      <c r="AB1555" s="20">
        <v>50020</v>
      </c>
      <c r="AC1555" s="20">
        <v>100</v>
      </c>
      <c r="AD1555" s="20">
        <v>1</v>
      </c>
    </row>
    <row r="1556" spans="1:31">
      <c r="A1556" s="20">
        <v>50032</v>
      </c>
      <c r="B1556" s="20" t="s">
        <v>4768</v>
      </c>
      <c r="C1556" s="21" t="s">
        <v>2067</v>
      </c>
      <c r="J1556" s="19"/>
      <c r="W1556" s="20" t="str">
        <f>IF(Q1556&lt;&gt;0,3,IF(K1556="","",VLOOKUP(K1556,'#状态名词'!$J$1:$K$15,2,FALSE)))</f>
        <v/>
      </c>
      <c r="AA1556" s="20">
        <v>1</v>
      </c>
      <c r="AB1556" s="20">
        <v>50021</v>
      </c>
      <c r="AC1556" s="20">
        <v>100</v>
      </c>
      <c r="AD1556" s="20">
        <v>1</v>
      </c>
    </row>
    <row r="1557" spans="1:31">
      <c r="A1557" s="20">
        <v>50033</v>
      </c>
      <c r="B1557" s="20" t="s">
        <v>424</v>
      </c>
      <c r="C1557" s="21" t="s">
        <v>2068</v>
      </c>
      <c r="J1557" s="19"/>
      <c r="W1557" s="20" t="str">
        <f>IF(Q1557&lt;&gt;0,3,IF(K1557="","",VLOOKUP(K1557,'#状态名词'!$J$1:$K$15,2,FALSE)))</f>
        <v/>
      </c>
      <c r="AA1557" s="20">
        <v>1</v>
      </c>
      <c r="AB1557" s="20">
        <v>50022</v>
      </c>
      <c r="AC1557" s="20">
        <v>100</v>
      </c>
      <c r="AD1557" s="20">
        <v>1</v>
      </c>
    </row>
    <row r="1558" spans="1:31">
      <c r="A1558" s="20">
        <v>50034</v>
      </c>
      <c r="B1558" s="20" t="s">
        <v>4769</v>
      </c>
      <c r="C1558" s="21" t="s">
        <v>4770</v>
      </c>
      <c r="W1558" s="20" t="str">
        <f>IF(Q1558&lt;&gt;0,3,IF(K1558="","",VLOOKUP(K1558,'#状态名词'!$J$1:$K$15,2,FALSE)))</f>
        <v/>
      </c>
      <c r="AA1558" s="20">
        <v>1</v>
      </c>
      <c r="AB1558" s="20">
        <v>50002</v>
      </c>
      <c r="AC1558" s="20">
        <v>100</v>
      </c>
      <c r="AD1558" s="20">
        <v>1</v>
      </c>
    </row>
    <row r="1559" spans="1:31">
      <c r="A1559" s="20">
        <v>50035</v>
      </c>
      <c r="B1559" s="20" t="s">
        <v>4771</v>
      </c>
      <c r="C1559" s="21" t="s">
        <v>4772</v>
      </c>
      <c r="J1559" s="19"/>
      <c r="W1559" s="20" t="str">
        <f>IF(Q1559&lt;&gt;0,3,IF(K1559="","",VLOOKUP(K1559,'#状态名词'!$J$1:$K$15,2,FALSE)))</f>
        <v/>
      </c>
      <c r="AA1559" s="20">
        <v>1</v>
      </c>
      <c r="AB1559" s="20">
        <v>50003</v>
      </c>
      <c r="AC1559" s="20">
        <v>100</v>
      </c>
      <c r="AD1559" s="20">
        <v>1</v>
      </c>
    </row>
    <row r="1560" spans="1:31">
      <c r="A1560" s="20">
        <v>50036</v>
      </c>
      <c r="B1560" s="20" t="s">
        <v>448</v>
      </c>
      <c r="C1560" s="21" t="s">
        <v>4773</v>
      </c>
      <c r="W1560" s="20" t="str">
        <f>IF(Q1560&lt;&gt;0,3,IF(K1560="","",VLOOKUP(K1560,'#状态名词'!$J$1:$K$15,2,FALSE)))</f>
        <v/>
      </c>
      <c r="AA1560" s="20">
        <v>1</v>
      </c>
      <c r="AB1560" s="20">
        <v>50023</v>
      </c>
      <c r="AC1560" s="20">
        <v>100</v>
      </c>
      <c r="AD1560" s="20">
        <v>1</v>
      </c>
    </row>
    <row r="1561" spans="1:31">
      <c r="A1561" s="20">
        <v>50037</v>
      </c>
      <c r="B1561" s="20" t="s">
        <v>4774</v>
      </c>
      <c r="C1561" s="21" t="s">
        <v>7034</v>
      </c>
      <c r="W1561" s="20" t="str">
        <f>IF(Q1561&lt;&gt;0,3,IF(K1561="","",VLOOKUP(K1561,'#状态名词'!$J$1:$K$15,2,FALSE)))</f>
        <v/>
      </c>
      <c r="AA1561" s="20">
        <v>1</v>
      </c>
      <c r="AB1561" s="20">
        <v>50024</v>
      </c>
      <c r="AC1561" s="20">
        <v>100</v>
      </c>
      <c r="AD1561" s="20">
        <v>1</v>
      </c>
    </row>
    <row r="1562" spans="1:31">
      <c r="A1562" s="20">
        <v>50038</v>
      </c>
      <c r="B1562" s="20" t="s">
        <v>3793</v>
      </c>
      <c r="C1562" s="21" t="s">
        <v>4775</v>
      </c>
      <c r="J1562" s="19"/>
      <c r="W1562" s="20" t="str">
        <f>IF(Q1562&lt;&gt;0,3,IF(K1562="","",VLOOKUP(K1562,'#状态名词'!$J$1:$K$15,2,FALSE)))</f>
        <v/>
      </c>
      <c r="AA1562" s="20">
        <v>1</v>
      </c>
      <c r="AB1562" s="20">
        <v>50025</v>
      </c>
      <c r="AC1562" s="20">
        <v>100</v>
      </c>
      <c r="AD1562" s="20">
        <v>1</v>
      </c>
    </row>
    <row r="1563" spans="1:31">
      <c r="A1563" s="20">
        <v>50039</v>
      </c>
      <c r="B1563" s="20" t="s">
        <v>405</v>
      </c>
      <c r="C1563" s="21" t="s">
        <v>4776</v>
      </c>
      <c r="W1563" s="20" t="str">
        <f>IF(Q1563&lt;&gt;0,3,IF(K1563="","",VLOOKUP(K1563,'#状态名词'!$J$1:$K$15,2,FALSE)))</f>
        <v/>
      </c>
      <c r="AA1563" s="20">
        <v>1</v>
      </c>
      <c r="AB1563" s="20">
        <v>50034</v>
      </c>
      <c r="AC1563" s="20">
        <v>100</v>
      </c>
      <c r="AD1563" s="20">
        <v>1</v>
      </c>
    </row>
    <row r="1564" spans="1:31">
      <c r="A1564" s="20">
        <v>50040</v>
      </c>
      <c r="B1564" s="20" t="s">
        <v>4777</v>
      </c>
      <c r="C1564" s="21" t="s">
        <v>4778</v>
      </c>
      <c r="W1564" s="20" t="str">
        <f>IF(Q1564&lt;&gt;0,3,IF(K1564="","",VLOOKUP(K1564,'#状态名词'!$J$1:$K$15,2,FALSE)))</f>
        <v/>
      </c>
      <c r="AA1564" s="20">
        <v>1</v>
      </c>
      <c r="AB1564" s="20">
        <v>50033</v>
      </c>
      <c r="AC1564" s="20">
        <v>100</v>
      </c>
      <c r="AD1564" s="20">
        <v>1</v>
      </c>
    </row>
    <row r="1565" spans="1:31">
      <c r="A1565" s="20">
        <v>50041</v>
      </c>
      <c r="B1565" s="20" t="s">
        <v>829</v>
      </c>
      <c r="C1565" s="21" t="s">
        <v>2069</v>
      </c>
      <c r="W1565" s="20" t="str">
        <f>IF(Q1565&lt;&gt;0,3,IF(K1565="","",VLOOKUP(K1565,'#状态名词'!$J$1:$K$15,2,FALSE)))</f>
        <v/>
      </c>
      <c r="AA1565" s="20">
        <v>1</v>
      </c>
      <c r="AB1565" s="20">
        <v>50026</v>
      </c>
      <c r="AC1565" s="20">
        <v>100</v>
      </c>
      <c r="AD1565" s="20">
        <v>1</v>
      </c>
    </row>
    <row r="1566" spans="1:31">
      <c r="A1566" s="20">
        <v>50042</v>
      </c>
      <c r="B1566" s="20" t="s">
        <v>4779</v>
      </c>
      <c r="C1566" s="21" t="s">
        <v>4736</v>
      </c>
      <c r="F1566" s="20" t="s">
        <v>864</v>
      </c>
      <c r="H1566" s="20">
        <v>20</v>
      </c>
      <c r="J1566" s="20" t="s">
        <v>1504</v>
      </c>
      <c r="K1566" s="20">
        <v>5</v>
      </c>
      <c r="L1566" s="20">
        <v>30</v>
      </c>
      <c r="O1566" s="20">
        <v>0</v>
      </c>
      <c r="W1566" s="20">
        <f>IF(Q1566&lt;&gt;0,3,IF(K1566="","",VLOOKUP(K1566,'#状态名词'!$J$1:$K$15,2,FALSE)))</f>
        <v>1</v>
      </c>
      <c r="AA1566" s="20">
        <v>1</v>
      </c>
      <c r="AB1566" s="20">
        <v>43</v>
      </c>
      <c r="AC1566" s="20">
        <v>100</v>
      </c>
      <c r="AD1566" s="20">
        <v>1</v>
      </c>
      <c r="AE1566" s="20">
        <v>5</v>
      </c>
    </row>
    <row r="1567" spans="1:31">
      <c r="A1567" s="20">
        <v>50043</v>
      </c>
      <c r="B1567" s="20" t="s">
        <v>4780</v>
      </c>
      <c r="C1567" s="21" t="s">
        <v>4781</v>
      </c>
      <c r="F1567" s="20" t="s">
        <v>864</v>
      </c>
      <c r="H1567" s="20">
        <v>20</v>
      </c>
      <c r="J1567" s="20" t="s">
        <v>1475</v>
      </c>
      <c r="K1567" s="20">
        <v>5</v>
      </c>
      <c r="L1567" s="20">
        <v>30</v>
      </c>
      <c r="N1567" s="20">
        <v>1</v>
      </c>
      <c r="O1567" s="20">
        <v>0</v>
      </c>
      <c r="W1567" s="20">
        <f>IF(Q1567&lt;&gt;0,3,IF(K1567="","",VLOOKUP(K1567,'#状态名词'!$J$1:$K$15,2,FALSE)))</f>
        <v>1</v>
      </c>
    </row>
    <row r="1568" spans="1:31">
      <c r="A1568" s="20">
        <v>50044</v>
      </c>
      <c r="B1568" s="20" t="s">
        <v>4782</v>
      </c>
      <c r="C1568" s="21" t="s">
        <v>4783</v>
      </c>
      <c r="K1568" s="20">
        <v>6</v>
      </c>
      <c r="W1568" s="20">
        <f>IF(Q1568&lt;&gt;0,3,IF(K1568="","",VLOOKUP(K1568,'#状态名词'!$J$1:$K$15,2,FALSE)))</f>
        <v>3</v>
      </c>
      <c r="AA1568" s="20">
        <v>1</v>
      </c>
      <c r="AB1568" s="20">
        <v>51</v>
      </c>
      <c r="AC1568" s="20">
        <v>100</v>
      </c>
      <c r="AD1568" s="20">
        <v>1</v>
      </c>
      <c r="AE1568" s="20">
        <v>1</v>
      </c>
    </row>
    <row r="1569" spans="1:31" ht="27">
      <c r="A1569" s="20">
        <v>50045</v>
      </c>
      <c r="B1569" s="20" t="s">
        <v>4784</v>
      </c>
      <c r="C1569" s="21" t="s">
        <v>7037</v>
      </c>
      <c r="F1569" s="20" t="s">
        <v>866</v>
      </c>
      <c r="H1569" s="20">
        <v>20</v>
      </c>
      <c r="J1569" s="19" t="s">
        <v>111</v>
      </c>
      <c r="K1569" s="20">
        <v>8</v>
      </c>
      <c r="L1569" s="20">
        <v>100</v>
      </c>
      <c r="O1569" s="20">
        <v>0</v>
      </c>
      <c r="Q1569" s="20">
        <v>5</v>
      </c>
      <c r="R1569" s="20">
        <v>2</v>
      </c>
      <c r="S1569" s="20">
        <v>3</v>
      </c>
      <c r="W1569" s="20">
        <f>IF(Q1569&lt;&gt;0,3,IF(K1569="","",VLOOKUP(K1569,'#状态名词'!$J$1:$K$15,2,FALSE)))</f>
        <v>3</v>
      </c>
      <c r="AA1569" s="20">
        <v>1</v>
      </c>
      <c r="AB1569" s="20">
        <v>21</v>
      </c>
      <c r="AC1569" s="20">
        <v>10</v>
      </c>
      <c r="AD1569" s="20">
        <v>0</v>
      </c>
      <c r="AE1569" s="20">
        <v>1</v>
      </c>
    </row>
    <row r="1570" spans="1:31">
      <c r="A1570" s="20">
        <v>50046</v>
      </c>
      <c r="B1570" s="20" t="s">
        <v>4785</v>
      </c>
      <c r="C1570" s="21" t="s">
        <v>4786</v>
      </c>
      <c r="G1570" s="20">
        <v>50045</v>
      </c>
      <c r="J1570" s="19"/>
      <c r="W1570" s="20" t="str">
        <f>IF(Q1570&lt;&gt;0,3,IF(K1570="","",VLOOKUP(K1570,'#状态名词'!$J$1:$K$15,2,FALSE)))</f>
        <v/>
      </c>
      <c r="AA1570" s="20">
        <v>1</v>
      </c>
      <c r="AB1570" s="20">
        <v>11</v>
      </c>
      <c r="AC1570" s="20">
        <v>100</v>
      </c>
      <c r="AD1570" s="20">
        <v>0</v>
      </c>
      <c r="AE1570" s="20">
        <v>1</v>
      </c>
    </row>
    <row r="1571" spans="1:31">
      <c r="A1571" s="20">
        <v>50047</v>
      </c>
      <c r="B1571" s="20" t="s">
        <v>4787</v>
      </c>
      <c r="C1571" s="21" t="s">
        <v>4788</v>
      </c>
      <c r="G1571" s="20">
        <v>50045</v>
      </c>
      <c r="J1571" s="19"/>
      <c r="W1571" s="20" t="str">
        <f>IF(Q1571&lt;&gt;0,3,IF(K1571="","",VLOOKUP(K1571,'#状态名词'!$J$1:$K$15,2,FALSE)))</f>
        <v/>
      </c>
      <c r="AA1571" s="20">
        <v>1</v>
      </c>
      <c r="AB1571" s="20">
        <v>50027</v>
      </c>
      <c r="AC1571" s="20">
        <v>100</v>
      </c>
      <c r="AD1571" s="20">
        <v>0</v>
      </c>
    </row>
    <row r="1572" spans="1:31">
      <c r="A1572" s="20">
        <v>50048</v>
      </c>
      <c r="B1572" s="20" t="s">
        <v>4789</v>
      </c>
      <c r="C1572" s="21" t="s">
        <v>4790</v>
      </c>
      <c r="F1572" s="20" t="s">
        <v>868</v>
      </c>
      <c r="J1572" s="19" t="s">
        <v>109</v>
      </c>
      <c r="K1572" s="20">
        <v>5</v>
      </c>
      <c r="L1572" s="20">
        <v>30</v>
      </c>
      <c r="N1572" s="20">
        <v>1</v>
      </c>
      <c r="O1572" s="20">
        <v>0</v>
      </c>
      <c r="T1572" s="20">
        <v>10</v>
      </c>
      <c r="W1572" s="20">
        <f>IF(Q1572&lt;&gt;0,3,IF(K1572="","",VLOOKUP(K1572,'#状态名词'!$J$1:$K$15,2,FALSE)))</f>
        <v>1</v>
      </c>
    </row>
    <row r="1573" spans="1:31">
      <c r="A1573" s="20">
        <v>50049</v>
      </c>
      <c r="B1573" s="20" t="s">
        <v>4791</v>
      </c>
      <c r="C1573" s="21" t="s">
        <v>4792</v>
      </c>
      <c r="G1573" s="20">
        <v>50048</v>
      </c>
      <c r="W1573" s="20" t="str">
        <f>IF(Q1573&lt;&gt;0,3,IF(K1573="","",VLOOKUP(K1573,'#状态名词'!$J$1:$K$15,2,FALSE)))</f>
        <v/>
      </c>
      <c r="AA1573" s="20">
        <v>1</v>
      </c>
      <c r="AB1573" s="20">
        <v>50027</v>
      </c>
      <c r="AC1573" s="20">
        <v>100</v>
      </c>
      <c r="AD1573" s="20">
        <v>0</v>
      </c>
    </row>
    <row r="1574" spans="1:31">
      <c r="A1574" s="20">
        <v>50050</v>
      </c>
      <c r="B1574" s="20" t="s">
        <v>4793</v>
      </c>
      <c r="C1574" s="21" t="s">
        <v>4794</v>
      </c>
      <c r="G1574" s="20">
        <v>50048</v>
      </c>
      <c r="J1574" s="19"/>
      <c r="W1574" s="20" t="str">
        <f>IF(Q1574&lt;&gt;0,3,IF(K1574="","",VLOOKUP(K1574,'#状态名词'!$J$1:$K$15,2,FALSE)))</f>
        <v/>
      </c>
      <c r="AA1574" s="20">
        <v>1</v>
      </c>
      <c r="AB1574" s="20">
        <v>11</v>
      </c>
      <c r="AC1574" s="20">
        <v>100</v>
      </c>
      <c r="AD1574" s="20">
        <v>0</v>
      </c>
      <c r="AE1574" s="20">
        <v>1</v>
      </c>
    </row>
    <row r="1575" spans="1:31">
      <c r="A1575" s="20">
        <v>50051</v>
      </c>
      <c r="B1575" s="20" t="s">
        <v>4795</v>
      </c>
      <c r="C1575" s="21" t="s">
        <v>4796</v>
      </c>
      <c r="J1575" s="19"/>
      <c r="W1575" s="20" t="str">
        <f>IF(Q1575&lt;&gt;0,3,IF(K1575="","",VLOOKUP(K1575,'#状态名词'!$J$1:$K$15,2,FALSE)))</f>
        <v/>
      </c>
      <c r="AA1575" s="20">
        <v>1</v>
      </c>
      <c r="AB1575" s="20">
        <v>50044</v>
      </c>
      <c r="AC1575" s="20">
        <v>100</v>
      </c>
      <c r="AD1575" s="20">
        <v>1</v>
      </c>
    </row>
    <row r="1576" spans="1:31">
      <c r="A1576" s="20">
        <v>50052</v>
      </c>
      <c r="B1576" s="20" t="s">
        <v>4797</v>
      </c>
      <c r="C1576" s="21" t="s">
        <v>4798</v>
      </c>
      <c r="J1576" s="19"/>
      <c r="W1576" s="20" t="str">
        <f>IF(Q1576&lt;&gt;0,3,IF(K1576="","",VLOOKUP(K1576,'#状态名词'!$J$1:$K$15,2,FALSE)))</f>
        <v/>
      </c>
    </row>
    <row r="1577" spans="1:31">
      <c r="A1577" s="20">
        <v>50053</v>
      </c>
      <c r="B1577" s="20" t="s">
        <v>4799</v>
      </c>
      <c r="C1577" s="21" t="s">
        <v>4800</v>
      </c>
      <c r="J1577" s="19"/>
      <c r="W1577" s="20" t="str">
        <f>IF(Q1577&lt;&gt;0,3,IF(K1577="","",VLOOKUP(K1577,'#状态名词'!$J$1:$K$15,2,FALSE)))</f>
        <v/>
      </c>
    </row>
    <row r="1578" spans="1:31">
      <c r="A1578" s="20">
        <v>50054</v>
      </c>
      <c r="B1578" s="20" t="s">
        <v>4801</v>
      </c>
      <c r="C1578" s="21" t="s">
        <v>2070</v>
      </c>
      <c r="J1578" s="19"/>
      <c r="W1578" s="20" t="str">
        <f>IF(Q1578&lt;&gt;0,3,IF(K1578="","",VLOOKUP(K1578,'#状态名词'!$J$1:$K$15,2,FALSE)))</f>
        <v/>
      </c>
    </row>
    <row r="1579" spans="1:31">
      <c r="A1579" s="20">
        <v>50055</v>
      </c>
      <c r="B1579" s="20" t="s">
        <v>4802</v>
      </c>
      <c r="C1579" s="21" t="s">
        <v>1378</v>
      </c>
      <c r="F1579" s="20" t="s">
        <v>864</v>
      </c>
      <c r="H1579" s="20">
        <v>20</v>
      </c>
      <c r="J1579" s="19" t="s">
        <v>109</v>
      </c>
      <c r="K1579" s="20">
        <v>5</v>
      </c>
      <c r="L1579" s="20">
        <v>30</v>
      </c>
      <c r="N1579" s="20">
        <v>1</v>
      </c>
      <c r="O1579" s="20">
        <v>0</v>
      </c>
      <c r="W1579" s="20">
        <f>IF(Q1579&lt;&gt;0,3,IF(K1579="","",VLOOKUP(K1579,'#状态名词'!$J$1:$K$15,2,FALSE)))</f>
        <v>1</v>
      </c>
    </row>
    <row r="1580" spans="1:31">
      <c r="A1580" s="20">
        <v>50056</v>
      </c>
      <c r="B1580" s="20" t="s">
        <v>4803</v>
      </c>
      <c r="C1580" s="21" t="s">
        <v>1379</v>
      </c>
      <c r="F1580" s="20" t="s">
        <v>864</v>
      </c>
      <c r="H1580" s="20">
        <v>20</v>
      </c>
      <c r="J1580" s="19" t="s">
        <v>1525</v>
      </c>
      <c r="K1580" s="20">
        <v>5</v>
      </c>
      <c r="L1580" s="20">
        <v>30</v>
      </c>
      <c r="N1580" s="20">
        <v>2</v>
      </c>
      <c r="O1580" s="20">
        <v>0</v>
      </c>
      <c r="W1580" s="20">
        <f>IF(Q1580&lt;&gt;0,3,IF(K1580="","",VLOOKUP(K1580,'#状态名词'!$J$1:$K$15,2,FALSE)))</f>
        <v>1</v>
      </c>
    </row>
    <row r="1581" spans="1:31">
      <c r="A1581" s="20">
        <v>50057</v>
      </c>
      <c r="B1581" s="20" t="s">
        <v>4804</v>
      </c>
      <c r="C1581" s="21" t="s">
        <v>1380</v>
      </c>
      <c r="F1581" s="20" t="s">
        <v>864</v>
      </c>
      <c r="H1581" s="20">
        <v>20</v>
      </c>
      <c r="J1581" s="19" t="s">
        <v>1472</v>
      </c>
      <c r="K1581" s="20">
        <v>5</v>
      </c>
      <c r="L1581" s="20">
        <v>30</v>
      </c>
      <c r="N1581" s="20">
        <v>3</v>
      </c>
      <c r="O1581" s="20">
        <v>0</v>
      </c>
      <c r="W1581" s="20">
        <f>IF(Q1581&lt;&gt;0,3,IF(K1581="","",VLOOKUP(K1581,'#状态名词'!$J$1:$K$15,2,FALSE)))</f>
        <v>1</v>
      </c>
    </row>
    <row r="1582" spans="1:31">
      <c r="A1582" s="20">
        <v>50058</v>
      </c>
      <c r="B1582" s="20" t="s">
        <v>4805</v>
      </c>
      <c r="C1582" s="21" t="s">
        <v>1377</v>
      </c>
      <c r="F1582" s="20" t="s">
        <v>864</v>
      </c>
      <c r="H1582" s="20">
        <v>20</v>
      </c>
      <c r="J1582" s="19" t="s">
        <v>1468</v>
      </c>
      <c r="K1582" s="20">
        <v>5</v>
      </c>
      <c r="L1582" s="20">
        <v>30</v>
      </c>
      <c r="N1582" s="20">
        <v>4</v>
      </c>
      <c r="O1582" s="20">
        <v>0</v>
      </c>
      <c r="W1582" s="20">
        <f>IF(Q1582&lt;&gt;0,3,IF(K1582="","",VLOOKUP(K1582,'#状态名词'!$J$1:$K$15,2,FALSE)))</f>
        <v>1</v>
      </c>
    </row>
    <row r="1583" spans="1:31">
      <c r="A1583" s="20">
        <v>50059</v>
      </c>
      <c r="B1583" s="20" t="s">
        <v>4068</v>
      </c>
      <c r="C1583" s="21" t="s">
        <v>4806</v>
      </c>
      <c r="J1583" s="19"/>
      <c r="W1583" s="20" t="str">
        <f>IF(Q1583&lt;&gt;0,3,IF(K1583="","",VLOOKUP(K1583,'#状态名词'!$J$1:$K$15,2,FALSE)))</f>
        <v/>
      </c>
      <c r="AA1583" s="20">
        <v>1</v>
      </c>
      <c r="AB1583" s="20">
        <v>50028</v>
      </c>
      <c r="AC1583" s="20">
        <v>100</v>
      </c>
      <c r="AD1583" s="20">
        <v>1</v>
      </c>
    </row>
    <row r="1584" spans="1:31">
      <c r="A1584" s="20">
        <v>50060</v>
      </c>
      <c r="B1584" s="20" t="s">
        <v>4807</v>
      </c>
      <c r="C1584" s="21" t="s">
        <v>4808</v>
      </c>
      <c r="H1584" s="20">
        <v>20</v>
      </c>
      <c r="J1584" s="19" t="s">
        <v>1472</v>
      </c>
      <c r="K1584" s="20">
        <v>5</v>
      </c>
      <c r="L1584" s="20">
        <v>30</v>
      </c>
      <c r="W1584" s="20">
        <f>IF(Q1584&lt;&gt;0,3,IF(K1584="","",VLOOKUP(K1584,'#状态名词'!$J$1:$K$15,2,FALSE)))</f>
        <v>1</v>
      </c>
      <c r="AA1584" s="20">
        <v>1</v>
      </c>
      <c r="AB1584" s="20">
        <v>50029</v>
      </c>
      <c r="AC1584" s="20">
        <v>100</v>
      </c>
      <c r="AD1584" s="20">
        <v>1</v>
      </c>
    </row>
    <row r="1585" spans="1:31">
      <c r="A1585" s="20">
        <v>50061</v>
      </c>
      <c r="B1585" s="20" t="s">
        <v>4809</v>
      </c>
      <c r="C1585" s="21" t="s">
        <v>4810</v>
      </c>
      <c r="H1585" s="20">
        <v>20</v>
      </c>
      <c r="J1585" s="19" t="s">
        <v>1472</v>
      </c>
      <c r="K1585" s="20">
        <v>8</v>
      </c>
      <c r="L1585" s="20">
        <v>100</v>
      </c>
      <c r="Q1585" s="20">
        <v>5</v>
      </c>
      <c r="R1585" s="20">
        <v>1</v>
      </c>
      <c r="S1585" s="20">
        <v>2</v>
      </c>
      <c r="W1585" s="20">
        <f>IF(Q1585&lt;&gt;0,3,IF(K1585="","",VLOOKUP(K1585,'#状态名词'!$J$1:$K$15,2,FALSE)))</f>
        <v>3</v>
      </c>
      <c r="AA1585" s="20">
        <v>1</v>
      </c>
      <c r="AB1585" s="20">
        <v>50029</v>
      </c>
      <c r="AC1585" s="20">
        <v>100</v>
      </c>
      <c r="AD1585" s="20">
        <v>1</v>
      </c>
    </row>
    <row r="1586" spans="1:31">
      <c r="A1586" s="20">
        <v>50062</v>
      </c>
      <c r="B1586" s="20" t="s">
        <v>4811</v>
      </c>
      <c r="C1586" s="21" t="s">
        <v>4812</v>
      </c>
      <c r="H1586" s="20">
        <v>20</v>
      </c>
      <c r="J1586" s="19" t="s">
        <v>1472</v>
      </c>
      <c r="K1586" s="20">
        <v>5</v>
      </c>
      <c r="L1586" s="20">
        <v>30</v>
      </c>
      <c r="Q1586" s="20">
        <v>1</v>
      </c>
      <c r="R1586" s="20">
        <v>1</v>
      </c>
      <c r="S1586" s="20">
        <v>7</v>
      </c>
      <c r="W1586" s="20">
        <f>IF(Q1586&lt;&gt;0,3,IF(K1586="","",VLOOKUP(K1586,'#状态名词'!$J$1:$K$15,2,FALSE)))</f>
        <v>3</v>
      </c>
      <c r="AA1586" s="20">
        <v>1</v>
      </c>
      <c r="AB1586" s="20">
        <v>50029</v>
      </c>
      <c r="AC1586" s="20">
        <v>100</v>
      </c>
      <c r="AD1586" s="20">
        <v>1</v>
      </c>
    </row>
    <row r="1587" spans="1:31" ht="27">
      <c r="A1587" s="20">
        <v>50063</v>
      </c>
      <c r="B1587" s="20" t="s">
        <v>4813</v>
      </c>
      <c r="C1587" s="21" t="s">
        <v>4814</v>
      </c>
      <c r="F1587" s="20" t="s">
        <v>864</v>
      </c>
      <c r="H1587" s="20">
        <v>20</v>
      </c>
      <c r="J1587" s="19" t="s">
        <v>106</v>
      </c>
      <c r="K1587" s="20">
        <v>8</v>
      </c>
      <c r="L1587" s="20">
        <v>100</v>
      </c>
      <c r="O1587" s="20">
        <v>0</v>
      </c>
      <c r="Q1587" s="20">
        <v>5</v>
      </c>
      <c r="R1587" s="20">
        <v>2</v>
      </c>
      <c r="S1587" s="20">
        <v>4</v>
      </c>
      <c r="U1587" s="20">
        <v>35</v>
      </c>
      <c r="W1587" s="20">
        <f>IF(Q1587&lt;&gt;0,3,IF(K1587="","",VLOOKUP(K1587,'#状态名词'!$J$1:$K$15,2,FALSE)))</f>
        <v>3</v>
      </c>
      <c r="Y1587" s="20">
        <v>10</v>
      </c>
      <c r="Z1587" s="20">
        <v>50084</v>
      </c>
    </row>
    <row r="1588" spans="1:31" ht="27">
      <c r="A1588" s="20">
        <v>50064</v>
      </c>
      <c r="B1588" s="20" t="s">
        <v>4815</v>
      </c>
      <c r="C1588" s="21" t="s">
        <v>4816</v>
      </c>
      <c r="F1588" s="20" t="s">
        <v>864</v>
      </c>
      <c r="H1588" s="20">
        <v>20</v>
      </c>
      <c r="J1588" s="19" t="s">
        <v>115</v>
      </c>
      <c r="K1588" s="20">
        <v>8</v>
      </c>
      <c r="L1588" s="20">
        <v>100</v>
      </c>
      <c r="O1588" s="20">
        <v>1</v>
      </c>
      <c r="Q1588" s="20">
        <v>5</v>
      </c>
      <c r="R1588" s="20">
        <v>4</v>
      </c>
      <c r="S1588" s="20">
        <v>4</v>
      </c>
      <c r="U1588" s="20">
        <v>35</v>
      </c>
      <c r="W1588" s="20">
        <f>IF(Q1588&lt;&gt;0,3,IF(K1588="","",VLOOKUP(K1588,'#状态名词'!$J$1:$K$15,2,FALSE)))</f>
        <v>3</v>
      </c>
      <c r="Y1588" s="20">
        <v>10</v>
      </c>
      <c r="Z1588" s="20">
        <v>50084</v>
      </c>
    </row>
    <row r="1589" spans="1:31">
      <c r="A1589" s="20">
        <v>50065</v>
      </c>
      <c r="B1589" s="20" t="s">
        <v>4817</v>
      </c>
      <c r="C1589" s="21" t="s">
        <v>6648</v>
      </c>
      <c r="F1589" s="20" t="s">
        <v>869</v>
      </c>
      <c r="H1589" s="20">
        <v>20</v>
      </c>
      <c r="J1589" s="19" t="s">
        <v>110</v>
      </c>
      <c r="K1589" s="20">
        <v>5</v>
      </c>
      <c r="L1589" s="20">
        <v>30</v>
      </c>
      <c r="O1589" s="20">
        <v>0</v>
      </c>
      <c r="Q1589" s="20">
        <v>1</v>
      </c>
      <c r="R1589" s="20">
        <v>0</v>
      </c>
      <c r="S1589" s="20">
        <v>6</v>
      </c>
      <c r="U1589" s="20">
        <v>60</v>
      </c>
      <c r="W1589" s="20">
        <f>IF(Q1589&lt;&gt;0,3,IF(K1589="","",VLOOKUP(K1589,'#状态名词'!$J$1:$K$15,2,FALSE)))</f>
        <v>3</v>
      </c>
    </row>
    <row r="1590" spans="1:31">
      <c r="A1590" s="20">
        <v>50066</v>
      </c>
      <c r="B1590" s="20" t="s">
        <v>4818</v>
      </c>
      <c r="C1590" s="21" t="s">
        <v>6649</v>
      </c>
      <c r="F1590" s="20" t="s">
        <v>869</v>
      </c>
      <c r="H1590" s="20">
        <v>20</v>
      </c>
      <c r="J1590" s="20" t="s">
        <v>113</v>
      </c>
      <c r="K1590" s="20">
        <v>5</v>
      </c>
      <c r="L1590" s="20">
        <v>30</v>
      </c>
      <c r="O1590" s="20">
        <v>1</v>
      </c>
      <c r="Q1590" s="20">
        <v>1</v>
      </c>
      <c r="R1590" s="20">
        <v>0</v>
      </c>
      <c r="S1590" s="20">
        <v>6</v>
      </c>
      <c r="U1590" s="20">
        <v>60</v>
      </c>
      <c r="W1590" s="20">
        <f>IF(Q1590&lt;&gt;0,3,IF(K1590="","",VLOOKUP(K1590,'#状态名词'!$J$1:$K$15,2,FALSE)))</f>
        <v>3</v>
      </c>
    </row>
    <row r="1591" spans="1:31">
      <c r="A1591" s="20">
        <v>50067</v>
      </c>
      <c r="B1591" s="20" t="s">
        <v>4819</v>
      </c>
      <c r="C1591" s="21" t="s">
        <v>6968</v>
      </c>
      <c r="F1591" s="20" t="s">
        <v>4820</v>
      </c>
      <c r="H1591" s="20">
        <v>20</v>
      </c>
      <c r="J1591" s="19" t="s">
        <v>1500</v>
      </c>
      <c r="K1591" s="20">
        <v>5</v>
      </c>
      <c r="L1591" s="20">
        <v>30</v>
      </c>
      <c r="O1591" s="20">
        <v>0</v>
      </c>
      <c r="Q1591" s="20">
        <v>1</v>
      </c>
      <c r="R1591" s="20">
        <v>0</v>
      </c>
      <c r="S1591" s="20">
        <v>6</v>
      </c>
      <c r="U1591" s="20">
        <v>60</v>
      </c>
      <c r="W1591" s="20">
        <f>IF(Q1591&lt;&gt;0,3,IF(K1591="","",VLOOKUP(K1591,'#状态名词'!$J$1:$K$15,2,FALSE)))</f>
        <v>3</v>
      </c>
    </row>
    <row r="1592" spans="1:31">
      <c r="A1592" s="20">
        <v>50068</v>
      </c>
      <c r="B1592" s="20" t="s">
        <v>4821</v>
      </c>
      <c r="C1592" s="21" t="s">
        <v>6650</v>
      </c>
      <c r="F1592" s="20" t="s">
        <v>867</v>
      </c>
      <c r="H1592" s="20">
        <v>20</v>
      </c>
      <c r="J1592" s="19" t="s">
        <v>1500</v>
      </c>
      <c r="K1592" s="20">
        <v>5</v>
      </c>
      <c r="L1592" s="20">
        <v>30</v>
      </c>
      <c r="O1592" s="20">
        <v>0</v>
      </c>
      <c r="U1592" s="20">
        <v>40</v>
      </c>
      <c r="W1592" s="20">
        <f>IF(Q1592&lt;&gt;0,3,IF(K1592="","",VLOOKUP(K1592,'#状态名词'!$J$1:$K$15,2,FALSE)))</f>
        <v>1</v>
      </c>
    </row>
    <row r="1593" spans="1:31">
      <c r="A1593" s="20">
        <v>50069</v>
      </c>
      <c r="B1593" s="20" t="s">
        <v>4822</v>
      </c>
      <c r="C1593" s="21" t="s">
        <v>4781</v>
      </c>
      <c r="F1593" s="20" t="s">
        <v>864</v>
      </c>
      <c r="H1593" s="20">
        <v>20</v>
      </c>
      <c r="J1593" s="19" t="s">
        <v>109</v>
      </c>
      <c r="K1593" s="20">
        <v>5</v>
      </c>
      <c r="L1593" s="20">
        <v>30</v>
      </c>
      <c r="N1593" s="20">
        <v>1</v>
      </c>
      <c r="O1593" s="20">
        <v>0</v>
      </c>
      <c r="W1593" s="20">
        <f>IF(Q1593&lt;&gt;0,3,IF(K1593="","",VLOOKUP(K1593,'#状态名词'!$J$1:$K$15,2,FALSE)))</f>
        <v>1</v>
      </c>
    </row>
    <row r="1594" spans="1:31">
      <c r="A1594" s="20">
        <v>50070</v>
      </c>
      <c r="B1594" s="20" t="s">
        <v>4823</v>
      </c>
      <c r="C1594" s="21" t="s">
        <v>4824</v>
      </c>
      <c r="F1594" s="20" t="s">
        <v>864</v>
      </c>
      <c r="H1594" s="20">
        <v>20</v>
      </c>
      <c r="J1594" s="19" t="s">
        <v>1525</v>
      </c>
      <c r="K1594" s="20">
        <v>5</v>
      </c>
      <c r="L1594" s="20">
        <v>30</v>
      </c>
      <c r="N1594" s="20">
        <v>2</v>
      </c>
      <c r="O1594" s="20">
        <v>0</v>
      </c>
      <c r="W1594" s="20">
        <f>IF(Q1594&lt;&gt;0,3,IF(K1594="","",VLOOKUP(K1594,'#状态名词'!$J$1:$K$15,2,FALSE)))</f>
        <v>1</v>
      </c>
    </row>
    <row r="1595" spans="1:31">
      <c r="A1595" s="20">
        <v>50071</v>
      </c>
      <c r="B1595" s="20" t="s">
        <v>4825</v>
      </c>
      <c r="C1595" s="21" t="s">
        <v>4826</v>
      </c>
      <c r="F1595" s="20" t="s">
        <v>866</v>
      </c>
      <c r="H1595" s="20">
        <v>20</v>
      </c>
      <c r="J1595" s="20" t="s">
        <v>1466</v>
      </c>
      <c r="K1595" s="20">
        <v>5</v>
      </c>
      <c r="L1595" s="20">
        <v>30</v>
      </c>
      <c r="O1595" s="20">
        <v>0</v>
      </c>
      <c r="W1595" s="20">
        <f>IF(Q1595&lt;&gt;0,3,IF(K1595="","",VLOOKUP(K1595,'#状态名词'!$J$1:$K$15,2,FALSE)))</f>
        <v>1</v>
      </c>
      <c r="AA1595" s="20">
        <v>1</v>
      </c>
      <c r="AB1595" s="20">
        <v>4</v>
      </c>
      <c r="AC1595" s="20">
        <v>100</v>
      </c>
      <c r="AD1595" s="20">
        <v>0</v>
      </c>
      <c r="AE1595" s="20">
        <v>3</v>
      </c>
    </row>
    <row r="1596" spans="1:31">
      <c r="A1596" s="20">
        <v>50072</v>
      </c>
      <c r="B1596" s="20" t="s">
        <v>472</v>
      </c>
      <c r="C1596" s="21" t="s">
        <v>4736</v>
      </c>
      <c r="F1596" s="20" t="s">
        <v>864</v>
      </c>
      <c r="H1596" s="20">
        <v>20</v>
      </c>
      <c r="J1596" s="20" t="s">
        <v>1494</v>
      </c>
      <c r="K1596" s="20">
        <v>5</v>
      </c>
      <c r="L1596" s="20">
        <v>30</v>
      </c>
      <c r="O1596" s="20">
        <v>0</v>
      </c>
      <c r="W1596" s="20">
        <f>IF(Q1596&lt;&gt;0,3,IF(K1596="","",VLOOKUP(K1596,'#状态名词'!$J$1:$K$15,2,FALSE)))</f>
        <v>1</v>
      </c>
    </row>
    <row r="1597" spans="1:31">
      <c r="A1597" s="20">
        <v>50073</v>
      </c>
      <c r="B1597" s="20" t="s">
        <v>4827</v>
      </c>
      <c r="C1597" s="21" t="s">
        <v>4828</v>
      </c>
      <c r="F1597" s="20" t="s">
        <v>870</v>
      </c>
      <c r="H1597" s="20">
        <v>20</v>
      </c>
      <c r="J1597" s="19" t="s">
        <v>113</v>
      </c>
      <c r="K1597" s="20">
        <v>5</v>
      </c>
      <c r="L1597" s="20">
        <v>30</v>
      </c>
      <c r="O1597" s="20">
        <v>0</v>
      </c>
      <c r="W1597" s="20">
        <f>IF(Q1597&lt;&gt;0,3,IF(K1597="","",VLOOKUP(K1597,'#状态名词'!$J$1:$K$15,2,FALSE)))</f>
        <v>1</v>
      </c>
    </row>
    <row r="1598" spans="1:31">
      <c r="A1598" s="20">
        <v>50074</v>
      </c>
      <c r="B1598" s="20" t="s">
        <v>4829</v>
      </c>
      <c r="C1598" s="21" t="s">
        <v>4830</v>
      </c>
      <c r="F1598" s="20" t="s">
        <v>865</v>
      </c>
      <c r="H1598" s="20">
        <v>20</v>
      </c>
      <c r="J1598" s="19" t="s">
        <v>1483</v>
      </c>
      <c r="K1598" s="20">
        <v>5</v>
      </c>
      <c r="L1598" s="20">
        <v>30</v>
      </c>
      <c r="N1598" s="20">
        <v>4</v>
      </c>
      <c r="O1598" s="20">
        <v>1</v>
      </c>
      <c r="W1598" s="20">
        <f>IF(Q1598&lt;&gt;0,3,IF(K1598="","",VLOOKUP(K1598,'#状态名词'!$J$1:$K$15,2,FALSE)))</f>
        <v>1</v>
      </c>
    </row>
    <row r="1599" spans="1:31">
      <c r="A1599" s="20">
        <v>50075</v>
      </c>
      <c r="B1599" s="20" t="s">
        <v>4831</v>
      </c>
      <c r="C1599" s="21" t="s">
        <v>4832</v>
      </c>
      <c r="F1599" s="20" t="s">
        <v>865</v>
      </c>
      <c r="H1599" s="20">
        <v>20</v>
      </c>
      <c r="J1599" s="19" t="s">
        <v>115</v>
      </c>
      <c r="K1599" s="20">
        <v>5</v>
      </c>
      <c r="L1599" s="20">
        <v>30</v>
      </c>
      <c r="O1599" s="20">
        <v>0</v>
      </c>
      <c r="W1599" s="20">
        <f>IF(Q1599&lt;&gt;0,3,IF(K1599="","",VLOOKUP(K1599,'#状态名词'!$J$1:$K$15,2,FALSE)))</f>
        <v>1</v>
      </c>
      <c r="AA1599" s="20">
        <v>1</v>
      </c>
      <c r="AB1599" s="20">
        <v>2</v>
      </c>
      <c r="AC1599" s="20">
        <v>100</v>
      </c>
      <c r="AD1599" s="20">
        <v>0</v>
      </c>
      <c r="AE1599" s="20">
        <v>5</v>
      </c>
    </row>
    <row r="1600" spans="1:31">
      <c r="J1600" s="19"/>
      <c r="W1600" s="20" t="str">
        <f>IF(Q1600&lt;&gt;0,3,IF(K1600="","",VLOOKUP(K1600,'#状态名词'!$J$1:$K$15,2,FALSE)))</f>
        <v/>
      </c>
      <c r="AA1600" s="20">
        <v>1</v>
      </c>
      <c r="AB1600" s="20">
        <v>13</v>
      </c>
      <c r="AC1600" s="20">
        <v>100</v>
      </c>
      <c r="AD1600" s="20">
        <v>0</v>
      </c>
      <c r="AE1600" s="20">
        <v>5</v>
      </c>
    </row>
    <row r="1601" spans="1:31">
      <c r="A1601" s="20">
        <v>50076</v>
      </c>
      <c r="B1601" s="20" t="s">
        <v>4833</v>
      </c>
      <c r="C1601" s="21" t="s">
        <v>4834</v>
      </c>
      <c r="F1601" s="20" t="s">
        <v>865</v>
      </c>
      <c r="H1601" s="20">
        <v>20</v>
      </c>
      <c r="J1601" s="19" t="s">
        <v>115</v>
      </c>
      <c r="K1601" s="20">
        <v>5</v>
      </c>
      <c r="L1601" s="20">
        <v>30</v>
      </c>
      <c r="O1601" s="20">
        <v>0</v>
      </c>
      <c r="W1601" s="20">
        <f>IF(Q1601&lt;&gt;0,3,IF(K1601="","",VLOOKUP(K1601,'#状态名词'!$J$1:$K$15,2,FALSE)))</f>
        <v>1</v>
      </c>
      <c r="AA1601" s="20">
        <v>1</v>
      </c>
      <c r="AB1601" s="20">
        <v>34</v>
      </c>
      <c r="AC1601" s="20">
        <v>100</v>
      </c>
      <c r="AD1601" s="20">
        <v>1</v>
      </c>
      <c r="AE1601" s="20">
        <v>3</v>
      </c>
    </row>
    <row r="1602" spans="1:31">
      <c r="A1602" s="20">
        <v>50077</v>
      </c>
      <c r="B1602" s="20" t="s">
        <v>4835</v>
      </c>
      <c r="C1602" s="21" t="s">
        <v>4836</v>
      </c>
      <c r="F1602" s="20" t="s">
        <v>865</v>
      </c>
      <c r="H1602" s="20">
        <v>20</v>
      </c>
      <c r="J1602" s="20" t="s">
        <v>115</v>
      </c>
      <c r="K1602" s="20">
        <v>5</v>
      </c>
      <c r="L1602" s="20">
        <v>30</v>
      </c>
      <c r="O1602" s="20">
        <v>0</v>
      </c>
      <c r="W1602" s="20">
        <f>IF(Q1602&lt;&gt;0,3,IF(K1602="","",VLOOKUP(K1602,'#状态名词'!$J$1:$K$15,2,FALSE)))</f>
        <v>1</v>
      </c>
      <c r="AA1602" s="20">
        <v>1</v>
      </c>
      <c r="AB1602" s="20">
        <v>11</v>
      </c>
      <c r="AC1602" s="20">
        <v>100</v>
      </c>
      <c r="AD1602" s="20">
        <v>0</v>
      </c>
      <c r="AE1602" s="20">
        <v>5</v>
      </c>
    </row>
    <row r="1603" spans="1:31">
      <c r="A1603" s="20">
        <v>50078</v>
      </c>
      <c r="B1603" s="20" t="s">
        <v>4837</v>
      </c>
      <c r="C1603" s="21" t="s">
        <v>4838</v>
      </c>
      <c r="F1603" s="20" t="s">
        <v>865</v>
      </c>
      <c r="H1603" s="20">
        <v>20</v>
      </c>
      <c r="J1603" s="20" t="s">
        <v>115</v>
      </c>
      <c r="K1603" s="20">
        <v>5</v>
      </c>
      <c r="L1603" s="20">
        <v>30</v>
      </c>
      <c r="O1603" s="20">
        <v>0</v>
      </c>
      <c r="W1603" s="20">
        <f>IF(Q1603&lt;&gt;0,3,IF(K1603="","",VLOOKUP(K1603,'#状态名词'!$J$1:$K$15,2,FALSE)))</f>
        <v>1</v>
      </c>
      <c r="AA1603" s="20">
        <v>1</v>
      </c>
      <c r="AB1603" s="20">
        <v>44</v>
      </c>
      <c r="AC1603" s="20">
        <v>100</v>
      </c>
      <c r="AD1603" s="20">
        <v>1</v>
      </c>
      <c r="AE1603" s="20">
        <v>3</v>
      </c>
    </row>
    <row r="1604" spans="1:31">
      <c r="A1604" s="20">
        <v>50079</v>
      </c>
      <c r="B1604" s="20" t="s">
        <v>4839</v>
      </c>
      <c r="C1604" s="21" t="s">
        <v>4840</v>
      </c>
      <c r="F1604" s="20" t="s">
        <v>869</v>
      </c>
      <c r="H1604" s="20">
        <v>20</v>
      </c>
      <c r="J1604" s="20" t="s">
        <v>115</v>
      </c>
      <c r="K1604" s="20">
        <v>5</v>
      </c>
      <c r="L1604" s="20">
        <v>30</v>
      </c>
      <c r="O1604" s="20">
        <v>0</v>
      </c>
      <c r="W1604" s="20">
        <f>IF(Q1604&lt;&gt;0,3,IF(K1604="","",VLOOKUP(K1604,'#状态名词'!$J$1:$K$15,2,FALSE)))</f>
        <v>1</v>
      </c>
    </row>
    <row r="1605" spans="1:31">
      <c r="A1605" s="20">
        <v>50080</v>
      </c>
      <c r="B1605" s="20" t="s">
        <v>4841</v>
      </c>
      <c r="C1605" s="21" t="s">
        <v>4842</v>
      </c>
      <c r="W1605" s="20" t="str">
        <f>IF(Q1605&lt;&gt;0,3,IF(K1605="","",VLOOKUP(K1605,'#状态名词'!$J$1:$K$15,2,FALSE)))</f>
        <v/>
      </c>
      <c r="AA1605" s="20">
        <v>1</v>
      </c>
      <c r="AB1605" s="20">
        <v>50030</v>
      </c>
      <c r="AC1605" s="20">
        <v>100</v>
      </c>
      <c r="AD1605" s="20">
        <v>1</v>
      </c>
    </row>
    <row r="1606" spans="1:31">
      <c r="A1606" s="20">
        <v>50081</v>
      </c>
      <c r="B1606" s="20" t="s">
        <v>4843</v>
      </c>
      <c r="C1606" s="21" t="s">
        <v>4844</v>
      </c>
      <c r="W1606" s="20" t="str">
        <f>IF(Q1606&lt;&gt;0,3,IF(K1606="","",VLOOKUP(K1606,'#状态名词'!$J$1:$K$15,2,FALSE)))</f>
        <v/>
      </c>
      <c r="AA1606" s="20">
        <v>1</v>
      </c>
      <c r="AB1606" s="20">
        <v>50031</v>
      </c>
      <c r="AC1606" s="20">
        <v>100</v>
      </c>
      <c r="AD1606" s="20">
        <v>1</v>
      </c>
    </row>
    <row r="1607" spans="1:31">
      <c r="A1607" s="20">
        <v>50082</v>
      </c>
      <c r="B1607" s="20" t="s">
        <v>4845</v>
      </c>
      <c r="C1607" s="21" t="s">
        <v>7939</v>
      </c>
      <c r="F1607" s="20" t="s">
        <v>865</v>
      </c>
      <c r="H1607" s="20">
        <v>20</v>
      </c>
      <c r="J1607" s="20" t="s">
        <v>115</v>
      </c>
      <c r="K1607" s="20">
        <v>5</v>
      </c>
      <c r="L1607" s="20">
        <v>30</v>
      </c>
      <c r="N1607" s="20">
        <v>4</v>
      </c>
      <c r="O1607" s="20">
        <v>1</v>
      </c>
      <c r="W1607" s="20">
        <f>IF(Q1607&lt;&gt;0,3,IF(K1607="","",VLOOKUP(K1607,'#状态名词'!$J$1:$K$15,2,FALSE)))</f>
        <v>1</v>
      </c>
      <c r="AA1607" s="20">
        <v>1</v>
      </c>
      <c r="AB1607" s="20">
        <v>50032</v>
      </c>
      <c r="AC1607" s="20">
        <v>100</v>
      </c>
      <c r="AD1607" s="20">
        <v>0</v>
      </c>
    </row>
    <row r="1608" spans="1:31">
      <c r="A1608" s="20">
        <v>50083</v>
      </c>
      <c r="B1608" s="20" t="s">
        <v>4846</v>
      </c>
      <c r="C1608" s="21" t="s">
        <v>4847</v>
      </c>
      <c r="F1608" s="20" t="s">
        <v>865</v>
      </c>
      <c r="H1608" s="20">
        <v>20</v>
      </c>
      <c r="J1608" s="20" t="s">
        <v>115</v>
      </c>
      <c r="K1608" s="20">
        <v>5</v>
      </c>
      <c r="L1608" s="20">
        <v>30</v>
      </c>
      <c r="N1608" s="20">
        <v>4</v>
      </c>
      <c r="O1608" s="20">
        <v>0</v>
      </c>
      <c r="W1608" s="20">
        <f>IF(Q1608&lt;&gt;0,3,IF(K1608="","",VLOOKUP(K1608,'#状态名词'!$J$1:$K$15,2,FALSE)))</f>
        <v>1</v>
      </c>
      <c r="AA1608" s="20">
        <v>1</v>
      </c>
      <c r="AB1608" s="20">
        <v>34</v>
      </c>
      <c r="AC1608" s="20">
        <v>100</v>
      </c>
      <c r="AD1608" s="20">
        <v>1</v>
      </c>
      <c r="AE1608" s="20">
        <v>10</v>
      </c>
    </row>
    <row r="1609" spans="1:31">
      <c r="A1609" s="20">
        <v>50084</v>
      </c>
      <c r="B1609" s="20" t="s">
        <v>4848</v>
      </c>
      <c r="C1609" s="21" t="s">
        <v>4849</v>
      </c>
      <c r="F1609" s="20" t="s">
        <v>871</v>
      </c>
      <c r="H1609" s="20">
        <v>20</v>
      </c>
      <c r="J1609" s="20" t="s">
        <v>115</v>
      </c>
      <c r="K1609" s="20">
        <v>5</v>
      </c>
      <c r="L1609" s="20">
        <v>30</v>
      </c>
      <c r="N1609" s="20">
        <v>2</v>
      </c>
      <c r="O1609" s="20">
        <v>1</v>
      </c>
      <c r="W1609" s="20">
        <f>IF(Q1609&lt;&gt;0,3,IF(K1609="","",VLOOKUP(K1609,'#状态名词'!$J$1:$K$15,2,FALSE)))</f>
        <v>1</v>
      </c>
      <c r="AA1609" s="20">
        <v>1</v>
      </c>
      <c r="AB1609" s="20">
        <v>35</v>
      </c>
      <c r="AC1609" s="20">
        <v>100</v>
      </c>
      <c r="AD1609" s="20">
        <v>1</v>
      </c>
      <c r="AE1609" s="20">
        <v>3</v>
      </c>
    </row>
    <row r="1610" spans="1:31">
      <c r="A1610" s="20">
        <v>50085</v>
      </c>
      <c r="B1610" s="20" t="s">
        <v>4850</v>
      </c>
      <c r="C1610" s="21" t="s">
        <v>4851</v>
      </c>
      <c r="F1610" s="20" t="s">
        <v>866</v>
      </c>
      <c r="H1610" s="20">
        <v>20</v>
      </c>
      <c r="J1610" s="19" t="s">
        <v>115</v>
      </c>
      <c r="K1610" s="20">
        <v>5</v>
      </c>
      <c r="L1610" s="20">
        <v>30</v>
      </c>
      <c r="O1610" s="20">
        <v>0</v>
      </c>
      <c r="W1610" s="20">
        <f>IF(Q1610&lt;&gt;0,3,IF(K1610="","",VLOOKUP(K1610,'#状态名词'!$J$1:$K$15,2,FALSE)))</f>
        <v>1</v>
      </c>
      <c r="AA1610" s="20">
        <v>1</v>
      </c>
      <c r="AB1610" s="20">
        <v>11</v>
      </c>
      <c r="AC1610" s="20">
        <v>100</v>
      </c>
      <c r="AD1610" s="20">
        <v>0</v>
      </c>
      <c r="AE1610" s="20">
        <v>3</v>
      </c>
    </row>
    <row r="1611" spans="1:31">
      <c r="A1611" s="20">
        <v>50086</v>
      </c>
      <c r="B1611" s="20" t="s">
        <v>4852</v>
      </c>
      <c r="C1611" s="21" t="s">
        <v>4853</v>
      </c>
      <c r="F1611" s="20" t="s">
        <v>865</v>
      </c>
      <c r="H1611" s="20">
        <v>20</v>
      </c>
      <c r="J1611" s="20" t="s">
        <v>115</v>
      </c>
      <c r="K1611" s="20">
        <v>5</v>
      </c>
      <c r="L1611" s="20">
        <v>30</v>
      </c>
      <c r="N1611" s="20">
        <v>2</v>
      </c>
      <c r="O1611" s="20">
        <v>1</v>
      </c>
      <c r="W1611" s="20">
        <f>IF(Q1611&lt;&gt;0,3,IF(K1611="","",VLOOKUP(K1611,'#状态名词'!$J$1:$K$15,2,FALSE)))</f>
        <v>1</v>
      </c>
    </row>
    <row r="1612" spans="1:31">
      <c r="A1612" s="20">
        <v>50087</v>
      </c>
      <c r="B1612" s="20" t="s">
        <v>4854</v>
      </c>
      <c r="C1612" s="21" t="s">
        <v>4855</v>
      </c>
      <c r="G1612" s="20">
        <v>50008</v>
      </c>
      <c r="W1612" s="20" t="str">
        <f>IF(Q1612&lt;&gt;0,3,IF(K1612="","",VLOOKUP(K1612,'#状态名词'!$J$1:$K$15,2,FALSE)))</f>
        <v/>
      </c>
      <c r="AA1612" s="20">
        <v>1</v>
      </c>
      <c r="AB1612" s="20">
        <v>21</v>
      </c>
      <c r="AC1612" s="20" t="s">
        <v>4380</v>
      </c>
      <c r="AD1612" s="20">
        <v>0</v>
      </c>
      <c r="AE1612" s="20">
        <v>1</v>
      </c>
    </row>
    <row r="1613" spans="1:31">
      <c r="A1613" s="20">
        <v>50088</v>
      </c>
      <c r="B1613" s="20" t="s">
        <v>4856</v>
      </c>
      <c r="C1613" s="21" t="s">
        <v>4857</v>
      </c>
      <c r="W1613" s="20" t="str">
        <f>IF(Q1613&lt;&gt;0,3,IF(K1613="","",VLOOKUP(K1613,'#状态名词'!$J$1:$K$15,2,FALSE)))</f>
        <v/>
      </c>
      <c r="AA1613" s="20">
        <v>1</v>
      </c>
      <c r="AB1613" s="20">
        <v>50025</v>
      </c>
      <c r="AC1613" s="20">
        <v>100</v>
      </c>
      <c r="AD1613" s="20">
        <v>2</v>
      </c>
    </row>
    <row r="1614" spans="1:31">
      <c r="A1614" s="20">
        <v>50089</v>
      </c>
      <c r="B1614" s="20" t="s">
        <v>4858</v>
      </c>
      <c r="C1614" s="21" t="s">
        <v>4859</v>
      </c>
      <c r="J1614" s="19"/>
      <c r="W1614" s="20" t="str">
        <f>IF(Q1614&lt;&gt;0,3,IF(K1614="","",VLOOKUP(K1614,'#状态名词'!$J$1:$K$15,2,FALSE)))</f>
        <v/>
      </c>
      <c r="AA1614" s="20">
        <v>1</v>
      </c>
      <c r="AB1614" s="20">
        <v>50033</v>
      </c>
      <c r="AC1614" s="20">
        <v>100</v>
      </c>
      <c r="AD1614" s="20">
        <v>2</v>
      </c>
    </row>
    <row r="1615" spans="1:31">
      <c r="A1615" s="20">
        <v>50090</v>
      </c>
      <c r="B1615" s="20" t="s">
        <v>4860</v>
      </c>
      <c r="C1615" s="21" t="s">
        <v>4861</v>
      </c>
      <c r="J1615" s="19"/>
      <c r="W1615" s="20" t="str">
        <f>IF(Q1615&lt;&gt;0,3,IF(K1615="","",VLOOKUP(K1615,'#状态名词'!$J$1:$K$15,2,FALSE)))</f>
        <v/>
      </c>
      <c r="AA1615" s="20">
        <v>1</v>
      </c>
      <c r="AB1615" s="20">
        <v>50034</v>
      </c>
      <c r="AC1615" s="20">
        <v>100</v>
      </c>
      <c r="AD1615" s="20">
        <v>2</v>
      </c>
    </row>
    <row r="1616" spans="1:31">
      <c r="A1616" s="20">
        <v>50091</v>
      </c>
      <c r="B1616" s="20" t="s">
        <v>4862</v>
      </c>
      <c r="C1616" s="21" t="s">
        <v>4863</v>
      </c>
      <c r="G1616" s="20">
        <v>50072</v>
      </c>
      <c r="W1616" s="20" t="str">
        <f>IF(Q1616&lt;&gt;0,3,IF(K1616="","",VLOOKUP(K1616,'#状态名词'!$J$1:$K$15,2,FALSE)))</f>
        <v/>
      </c>
      <c r="AA1616" s="20">
        <v>1</v>
      </c>
      <c r="AB1616" s="20">
        <v>50035</v>
      </c>
      <c r="AC1616" s="20">
        <v>100</v>
      </c>
      <c r="AD1616" s="20">
        <v>1</v>
      </c>
    </row>
    <row r="1617" spans="1:31">
      <c r="A1617" s="20">
        <v>50092</v>
      </c>
      <c r="B1617" s="20" t="s">
        <v>4864</v>
      </c>
      <c r="C1617" s="21" t="s">
        <v>4736</v>
      </c>
      <c r="W1617" s="20" t="str">
        <f>IF(Q1617&lt;&gt;0,3,IF(K1617="","",VLOOKUP(K1617,'#状态名词'!$J$1:$K$15,2,FALSE)))</f>
        <v/>
      </c>
    </row>
    <row r="1618" spans="1:31">
      <c r="A1618" s="20">
        <v>50093</v>
      </c>
      <c r="B1618" s="20" t="s">
        <v>4865</v>
      </c>
      <c r="C1618" s="21" t="s">
        <v>4866</v>
      </c>
      <c r="W1618" s="20" t="str">
        <f>IF(Q1618&lt;&gt;0,3,IF(K1618="","",VLOOKUP(K1618,'#状态名词'!$J$1:$K$15,2,FALSE)))</f>
        <v/>
      </c>
      <c r="AA1618" s="20">
        <v>1</v>
      </c>
      <c r="AB1618" s="20">
        <v>50037</v>
      </c>
      <c r="AC1618" s="20">
        <v>100</v>
      </c>
      <c r="AD1618" s="20">
        <v>1</v>
      </c>
    </row>
    <row r="1619" spans="1:31">
      <c r="A1619" s="20">
        <v>50094</v>
      </c>
      <c r="B1619" s="20" t="s">
        <v>4867</v>
      </c>
      <c r="C1619" s="21" t="s">
        <v>4868</v>
      </c>
      <c r="J1619" s="19"/>
      <c r="W1619" s="20" t="str">
        <f>IF(Q1619&lt;&gt;0,3,IF(K1619="","",VLOOKUP(K1619,'#状态名词'!$J$1:$K$15,2,FALSE)))</f>
        <v/>
      </c>
      <c r="AA1619" s="20">
        <v>1</v>
      </c>
      <c r="AB1619" s="20">
        <v>50038</v>
      </c>
      <c r="AC1619" s="20">
        <v>100</v>
      </c>
      <c r="AD1619" s="20">
        <v>1</v>
      </c>
    </row>
    <row r="1620" spans="1:31">
      <c r="A1620" s="20">
        <v>50095</v>
      </c>
      <c r="B1620" s="20" t="s">
        <v>4869</v>
      </c>
      <c r="C1620" s="21" t="s">
        <v>4870</v>
      </c>
      <c r="F1620" s="20" t="s">
        <v>869</v>
      </c>
      <c r="H1620" s="20">
        <v>20</v>
      </c>
      <c r="J1620" s="20" t="s">
        <v>115</v>
      </c>
      <c r="K1620" s="20">
        <v>5</v>
      </c>
      <c r="L1620" s="20">
        <v>30</v>
      </c>
      <c r="O1620" s="20">
        <v>0</v>
      </c>
      <c r="W1620" s="20">
        <f>IF(Q1620&lt;&gt;0,3,IF(K1620="","",VLOOKUP(K1620,'#状态名词'!$J$1:$K$15,2,FALSE)))</f>
        <v>1</v>
      </c>
    </row>
    <row r="1621" spans="1:31">
      <c r="A1621" s="20">
        <v>50096</v>
      </c>
      <c r="B1621" s="20" t="s">
        <v>4871</v>
      </c>
      <c r="C1621" s="21" t="s">
        <v>4872</v>
      </c>
      <c r="G1621" s="20">
        <v>50042</v>
      </c>
      <c r="W1621" s="20" t="str">
        <f>IF(Q1621&lt;&gt;0,3,IF(K1621="","",VLOOKUP(K1621,'#状态名词'!$J$1:$K$15,2,FALSE)))</f>
        <v/>
      </c>
      <c r="AA1621" s="20">
        <v>1</v>
      </c>
      <c r="AB1621" s="20">
        <v>21</v>
      </c>
      <c r="AC1621" s="20">
        <v>15</v>
      </c>
      <c r="AD1621" s="20">
        <v>0</v>
      </c>
      <c r="AE1621" s="20">
        <v>1</v>
      </c>
    </row>
    <row r="1622" spans="1:31">
      <c r="W1622" s="20" t="str">
        <f>IF(Q1622&lt;&gt;0,3,IF(K1622="","",VLOOKUP(K1622,'#状态名词'!$J$1:$K$15,2,FALSE)))</f>
        <v/>
      </c>
      <c r="AA1622" s="20">
        <v>1</v>
      </c>
      <c r="AB1622" s="20">
        <v>21</v>
      </c>
      <c r="AC1622" s="20">
        <v>15</v>
      </c>
      <c r="AD1622" s="20">
        <v>1</v>
      </c>
      <c r="AE1622" s="20">
        <v>1</v>
      </c>
    </row>
    <row r="1623" spans="1:31">
      <c r="A1623" s="20">
        <v>50097</v>
      </c>
      <c r="B1623" s="20" t="s">
        <v>4873</v>
      </c>
      <c r="C1623" s="21" t="s">
        <v>4874</v>
      </c>
      <c r="J1623" s="19"/>
      <c r="W1623" s="20" t="str">
        <f>IF(Q1623&lt;&gt;0,3,IF(K1623="","",VLOOKUP(K1623,'#状态名词'!$J$1:$K$15,2,FALSE)))</f>
        <v/>
      </c>
      <c r="AA1623" s="20">
        <v>1</v>
      </c>
      <c r="AB1623" s="20">
        <v>50039</v>
      </c>
      <c r="AC1623" s="20">
        <v>100</v>
      </c>
      <c r="AD1623" s="20">
        <v>1</v>
      </c>
    </row>
    <row r="1624" spans="1:31">
      <c r="A1624" s="20">
        <v>50098</v>
      </c>
      <c r="B1624" s="20" t="s">
        <v>4875</v>
      </c>
      <c r="C1624" s="21" t="s">
        <v>4876</v>
      </c>
      <c r="F1624" s="20" t="s">
        <v>864</v>
      </c>
      <c r="H1624" s="20">
        <v>20</v>
      </c>
      <c r="J1624" s="19" t="s">
        <v>1495</v>
      </c>
      <c r="K1624" s="20">
        <v>5</v>
      </c>
      <c r="L1624" s="20">
        <v>30</v>
      </c>
      <c r="N1624" s="20">
        <v>3</v>
      </c>
      <c r="O1624" s="20">
        <v>1</v>
      </c>
      <c r="V1624" s="20">
        <v>15</v>
      </c>
      <c r="W1624" s="20">
        <f>IF(Q1624&lt;&gt;0,3,IF(K1624="","",VLOOKUP(K1624,'#状态名词'!$J$1:$K$15,2,FALSE)))</f>
        <v>1</v>
      </c>
    </row>
    <row r="1625" spans="1:31">
      <c r="A1625" s="20">
        <v>50099</v>
      </c>
      <c r="B1625" s="20" t="s">
        <v>4877</v>
      </c>
      <c r="C1625" s="21" t="s">
        <v>4878</v>
      </c>
      <c r="F1625" s="20" t="s">
        <v>864</v>
      </c>
      <c r="H1625" s="20">
        <v>20</v>
      </c>
      <c r="J1625" s="19" t="s">
        <v>1493</v>
      </c>
      <c r="K1625" s="20">
        <v>5</v>
      </c>
      <c r="L1625" s="20">
        <v>30</v>
      </c>
      <c r="N1625" s="20">
        <v>4</v>
      </c>
      <c r="O1625" s="20">
        <v>1</v>
      </c>
      <c r="V1625" s="20">
        <v>15</v>
      </c>
      <c r="W1625" s="20">
        <f>IF(Q1625&lt;&gt;0,3,IF(K1625="","",VLOOKUP(K1625,'#状态名词'!$J$1:$K$15,2,FALSE)))</f>
        <v>1</v>
      </c>
    </row>
    <row r="1626" spans="1:31">
      <c r="A1626" s="20">
        <v>50100</v>
      </c>
      <c r="B1626" s="20" t="s">
        <v>4879</v>
      </c>
      <c r="C1626" s="21" t="s">
        <v>4880</v>
      </c>
      <c r="J1626" s="19"/>
      <c r="K1626" s="20">
        <v>9</v>
      </c>
      <c r="W1626" s="20">
        <f>IF(Q1626&lt;&gt;0,3,IF(K1626="","",VLOOKUP(K1626,'#状态名词'!$J$1:$K$15,2,FALSE)))</f>
        <v>3</v>
      </c>
      <c r="AA1626" s="20">
        <v>1</v>
      </c>
      <c r="AB1626" s="20">
        <v>50040</v>
      </c>
      <c r="AC1626" s="20">
        <v>100</v>
      </c>
      <c r="AD1626" s="20">
        <v>1</v>
      </c>
    </row>
    <row r="1627" spans="1:31">
      <c r="A1627" s="20">
        <v>50101</v>
      </c>
      <c r="B1627" s="20" t="s">
        <v>4881</v>
      </c>
      <c r="C1627" s="21" t="s">
        <v>4882</v>
      </c>
      <c r="J1627" s="19"/>
      <c r="K1627" s="20">
        <v>9</v>
      </c>
      <c r="W1627" s="20">
        <f>IF(Q1627&lt;&gt;0,3,IF(K1627="","",VLOOKUP(K1627,'#状态名词'!$J$1:$K$15,2,FALSE)))</f>
        <v>3</v>
      </c>
      <c r="AA1627" s="20">
        <v>1</v>
      </c>
      <c r="AB1627" s="20">
        <v>35</v>
      </c>
      <c r="AC1627" s="20">
        <v>100</v>
      </c>
      <c r="AD1627" s="20">
        <v>1</v>
      </c>
      <c r="AE1627" s="20">
        <v>1</v>
      </c>
    </row>
    <row r="1628" spans="1:31">
      <c r="A1628" s="20">
        <v>50102</v>
      </c>
      <c r="B1628" s="20" t="s">
        <v>4883</v>
      </c>
      <c r="C1628" s="21" t="s">
        <v>4884</v>
      </c>
      <c r="J1628" s="19"/>
      <c r="W1628" s="20" t="str">
        <f>IF(Q1628&lt;&gt;0,3,IF(K1628="","",VLOOKUP(K1628,'#状态名词'!$J$1:$K$15,2,FALSE)))</f>
        <v/>
      </c>
      <c r="AA1628" s="20">
        <v>1</v>
      </c>
      <c r="AB1628" s="20">
        <v>50041</v>
      </c>
      <c r="AC1628" s="20">
        <v>100</v>
      </c>
      <c r="AD1628" s="20">
        <v>1</v>
      </c>
    </row>
    <row r="1629" spans="1:31">
      <c r="A1629" s="20">
        <v>50103</v>
      </c>
      <c r="B1629" s="20" t="s">
        <v>4885</v>
      </c>
      <c r="C1629" s="21" t="s">
        <v>4886</v>
      </c>
      <c r="F1629" s="20" t="s">
        <v>864</v>
      </c>
      <c r="H1629" s="20">
        <v>20</v>
      </c>
      <c r="J1629" s="19" t="s">
        <v>1488</v>
      </c>
      <c r="K1629" s="20">
        <v>5</v>
      </c>
      <c r="L1629" s="20">
        <v>30</v>
      </c>
      <c r="N1629" s="20">
        <v>3</v>
      </c>
      <c r="O1629" s="20">
        <v>1</v>
      </c>
      <c r="W1629" s="20">
        <f>IF(Q1629&lt;&gt;0,3,IF(K1629="","",VLOOKUP(K1629,'#状态名词'!$J$1:$K$15,2,FALSE)))</f>
        <v>1</v>
      </c>
    </row>
    <row r="1630" spans="1:31">
      <c r="A1630" s="20">
        <v>50104</v>
      </c>
      <c r="B1630" s="20" t="s">
        <v>4887</v>
      </c>
      <c r="C1630" s="21" t="s">
        <v>4888</v>
      </c>
      <c r="G1630" s="20">
        <v>50008</v>
      </c>
      <c r="J1630" s="19"/>
      <c r="W1630" s="20" t="str">
        <f>IF(Q1630&lt;&gt;0,3,IF(K1630="","",VLOOKUP(K1630,'#状态名词'!$J$1:$K$15,2,FALSE)))</f>
        <v/>
      </c>
      <c r="AA1630" s="20">
        <v>1</v>
      </c>
      <c r="AB1630" s="20">
        <v>2</v>
      </c>
      <c r="AC1630" s="20">
        <v>100</v>
      </c>
      <c r="AD1630" s="20">
        <v>0</v>
      </c>
      <c r="AE1630" s="20">
        <v>1</v>
      </c>
    </row>
    <row r="1631" spans="1:31">
      <c r="A1631" s="20">
        <v>50105</v>
      </c>
      <c r="B1631" s="20" t="s">
        <v>4889</v>
      </c>
      <c r="C1631" s="21" t="s">
        <v>4890</v>
      </c>
      <c r="G1631" s="20">
        <v>50011</v>
      </c>
      <c r="J1631" s="19"/>
      <c r="W1631" s="20" t="str">
        <f>IF(Q1631&lt;&gt;0,3,IF(K1631="","",VLOOKUP(K1631,'#状态名词'!$J$1:$K$15,2,FALSE)))</f>
        <v/>
      </c>
      <c r="AA1631" s="20">
        <v>1</v>
      </c>
      <c r="AB1631" s="20">
        <v>2</v>
      </c>
      <c r="AC1631" s="20">
        <v>100</v>
      </c>
      <c r="AD1631" s="20">
        <v>0</v>
      </c>
      <c r="AE1631" s="20">
        <v>1</v>
      </c>
    </row>
    <row r="1632" spans="1:31">
      <c r="A1632" s="20">
        <v>50106</v>
      </c>
      <c r="B1632" s="20" t="s">
        <v>4891</v>
      </c>
      <c r="C1632" s="21" t="s">
        <v>4892</v>
      </c>
      <c r="G1632" s="20">
        <v>50011</v>
      </c>
      <c r="J1632" s="19"/>
      <c r="W1632" s="20" t="str">
        <f>IF(Q1632&lt;&gt;0,3,IF(K1632="","",VLOOKUP(K1632,'#状态名词'!$J$1:$K$15,2,FALSE)))</f>
        <v/>
      </c>
      <c r="AA1632" s="20">
        <v>1</v>
      </c>
      <c r="AB1632" s="20">
        <v>50042</v>
      </c>
      <c r="AC1632" s="20" t="s">
        <v>4386</v>
      </c>
      <c r="AD1632" s="20">
        <v>1</v>
      </c>
    </row>
    <row r="1633" spans="1:31" ht="27">
      <c r="A1633" s="20">
        <v>50107</v>
      </c>
      <c r="B1633" s="20" t="s">
        <v>4893</v>
      </c>
      <c r="C1633" s="21" t="s">
        <v>4894</v>
      </c>
      <c r="F1633" s="20" t="s">
        <v>1381</v>
      </c>
      <c r="H1633" s="20">
        <v>20</v>
      </c>
      <c r="J1633" s="19" t="s">
        <v>1468</v>
      </c>
      <c r="K1633" s="20">
        <v>5</v>
      </c>
      <c r="L1633" s="20">
        <v>30</v>
      </c>
      <c r="O1633" s="20">
        <v>1</v>
      </c>
      <c r="W1633" s="20">
        <f>IF(Q1633&lt;&gt;0,3,IF(K1633="","",VLOOKUP(K1633,'#状态名词'!$J$1:$K$15,2,FALSE)))</f>
        <v>1</v>
      </c>
      <c r="AA1633" s="20">
        <v>1</v>
      </c>
      <c r="AB1633" s="20">
        <v>50043</v>
      </c>
      <c r="AC1633" s="20">
        <v>100</v>
      </c>
      <c r="AD1633" s="20">
        <v>1</v>
      </c>
    </row>
    <row r="1634" spans="1:31">
      <c r="A1634" s="20">
        <v>50108</v>
      </c>
      <c r="B1634" s="20" t="s">
        <v>4307</v>
      </c>
      <c r="C1634" s="21" t="s">
        <v>4895</v>
      </c>
      <c r="J1634" s="19"/>
      <c r="K1634" s="20">
        <v>9</v>
      </c>
      <c r="W1634" s="20">
        <f>IF(Q1634&lt;&gt;0,3,IF(K1634="","",VLOOKUP(K1634,'#状态名词'!$J$1:$K$15,2,FALSE)))</f>
        <v>3</v>
      </c>
      <c r="AA1634" s="20">
        <v>1</v>
      </c>
      <c r="AB1634" s="20">
        <v>50045</v>
      </c>
      <c r="AC1634" s="20">
        <v>100</v>
      </c>
      <c r="AD1634" s="20">
        <v>0</v>
      </c>
    </row>
    <row r="1635" spans="1:31">
      <c r="A1635" s="20">
        <v>50109</v>
      </c>
      <c r="B1635" s="20" t="s">
        <v>4896</v>
      </c>
      <c r="C1635" s="21" t="s">
        <v>4897</v>
      </c>
      <c r="J1635" s="19"/>
      <c r="K1635" s="20">
        <v>9</v>
      </c>
      <c r="W1635" s="20">
        <f>IF(Q1635&lt;&gt;0,3,IF(K1635="","",VLOOKUP(K1635,'#状态名词'!$J$1:$K$15,2,FALSE)))</f>
        <v>3</v>
      </c>
      <c r="AA1635" s="20">
        <v>1</v>
      </c>
      <c r="AB1635" s="20">
        <v>50046</v>
      </c>
      <c r="AC1635" s="20">
        <v>100</v>
      </c>
      <c r="AD1635" s="20">
        <v>0</v>
      </c>
    </row>
    <row r="1636" spans="1:31">
      <c r="A1636" s="20">
        <v>50110</v>
      </c>
      <c r="B1636" s="20" t="s">
        <v>4898</v>
      </c>
      <c r="C1636" s="21" t="s">
        <v>4899</v>
      </c>
      <c r="J1636" s="19"/>
      <c r="K1636" s="20">
        <v>6</v>
      </c>
      <c r="W1636" s="20">
        <f>IF(Q1636&lt;&gt;0,3,IF(K1636="","",VLOOKUP(K1636,'#状态名词'!$J$1:$K$15,2,FALSE)))</f>
        <v>3</v>
      </c>
      <c r="AA1636" s="20">
        <v>1</v>
      </c>
      <c r="AB1636" s="20">
        <v>4</v>
      </c>
      <c r="AC1636" s="20">
        <v>100</v>
      </c>
      <c r="AD1636" s="20">
        <v>0</v>
      </c>
      <c r="AE1636" s="20">
        <v>1</v>
      </c>
    </row>
    <row r="1637" spans="1:31" ht="27">
      <c r="A1637" s="20">
        <v>50111</v>
      </c>
      <c r="B1637" s="20" t="s">
        <v>4900</v>
      </c>
      <c r="C1637" s="21" t="s">
        <v>2071</v>
      </c>
      <c r="J1637" s="19"/>
      <c r="K1637" s="20">
        <v>5</v>
      </c>
      <c r="L1637" s="20">
        <v>50</v>
      </c>
      <c r="O1637" s="20">
        <v>0</v>
      </c>
      <c r="W1637" s="20">
        <f>IF(Q1637&lt;&gt;0,3,IF(K1637="","",VLOOKUP(K1637,'#状态名词'!$J$1:$K$15,2,FALSE)))</f>
        <v>1</v>
      </c>
      <c r="AA1637" s="20">
        <v>1</v>
      </c>
      <c r="AB1637" s="20">
        <v>50047</v>
      </c>
      <c r="AC1637" s="20">
        <v>100</v>
      </c>
      <c r="AD1637" s="20">
        <v>1</v>
      </c>
    </row>
    <row r="1638" spans="1:31" ht="27">
      <c r="A1638" s="20">
        <v>50112</v>
      </c>
      <c r="B1638" s="20" t="s">
        <v>4901</v>
      </c>
      <c r="C1638" s="21" t="s">
        <v>4902</v>
      </c>
      <c r="F1638" s="20" t="s">
        <v>4903</v>
      </c>
      <c r="H1638" s="20">
        <v>20</v>
      </c>
      <c r="J1638" s="19" t="s">
        <v>115</v>
      </c>
      <c r="K1638" s="20">
        <v>5</v>
      </c>
      <c r="L1638" s="20">
        <v>50</v>
      </c>
      <c r="O1638" s="20">
        <v>0</v>
      </c>
      <c r="W1638" s="20">
        <f>IF(Q1638&lt;&gt;0,3,IF(K1638="","",VLOOKUP(K1638,'#状态名词'!$J$1:$K$15,2,FALSE)))</f>
        <v>1</v>
      </c>
      <c r="AA1638" s="20">
        <v>1</v>
      </c>
      <c r="AB1638" s="20">
        <v>11</v>
      </c>
      <c r="AC1638" s="20">
        <v>100</v>
      </c>
      <c r="AD1638" s="20">
        <v>0</v>
      </c>
      <c r="AE1638" s="20">
        <v>1</v>
      </c>
    </row>
    <row r="1639" spans="1:31" ht="27">
      <c r="A1639" s="20">
        <v>50113</v>
      </c>
      <c r="B1639" s="20" t="s">
        <v>4904</v>
      </c>
      <c r="C1639" s="21" t="s">
        <v>4905</v>
      </c>
      <c r="F1639" s="20" t="s">
        <v>4906</v>
      </c>
      <c r="H1639" s="20">
        <v>20</v>
      </c>
      <c r="J1639" s="19" t="s">
        <v>115</v>
      </c>
      <c r="K1639" s="20">
        <v>5</v>
      </c>
      <c r="L1639" s="20">
        <v>50</v>
      </c>
      <c r="O1639" s="20">
        <v>1</v>
      </c>
      <c r="W1639" s="20">
        <f>IF(Q1639&lt;&gt;0,3,IF(K1639="","",VLOOKUP(K1639,'#状态名词'!$J$1:$K$15,2,FALSE)))</f>
        <v>1</v>
      </c>
      <c r="AA1639" s="20">
        <v>1</v>
      </c>
      <c r="AB1639" s="20">
        <v>11</v>
      </c>
      <c r="AC1639" s="20">
        <v>100</v>
      </c>
      <c r="AD1639" s="20">
        <v>0</v>
      </c>
      <c r="AE1639" s="20">
        <v>1</v>
      </c>
    </row>
    <row r="1640" spans="1:31">
      <c r="A1640" s="20">
        <v>50114</v>
      </c>
      <c r="B1640" s="20" t="s">
        <v>4907</v>
      </c>
      <c r="C1640" s="21" t="s">
        <v>4908</v>
      </c>
      <c r="J1640" s="19"/>
      <c r="K1640" s="20">
        <v>9</v>
      </c>
      <c r="W1640" s="20">
        <f>IF(Q1640&lt;&gt;0,3,IF(K1640="","",VLOOKUP(K1640,'#状态名词'!$J$1:$K$15,2,FALSE)))</f>
        <v>3</v>
      </c>
      <c r="AA1640" s="20">
        <v>1</v>
      </c>
      <c r="AB1640" s="20">
        <v>34</v>
      </c>
      <c r="AC1640" s="20">
        <v>30</v>
      </c>
      <c r="AD1640" s="20">
        <v>1</v>
      </c>
      <c r="AE1640" s="20">
        <v>10</v>
      </c>
    </row>
    <row r="1641" spans="1:31">
      <c r="J1641" s="19"/>
      <c r="W1641" s="20" t="str">
        <f>IF(Q1641&lt;&gt;0,3,IF(K1641="","",VLOOKUP(K1641,'#状态名词'!$J$1:$K$15,2,FALSE)))</f>
        <v/>
      </c>
      <c r="AA1641" s="20">
        <v>1</v>
      </c>
      <c r="AB1641" s="20">
        <v>44</v>
      </c>
      <c r="AC1641" s="20">
        <v>30</v>
      </c>
      <c r="AD1641" s="20">
        <v>1</v>
      </c>
      <c r="AE1641" s="20">
        <v>10</v>
      </c>
    </row>
    <row r="1642" spans="1:31">
      <c r="A1642" s="20">
        <v>50115</v>
      </c>
      <c r="B1642" s="20" t="s">
        <v>4909</v>
      </c>
      <c r="C1642" s="21" t="s">
        <v>4910</v>
      </c>
      <c r="J1642" s="19"/>
      <c r="K1642" s="20">
        <v>9</v>
      </c>
      <c r="W1642" s="20">
        <f>IF(Q1642&lt;&gt;0,3,IF(K1642="","",VLOOKUP(K1642,'#状态名词'!$J$1:$K$15,2,FALSE)))</f>
        <v>3</v>
      </c>
      <c r="AA1642" s="20">
        <v>1</v>
      </c>
      <c r="AB1642" s="20">
        <v>11</v>
      </c>
      <c r="AC1642" s="20">
        <v>30</v>
      </c>
      <c r="AD1642" s="20">
        <v>0</v>
      </c>
      <c r="AE1642" s="20">
        <v>4</v>
      </c>
    </row>
    <row r="1643" spans="1:31">
      <c r="J1643" s="19"/>
      <c r="W1643" s="20" t="str">
        <f>IF(Q1643&lt;&gt;0,3,IF(K1643="","",VLOOKUP(K1643,'#状态名词'!$J$1:$K$15,2,FALSE)))</f>
        <v/>
      </c>
      <c r="AA1643" s="20">
        <v>1</v>
      </c>
      <c r="AB1643" s="20">
        <v>50048</v>
      </c>
      <c r="AC1643" s="20">
        <v>30</v>
      </c>
      <c r="AD1643" s="20">
        <v>1</v>
      </c>
    </row>
    <row r="1644" spans="1:31">
      <c r="A1644" s="20">
        <v>50116</v>
      </c>
      <c r="B1644" s="20" t="s">
        <v>4911</v>
      </c>
      <c r="C1644" s="21" t="s">
        <v>4912</v>
      </c>
      <c r="J1644" s="19"/>
      <c r="K1644" s="20">
        <v>9</v>
      </c>
      <c r="W1644" s="20">
        <f>IF(Q1644&lt;&gt;0,3,IF(K1644="","",VLOOKUP(K1644,'#状态名词'!$J$1:$K$15,2,FALSE)))</f>
        <v>3</v>
      </c>
      <c r="AA1644" s="20">
        <v>1</v>
      </c>
      <c r="AB1644" s="20">
        <v>41</v>
      </c>
      <c r="AC1644" s="20">
        <v>30</v>
      </c>
      <c r="AD1644" s="20">
        <v>1</v>
      </c>
      <c r="AE1644" s="20">
        <v>4</v>
      </c>
    </row>
    <row r="1645" spans="1:31">
      <c r="J1645" s="19"/>
      <c r="W1645" s="20" t="str">
        <f>IF(Q1645&lt;&gt;0,3,IF(K1645="","",VLOOKUP(K1645,'#状态名词'!$J$1:$K$15,2,FALSE)))</f>
        <v/>
      </c>
      <c r="AA1645" s="20">
        <v>1</v>
      </c>
      <c r="AB1645" s="20">
        <v>43</v>
      </c>
      <c r="AC1645" s="20">
        <v>30</v>
      </c>
      <c r="AD1645" s="20">
        <v>1</v>
      </c>
      <c r="AE1645" s="20">
        <v>4</v>
      </c>
    </row>
    <row r="1646" spans="1:31">
      <c r="A1646" s="20">
        <v>50117</v>
      </c>
      <c r="B1646" s="20" t="s">
        <v>4913</v>
      </c>
      <c r="C1646" s="21" t="s">
        <v>4914</v>
      </c>
      <c r="J1646" s="19"/>
      <c r="K1646" s="20">
        <v>9</v>
      </c>
      <c r="W1646" s="20">
        <f>IF(Q1646&lt;&gt;0,3,IF(K1646="","",VLOOKUP(K1646,'#状态名词'!$J$1:$K$15,2,FALSE)))</f>
        <v>3</v>
      </c>
      <c r="AA1646" s="20">
        <v>1</v>
      </c>
      <c r="AB1646" s="20">
        <v>34</v>
      </c>
      <c r="AC1646" s="20">
        <v>30</v>
      </c>
      <c r="AD1646" s="20">
        <v>1</v>
      </c>
      <c r="AE1646" s="20">
        <v>15</v>
      </c>
    </row>
    <row r="1647" spans="1:31">
      <c r="J1647" s="19"/>
      <c r="W1647" s="20" t="str">
        <f>IF(Q1647&lt;&gt;0,3,IF(K1647="","",VLOOKUP(K1647,'#状态名词'!$J$1:$K$15,2,FALSE)))</f>
        <v/>
      </c>
      <c r="AA1647" s="20">
        <v>1</v>
      </c>
      <c r="AB1647" s="20">
        <v>44</v>
      </c>
      <c r="AC1647" s="20">
        <v>30</v>
      </c>
      <c r="AD1647" s="20">
        <v>1</v>
      </c>
      <c r="AE1647" s="20">
        <v>15</v>
      </c>
    </row>
    <row r="1648" spans="1:31">
      <c r="A1648" s="20">
        <v>50118</v>
      </c>
      <c r="B1648" s="20" t="s">
        <v>4915</v>
      </c>
      <c r="C1648" s="21" t="s">
        <v>4916</v>
      </c>
      <c r="J1648" s="19"/>
      <c r="K1648" s="20">
        <v>9</v>
      </c>
      <c r="W1648" s="20">
        <f>IF(Q1648&lt;&gt;0,3,IF(K1648="","",VLOOKUP(K1648,'#状态名词'!$J$1:$K$15,2,FALSE)))</f>
        <v>3</v>
      </c>
      <c r="AA1648" s="20">
        <v>1</v>
      </c>
      <c r="AB1648" s="20">
        <v>11</v>
      </c>
      <c r="AC1648" s="20">
        <v>30</v>
      </c>
      <c r="AD1648" s="20">
        <v>0</v>
      </c>
      <c r="AE1648" s="20">
        <v>6</v>
      </c>
    </row>
    <row r="1649" spans="1:31">
      <c r="J1649" s="19"/>
      <c r="W1649" s="20" t="str">
        <f>IF(Q1649&lt;&gt;0,3,IF(K1649="","",VLOOKUP(K1649,'#状态名词'!$J$1:$K$15,2,FALSE)))</f>
        <v/>
      </c>
      <c r="AA1649" s="20">
        <v>1</v>
      </c>
      <c r="AB1649" s="20">
        <v>50048</v>
      </c>
      <c r="AC1649" s="20">
        <v>30</v>
      </c>
      <c r="AD1649" s="20">
        <v>1</v>
      </c>
    </row>
    <row r="1650" spans="1:31">
      <c r="A1650" s="20">
        <v>50119</v>
      </c>
      <c r="B1650" s="20" t="s">
        <v>453</v>
      </c>
      <c r="C1650" s="21" t="s">
        <v>4917</v>
      </c>
      <c r="J1650" s="19"/>
      <c r="K1650" s="20">
        <v>9</v>
      </c>
      <c r="W1650" s="20">
        <f>IF(Q1650&lt;&gt;0,3,IF(K1650="","",VLOOKUP(K1650,'#状态名词'!$J$1:$K$15,2,FALSE)))</f>
        <v>3</v>
      </c>
      <c r="AA1650" s="20">
        <v>1</v>
      </c>
      <c r="AB1650" s="20">
        <v>41</v>
      </c>
      <c r="AC1650" s="20">
        <v>30</v>
      </c>
      <c r="AD1650" s="20">
        <v>1</v>
      </c>
      <c r="AE1650" s="20">
        <v>6</v>
      </c>
    </row>
    <row r="1651" spans="1:31">
      <c r="J1651" s="19"/>
      <c r="W1651" s="20" t="str">
        <f>IF(Q1651&lt;&gt;0,3,IF(K1651="","",VLOOKUP(K1651,'#状态名词'!$J$1:$K$15,2,FALSE)))</f>
        <v/>
      </c>
      <c r="AA1651" s="20">
        <v>1</v>
      </c>
      <c r="AB1651" s="20">
        <v>43</v>
      </c>
      <c r="AC1651" s="20">
        <v>30</v>
      </c>
      <c r="AD1651" s="20">
        <v>1</v>
      </c>
      <c r="AE1651" s="20">
        <v>6</v>
      </c>
    </row>
    <row r="1652" spans="1:31">
      <c r="A1652" s="20">
        <v>50120</v>
      </c>
      <c r="B1652" s="20" t="s">
        <v>4918</v>
      </c>
      <c r="C1652" s="21" t="s">
        <v>4919</v>
      </c>
      <c r="F1652" s="20" t="s">
        <v>4920</v>
      </c>
      <c r="J1652" s="19"/>
      <c r="K1652" s="20">
        <v>5</v>
      </c>
      <c r="N1652" s="20">
        <v>1</v>
      </c>
      <c r="O1652" s="20">
        <v>0</v>
      </c>
      <c r="W1652" s="20">
        <f>IF(Q1652&lt;&gt;0,3,IF(K1652="","",VLOOKUP(K1652,'#状态名词'!$J$1:$K$15,2,FALSE)))</f>
        <v>1</v>
      </c>
    </row>
    <row r="1653" spans="1:31">
      <c r="A1653" s="20">
        <v>50121</v>
      </c>
      <c r="B1653" s="20" t="s">
        <v>4921</v>
      </c>
      <c r="C1653" s="21" t="s">
        <v>4922</v>
      </c>
      <c r="G1653" s="20">
        <v>50120</v>
      </c>
      <c r="J1653" s="19"/>
      <c r="W1653" s="20" t="str">
        <f>IF(Q1653&lt;&gt;0,3,IF(K1653="","",VLOOKUP(K1653,'#状态名词'!$J$1:$K$15,2,FALSE)))</f>
        <v/>
      </c>
      <c r="AA1653" s="20">
        <v>1</v>
      </c>
      <c r="AB1653" s="20">
        <v>3</v>
      </c>
      <c r="AC1653" s="20">
        <v>100</v>
      </c>
      <c r="AD1653" s="20">
        <v>0</v>
      </c>
      <c r="AE1653" s="20">
        <v>2</v>
      </c>
    </row>
    <row r="1654" spans="1:31">
      <c r="A1654" s="20">
        <v>50122</v>
      </c>
      <c r="B1654" s="20" t="s">
        <v>4923</v>
      </c>
      <c r="C1654" s="21" t="s">
        <v>4924</v>
      </c>
      <c r="J1654" s="19"/>
      <c r="W1654" s="20" t="str">
        <f>IF(Q1654&lt;&gt;0,3,IF(K1654="","",VLOOKUP(K1654,'#状态名词'!$J$1:$K$15,2,FALSE)))</f>
        <v/>
      </c>
      <c r="AA1654" s="20">
        <v>1</v>
      </c>
      <c r="AB1654" s="20">
        <v>50049</v>
      </c>
      <c r="AC1654" s="20">
        <v>100</v>
      </c>
      <c r="AD1654" s="20">
        <v>1</v>
      </c>
    </row>
    <row r="1655" spans="1:31">
      <c r="A1655" s="20">
        <v>50123</v>
      </c>
      <c r="B1655" s="20" t="s">
        <v>4371</v>
      </c>
      <c r="C1655" s="21" t="s">
        <v>2072</v>
      </c>
      <c r="J1655" s="19"/>
      <c r="W1655" s="20" t="str">
        <f>IF(Q1655&lt;&gt;0,3,IF(K1655="","",VLOOKUP(K1655,'#状态名词'!$J$1:$K$15,2,FALSE)))</f>
        <v/>
      </c>
      <c r="AA1655" s="20">
        <v>1</v>
      </c>
      <c r="AB1655" s="20">
        <v>50050</v>
      </c>
      <c r="AC1655" s="20">
        <v>100</v>
      </c>
      <c r="AD1655" s="20">
        <v>1</v>
      </c>
    </row>
    <row r="1656" spans="1:31">
      <c r="J1656" s="19"/>
      <c r="W1656" s="20" t="str">
        <f>IF(Q1656&lt;&gt;0,3,IF(K1656="","",VLOOKUP(K1656,'#状态名词'!$J$1:$K$15,2,FALSE)))</f>
        <v/>
      </c>
      <c r="AA1656" s="20">
        <v>1</v>
      </c>
      <c r="AB1656" s="20">
        <v>50051</v>
      </c>
      <c r="AC1656" s="20">
        <v>100</v>
      </c>
      <c r="AD1656" s="20">
        <v>1</v>
      </c>
    </row>
    <row r="1657" spans="1:31">
      <c r="J1657" s="19"/>
      <c r="W1657" s="20" t="str">
        <f>IF(Q1657&lt;&gt;0,3,IF(K1657="","",VLOOKUP(K1657,'#状态名词'!$J$1:$K$15,2,FALSE)))</f>
        <v/>
      </c>
      <c r="AA1657" s="20">
        <v>1</v>
      </c>
      <c r="AB1657" s="20">
        <v>50054</v>
      </c>
      <c r="AC1657" s="20">
        <v>100</v>
      </c>
      <c r="AD1657" s="20">
        <v>1</v>
      </c>
    </row>
    <row r="1658" spans="1:31" ht="14.25" customHeight="1">
      <c r="A1658" s="20">
        <v>50124</v>
      </c>
      <c r="B1658" s="20" t="s">
        <v>4925</v>
      </c>
      <c r="C1658" s="21" t="s">
        <v>4926</v>
      </c>
      <c r="F1658" s="20" t="s">
        <v>4927</v>
      </c>
      <c r="J1658" s="19"/>
      <c r="K1658" s="20">
        <v>5</v>
      </c>
      <c r="L1658" s="20">
        <v>50</v>
      </c>
      <c r="N1658" s="20">
        <v>3</v>
      </c>
      <c r="O1658" s="20">
        <v>0</v>
      </c>
      <c r="W1658" s="20">
        <f>IF(Q1658&lt;&gt;0,3,IF(K1658="","",VLOOKUP(K1658,'#状态名词'!$J$1:$K$15,2,FALSE)))</f>
        <v>1</v>
      </c>
    </row>
    <row r="1659" spans="1:31">
      <c r="A1659" s="20">
        <v>50125</v>
      </c>
      <c r="B1659" s="20" t="s">
        <v>4928</v>
      </c>
      <c r="C1659" s="21" t="s">
        <v>4929</v>
      </c>
      <c r="G1659" s="20">
        <v>50124</v>
      </c>
      <c r="J1659" s="19"/>
      <c r="W1659" s="20" t="str">
        <f>IF(Q1659&lt;&gt;0,3,IF(K1659="","",VLOOKUP(K1659,'#状态名词'!$J$1:$K$15,2,FALSE)))</f>
        <v/>
      </c>
      <c r="AA1659" s="20">
        <v>1</v>
      </c>
      <c r="AB1659" s="20">
        <v>50055</v>
      </c>
      <c r="AC1659" s="20">
        <v>100</v>
      </c>
      <c r="AD1659" s="20">
        <v>0</v>
      </c>
    </row>
    <row r="1660" spans="1:31">
      <c r="A1660" s="20">
        <v>50126</v>
      </c>
      <c r="B1660" s="20" t="s">
        <v>4930</v>
      </c>
      <c r="C1660" s="21" t="s">
        <v>4931</v>
      </c>
      <c r="J1660" s="19"/>
      <c r="K1660" s="20">
        <v>9</v>
      </c>
      <c r="W1660" s="20">
        <f>IF(Q1660&lt;&gt;0,3,IF(K1660="","",VLOOKUP(K1660,'#状态名词'!$J$1:$K$15,2,FALSE)))</f>
        <v>3</v>
      </c>
      <c r="AA1660" s="20">
        <v>1</v>
      </c>
      <c r="AB1660" s="20">
        <v>50056</v>
      </c>
      <c r="AC1660" s="20">
        <v>100</v>
      </c>
      <c r="AD1660" s="20">
        <v>1</v>
      </c>
    </row>
    <row r="1661" spans="1:31">
      <c r="A1661" s="20">
        <v>50127</v>
      </c>
      <c r="B1661" s="20" t="s">
        <v>4932</v>
      </c>
      <c r="C1661" s="21" t="s">
        <v>4933</v>
      </c>
      <c r="F1661" s="20" t="s">
        <v>4927</v>
      </c>
      <c r="J1661" s="19"/>
      <c r="K1661" s="20">
        <v>5</v>
      </c>
      <c r="L1661" s="20">
        <v>50</v>
      </c>
      <c r="N1661" s="20">
        <v>4</v>
      </c>
      <c r="O1661" s="20">
        <v>0</v>
      </c>
      <c r="W1661" s="20">
        <f>IF(Q1661&lt;&gt;0,3,IF(K1661="","",VLOOKUP(K1661,'#状态名词'!$J$1:$K$15,2,FALSE)))</f>
        <v>1</v>
      </c>
    </row>
    <row r="1662" spans="1:31">
      <c r="A1662" s="20">
        <v>50128</v>
      </c>
      <c r="B1662" s="20" t="s">
        <v>4934</v>
      </c>
      <c r="C1662" s="21" t="s">
        <v>4935</v>
      </c>
      <c r="J1662" s="19"/>
      <c r="K1662" s="20">
        <v>9</v>
      </c>
      <c r="W1662" s="20">
        <f>IF(Q1662&lt;&gt;0,3,IF(K1662="","",VLOOKUP(K1662,'#状态名词'!$J$1:$K$15,2,FALSE)))</f>
        <v>3</v>
      </c>
      <c r="AA1662" s="20">
        <v>1</v>
      </c>
      <c r="AC1662" s="20" t="s">
        <v>4380</v>
      </c>
      <c r="AD1662" s="20">
        <v>0</v>
      </c>
      <c r="AE1662" s="20">
        <v>1</v>
      </c>
    </row>
    <row r="1663" spans="1:31">
      <c r="A1663" s="20">
        <v>50129</v>
      </c>
      <c r="B1663" s="20" t="s">
        <v>4936</v>
      </c>
      <c r="J1663" s="19"/>
      <c r="W1663" s="20" t="str">
        <f>IF(Q1663&lt;&gt;0,3,IF(K1663="","",VLOOKUP(K1663,'#状态名词'!$J$1:$K$15,2,FALSE)))</f>
        <v/>
      </c>
    </row>
    <row r="1664" spans="1:31">
      <c r="A1664" s="20">
        <v>50130</v>
      </c>
      <c r="B1664" s="20" t="s">
        <v>4937</v>
      </c>
      <c r="C1664" s="21" t="s">
        <v>4938</v>
      </c>
      <c r="J1664" s="19"/>
      <c r="W1664" s="20" t="str">
        <f>IF(Q1664&lt;&gt;0,3,IF(K1664="","",VLOOKUP(K1664,'#状态名词'!$J$1:$K$15,2,FALSE)))</f>
        <v/>
      </c>
    </row>
    <row r="1665" spans="1:31">
      <c r="A1665" s="20">
        <v>50131</v>
      </c>
      <c r="B1665" s="20" t="s">
        <v>4939</v>
      </c>
      <c r="C1665" s="21" t="s">
        <v>2073</v>
      </c>
      <c r="J1665" s="19"/>
      <c r="W1665" s="20" t="str">
        <f>IF(Q1665&lt;&gt;0,3,IF(K1665="","",VLOOKUP(K1665,'#状态名词'!$J$1:$K$15,2,FALSE)))</f>
        <v/>
      </c>
    </row>
    <row r="1666" spans="1:31">
      <c r="A1666" s="20">
        <v>50132</v>
      </c>
      <c r="B1666" s="20" t="s">
        <v>4940</v>
      </c>
      <c r="C1666" s="21" t="s">
        <v>4941</v>
      </c>
      <c r="F1666" s="20" t="s">
        <v>4942</v>
      </c>
      <c r="J1666" s="19"/>
      <c r="K1666" s="20">
        <v>5</v>
      </c>
      <c r="L1666" s="20">
        <v>50</v>
      </c>
      <c r="O1666" s="20">
        <v>0</v>
      </c>
      <c r="W1666" s="20">
        <f>IF(Q1666&lt;&gt;0,3,IF(K1666="","",VLOOKUP(K1666,'#状态名词'!$J$1:$K$15,2,FALSE)))</f>
        <v>1</v>
      </c>
    </row>
    <row r="1667" spans="1:31">
      <c r="A1667" s="20">
        <v>50133</v>
      </c>
      <c r="B1667" s="20" t="s">
        <v>4943</v>
      </c>
      <c r="C1667" s="21" t="s">
        <v>4944</v>
      </c>
      <c r="F1667" s="20" t="s">
        <v>4945</v>
      </c>
      <c r="J1667" s="19"/>
      <c r="K1667" s="20">
        <v>5</v>
      </c>
      <c r="L1667" s="20">
        <v>50</v>
      </c>
      <c r="O1667" s="20">
        <v>0</v>
      </c>
      <c r="W1667" s="20">
        <f>IF(Q1667&lt;&gt;0,3,IF(K1667="","",VLOOKUP(K1667,'#状态名词'!$J$1:$K$15,2,FALSE)))</f>
        <v>1</v>
      </c>
    </row>
    <row r="1668" spans="1:31">
      <c r="A1668" s="20">
        <v>50134</v>
      </c>
      <c r="B1668" s="20" t="s">
        <v>4946</v>
      </c>
      <c r="C1668" s="21" t="s">
        <v>4947</v>
      </c>
      <c r="J1668" s="19"/>
      <c r="K1668" s="20">
        <v>9</v>
      </c>
      <c r="W1668" s="20">
        <f>IF(Q1668&lt;&gt;0,3,IF(K1668="","",VLOOKUP(K1668,'#状态名词'!$J$1:$K$15,2,FALSE)))</f>
        <v>3</v>
      </c>
      <c r="AA1668" s="20">
        <v>1</v>
      </c>
      <c r="AB1668" s="20">
        <v>50057</v>
      </c>
      <c r="AC1668" s="20">
        <v>100</v>
      </c>
      <c r="AD1668" s="20">
        <v>1</v>
      </c>
    </row>
    <row r="1669" spans="1:31">
      <c r="A1669" s="20">
        <v>50135</v>
      </c>
      <c r="B1669" s="20" t="s">
        <v>4948</v>
      </c>
      <c r="C1669" s="21" t="s">
        <v>4949</v>
      </c>
      <c r="J1669" s="19"/>
      <c r="K1669" s="20">
        <v>9</v>
      </c>
      <c r="W1669" s="20">
        <f>IF(Q1669&lt;&gt;0,3,IF(K1669="","",VLOOKUP(K1669,'#状态名词'!$J$1:$K$15,2,FALSE)))</f>
        <v>3</v>
      </c>
      <c r="AA1669" s="20">
        <v>1</v>
      </c>
      <c r="AB1669" s="20">
        <v>50058</v>
      </c>
      <c r="AC1669" s="20">
        <v>100</v>
      </c>
      <c r="AD1669" s="20">
        <v>1</v>
      </c>
    </row>
    <row r="1670" spans="1:31">
      <c r="A1670" s="20">
        <v>50136</v>
      </c>
      <c r="B1670" s="20" t="s">
        <v>4950</v>
      </c>
      <c r="C1670" s="21" t="s">
        <v>4951</v>
      </c>
      <c r="F1670" s="20" t="s">
        <v>4952</v>
      </c>
      <c r="J1670" s="19"/>
      <c r="K1670" s="20">
        <v>5</v>
      </c>
      <c r="L1670" s="20">
        <v>100</v>
      </c>
      <c r="O1670" s="20">
        <v>0</v>
      </c>
      <c r="U1670" s="20">
        <v>200</v>
      </c>
      <c r="W1670" s="20">
        <f>IF(Q1670&lt;&gt;0,3,IF(K1670="","",VLOOKUP(K1670,'#状态名词'!$J$1:$K$15,2,FALSE)))</f>
        <v>1</v>
      </c>
    </row>
    <row r="1671" spans="1:31">
      <c r="A1671" s="20">
        <v>50137</v>
      </c>
      <c r="B1671" s="20" t="s">
        <v>4953</v>
      </c>
      <c r="C1671" s="21" t="s">
        <v>4954</v>
      </c>
      <c r="J1671" s="19"/>
      <c r="K1671" s="20">
        <v>9</v>
      </c>
      <c r="W1671" s="20">
        <f>IF(Q1671&lt;&gt;0,3,IF(K1671="","",VLOOKUP(K1671,'#状态名词'!$J$1:$K$15,2,FALSE)))</f>
        <v>3</v>
      </c>
      <c r="AA1671" s="20">
        <v>1</v>
      </c>
      <c r="AB1671" s="20">
        <v>50059</v>
      </c>
      <c r="AC1671" s="20">
        <v>100</v>
      </c>
      <c r="AD1671" s="20">
        <v>1</v>
      </c>
    </row>
    <row r="1672" spans="1:31">
      <c r="A1672" s="20">
        <v>50138</v>
      </c>
      <c r="B1672" s="20" t="s">
        <v>4955</v>
      </c>
      <c r="C1672" s="21" t="s">
        <v>4956</v>
      </c>
      <c r="J1672" s="19"/>
      <c r="W1672" s="20" t="str">
        <f>IF(Q1672&lt;&gt;0,3,IF(K1672="","",VLOOKUP(K1672,'#状态名词'!$J$1:$K$15,2,FALSE)))</f>
        <v/>
      </c>
      <c r="AA1672" s="20">
        <v>1</v>
      </c>
      <c r="AB1672" s="20">
        <v>50060</v>
      </c>
      <c r="AC1672" s="20">
        <v>100</v>
      </c>
      <c r="AD1672" s="20">
        <v>1</v>
      </c>
    </row>
    <row r="1673" spans="1:31" ht="27">
      <c r="A1673" s="20">
        <v>50139</v>
      </c>
      <c r="B1673" s="20" t="s">
        <v>4957</v>
      </c>
      <c r="C1673" s="21" t="s">
        <v>4958</v>
      </c>
      <c r="F1673" s="20" t="s">
        <v>7044</v>
      </c>
      <c r="J1673" s="19"/>
      <c r="K1673" s="20">
        <v>5</v>
      </c>
      <c r="L1673" s="20">
        <v>50</v>
      </c>
      <c r="O1673" s="20">
        <v>1</v>
      </c>
      <c r="W1673" s="20">
        <f>IF(Q1673&lt;&gt;0,3,IF(K1673="","",VLOOKUP(K1673,'#状态名词'!$J$1:$K$15,2,FALSE)))</f>
        <v>1</v>
      </c>
    </row>
    <row r="1674" spans="1:31">
      <c r="A1674" s="20">
        <v>50140</v>
      </c>
      <c r="B1674" s="20" t="s">
        <v>4959</v>
      </c>
      <c r="C1674" s="21" t="s">
        <v>4960</v>
      </c>
      <c r="J1674" s="19"/>
      <c r="K1674" s="20">
        <v>6</v>
      </c>
      <c r="W1674" s="20">
        <f>IF(Q1674&lt;&gt;0,3,IF(K1674="","",VLOOKUP(K1674,'#状态名词'!$J$1:$K$15,2,FALSE)))</f>
        <v>3</v>
      </c>
      <c r="AA1674" s="20">
        <v>1</v>
      </c>
      <c r="AB1674" s="20">
        <v>50061</v>
      </c>
      <c r="AC1674" s="20">
        <v>100</v>
      </c>
      <c r="AD1674" s="20">
        <v>1</v>
      </c>
    </row>
    <row r="1675" spans="1:31" ht="14.25" customHeight="1">
      <c r="A1675" s="20">
        <v>50141</v>
      </c>
      <c r="B1675" s="20" t="s">
        <v>4392</v>
      </c>
      <c r="C1675" s="21" t="s">
        <v>2074</v>
      </c>
      <c r="J1675" s="19"/>
      <c r="K1675" s="20">
        <v>9</v>
      </c>
      <c r="W1675" s="20">
        <f>IF(Q1675&lt;&gt;0,3,IF(K1675="","",VLOOKUP(K1675,'#状态名词'!$J$1:$K$15,2,FALSE)))</f>
        <v>3</v>
      </c>
      <c r="AA1675" s="20">
        <v>1</v>
      </c>
      <c r="AB1675" s="20">
        <v>50062</v>
      </c>
      <c r="AC1675" s="20">
        <v>100</v>
      </c>
      <c r="AD1675" s="20">
        <v>1</v>
      </c>
    </row>
    <row r="1676" spans="1:31" ht="14.25" customHeight="1">
      <c r="J1676" s="19"/>
      <c r="W1676" s="20" t="str">
        <f>IF(Q1676&lt;&gt;0,3,IF(K1676="","",VLOOKUP(K1676,'#状态名词'!$J$1:$K$15,2,FALSE)))</f>
        <v/>
      </c>
      <c r="AA1676" s="20">
        <v>1</v>
      </c>
      <c r="AB1676" s="20">
        <v>50063</v>
      </c>
      <c r="AC1676" s="20">
        <v>100</v>
      </c>
      <c r="AD1676" s="20">
        <v>1</v>
      </c>
    </row>
    <row r="1677" spans="1:31">
      <c r="J1677" s="19"/>
      <c r="W1677" s="20" t="str">
        <f>IF(Q1677&lt;&gt;0,3,IF(K1677="","",VLOOKUP(K1677,'#状态名词'!$J$1:$K$15,2,FALSE)))</f>
        <v/>
      </c>
      <c r="AA1677" s="20">
        <v>1</v>
      </c>
      <c r="AB1677" s="20">
        <v>50057</v>
      </c>
      <c r="AC1677" s="20">
        <v>100</v>
      </c>
      <c r="AD1677" s="20">
        <v>1</v>
      </c>
    </row>
    <row r="1678" spans="1:31">
      <c r="A1678" s="20">
        <v>50142</v>
      </c>
      <c r="B1678" s="20" t="s">
        <v>4961</v>
      </c>
      <c r="C1678" s="21" t="s">
        <v>4962</v>
      </c>
      <c r="F1678" s="20" t="s">
        <v>4927</v>
      </c>
      <c r="J1678" s="19"/>
      <c r="K1678" s="20">
        <v>5</v>
      </c>
      <c r="L1678" s="20">
        <v>50</v>
      </c>
      <c r="O1678" s="20">
        <v>0</v>
      </c>
      <c r="W1678" s="20">
        <f>IF(Q1678&lt;&gt;0,3,IF(K1678="","",VLOOKUP(K1678,'#状态名词'!$J$1:$K$15,2,FALSE)))</f>
        <v>1</v>
      </c>
    </row>
    <row r="1679" spans="1:31">
      <c r="A1679" s="20">
        <v>50143</v>
      </c>
      <c r="B1679" s="20" t="s">
        <v>446</v>
      </c>
      <c r="C1679" s="21" t="s">
        <v>4963</v>
      </c>
      <c r="J1679" s="19"/>
      <c r="K1679" s="20">
        <v>9</v>
      </c>
      <c r="W1679" s="20">
        <f>IF(Q1679&lt;&gt;0,3,IF(K1679="","",VLOOKUP(K1679,'#状态名词'!$J$1:$K$15,2,FALSE)))</f>
        <v>3</v>
      </c>
      <c r="AA1679" s="20">
        <v>1</v>
      </c>
      <c r="AB1679" s="20">
        <v>50</v>
      </c>
      <c r="AC1679" s="20" t="s">
        <v>4380</v>
      </c>
      <c r="AD1679" s="20">
        <v>1</v>
      </c>
      <c r="AE1679" s="20">
        <v>1</v>
      </c>
    </row>
    <row r="1680" spans="1:31">
      <c r="A1680" s="20">
        <v>50144</v>
      </c>
      <c r="B1680" s="20" t="s">
        <v>4964</v>
      </c>
      <c r="C1680" s="21" t="s">
        <v>4965</v>
      </c>
      <c r="F1680" s="20" t="s">
        <v>4966</v>
      </c>
      <c r="J1680" s="19"/>
      <c r="K1680" s="20">
        <v>5</v>
      </c>
      <c r="L1680" s="20">
        <v>50</v>
      </c>
      <c r="O1680" s="20">
        <v>1</v>
      </c>
      <c r="W1680" s="20">
        <f>IF(Q1680&lt;&gt;0,3,IF(K1680="","",VLOOKUP(K1680,'#状态名词'!$J$1:$K$15,2,FALSE)))</f>
        <v>1</v>
      </c>
    </row>
    <row r="1681" spans="1:31">
      <c r="A1681" s="20">
        <v>50145</v>
      </c>
      <c r="B1681" s="20" t="s">
        <v>4967</v>
      </c>
      <c r="C1681" s="21" t="s">
        <v>4968</v>
      </c>
      <c r="G1681" s="20">
        <v>50144</v>
      </c>
      <c r="J1681" s="19"/>
      <c r="W1681" s="20" t="str">
        <f>IF(Q1681&lt;&gt;0,3,IF(K1681="","",VLOOKUP(K1681,'#状态名词'!$J$1:$K$15,2,FALSE)))</f>
        <v/>
      </c>
      <c r="AA1681" s="20">
        <v>1</v>
      </c>
      <c r="AB1681" s="20">
        <v>3</v>
      </c>
      <c r="AC1681" s="20">
        <v>100</v>
      </c>
      <c r="AD1681" s="20">
        <v>0</v>
      </c>
      <c r="AE1681" s="20">
        <v>1</v>
      </c>
    </row>
    <row r="1682" spans="1:31">
      <c r="A1682" s="20">
        <v>50146</v>
      </c>
      <c r="B1682" s="20" t="s">
        <v>4969</v>
      </c>
      <c r="C1682" s="21" t="s">
        <v>4970</v>
      </c>
      <c r="J1682" s="19"/>
      <c r="W1682" s="20" t="str">
        <f>IF(Q1682&lt;&gt;0,3,IF(K1682="","",VLOOKUP(K1682,'#状态名词'!$J$1:$K$15,2,FALSE)))</f>
        <v/>
      </c>
      <c r="AA1682" s="20">
        <v>1</v>
      </c>
      <c r="AB1682" s="20">
        <v>50064</v>
      </c>
      <c r="AC1682" s="20">
        <v>100</v>
      </c>
      <c r="AD1682" s="20">
        <v>1</v>
      </c>
    </row>
    <row r="1683" spans="1:31">
      <c r="A1683" s="20">
        <v>50147</v>
      </c>
      <c r="B1683" s="20" t="s">
        <v>4971</v>
      </c>
      <c r="C1683" s="21" t="s">
        <v>4972</v>
      </c>
      <c r="J1683" s="19"/>
      <c r="K1683" s="20">
        <v>6</v>
      </c>
      <c r="W1683" s="20">
        <f>IF(Q1683&lt;&gt;0,3,IF(K1683="","",VLOOKUP(K1683,'#状态名词'!$J$1:$K$15,2,FALSE)))</f>
        <v>3</v>
      </c>
      <c r="AA1683" s="20">
        <v>1</v>
      </c>
      <c r="AB1683" s="20">
        <v>12</v>
      </c>
      <c r="AC1683" s="20">
        <v>100</v>
      </c>
      <c r="AD1683" s="20">
        <v>0</v>
      </c>
    </row>
    <row r="1684" spans="1:31" ht="27">
      <c r="A1684" s="20">
        <v>50148</v>
      </c>
      <c r="B1684" s="20" t="s">
        <v>4973</v>
      </c>
      <c r="C1684" s="21" t="s">
        <v>4974</v>
      </c>
      <c r="F1684" s="20" t="s">
        <v>4975</v>
      </c>
      <c r="H1684" s="20">
        <v>20</v>
      </c>
      <c r="J1684" s="19" t="s">
        <v>1468</v>
      </c>
      <c r="K1684" s="20">
        <v>5</v>
      </c>
      <c r="L1684" s="20">
        <v>30</v>
      </c>
      <c r="O1684" s="20">
        <v>1</v>
      </c>
      <c r="W1684" s="20">
        <f>IF(Q1684&lt;&gt;0,3,IF(K1684="","",VLOOKUP(K1684,'#状态名词'!$J$1:$K$15,2,FALSE)))</f>
        <v>1</v>
      </c>
      <c r="AA1684" s="20">
        <v>1</v>
      </c>
      <c r="AB1684" s="20">
        <v>50065</v>
      </c>
      <c r="AC1684" s="20">
        <v>100</v>
      </c>
      <c r="AD1684" s="20">
        <v>1</v>
      </c>
    </row>
    <row r="1685" spans="1:31">
      <c r="A1685" s="20">
        <v>50149</v>
      </c>
      <c r="B1685" s="20" t="s">
        <v>4976</v>
      </c>
      <c r="C1685" s="21" t="s">
        <v>2075</v>
      </c>
      <c r="J1685" s="19"/>
      <c r="Q1685" s="20">
        <v>3</v>
      </c>
      <c r="R1685" s="20">
        <v>1</v>
      </c>
      <c r="S1685" s="20">
        <v>30</v>
      </c>
      <c r="W1685" s="20">
        <f>IF(Q1685&lt;&gt;0,3,IF(K1685="","",VLOOKUP(K1685,'#状态名词'!$J$1:$K$15,2,FALSE)))</f>
        <v>3</v>
      </c>
      <c r="AA1685" s="20">
        <v>1</v>
      </c>
      <c r="AB1685" s="20">
        <v>50066</v>
      </c>
      <c r="AC1685" s="20">
        <v>100</v>
      </c>
      <c r="AD1685" s="20">
        <v>1</v>
      </c>
    </row>
    <row r="1686" spans="1:31">
      <c r="J1686" s="19"/>
      <c r="W1686" s="20" t="str">
        <f>IF(Q1686&lt;&gt;0,3,IF(K1686="","",VLOOKUP(K1686,'#状态名词'!$J$1:$K$15,2,FALSE)))</f>
        <v/>
      </c>
      <c r="AA1686" s="20">
        <v>1</v>
      </c>
      <c r="AB1686" s="20">
        <v>50067</v>
      </c>
      <c r="AC1686" s="20">
        <v>100</v>
      </c>
      <c r="AD1686" s="20">
        <v>1</v>
      </c>
    </row>
    <row r="1687" spans="1:31">
      <c r="A1687" s="20">
        <v>50150</v>
      </c>
      <c r="B1687" s="20" t="s">
        <v>4977</v>
      </c>
      <c r="C1687" s="21" t="s">
        <v>4978</v>
      </c>
      <c r="J1687" s="19"/>
      <c r="W1687" s="20" t="str">
        <f>IF(Q1687&lt;&gt;0,3,IF(K1687="","",VLOOKUP(K1687,'#状态名词'!$J$1:$K$15,2,FALSE)))</f>
        <v/>
      </c>
      <c r="AA1687" s="20">
        <v>1</v>
      </c>
      <c r="AB1687" s="20">
        <v>50068</v>
      </c>
      <c r="AC1687" s="20">
        <v>100</v>
      </c>
      <c r="AD1687" s="20">
        <v>0</v>
      </c>
    </row>
    <row r="1688" spans="1:31">
      <c r="A1688" s="20">
        <v>50151</v>
      </c>
      <c r="B1688" s="20" t="s">
        <v>4979</v>
      </c>
      <c r="C1688" s="21" t="s">
        <v>4980</v>
      </c>
      <c r="J1688" s="19"/>
      <c r="K1688" s="20">
        <v>13</v>
      </c>
      <c r="W1688" s="20">
        <f>IF(Q1688&lt;&gt;0,3,IF(K1688="","",VLOOKUP(K1688,'#状态名词'!$J$1:$K$15,2,FALSE)))</f>
        <v>0</v>
      </c>
      <c r="AA1688" s="20">
        <v>1</v>
      </c>
      <c r="AB1688" s="20">
        <v>50058</v>
      </c>
      <c r="AC1688" s="20">
        <v>100</v>
      </c>
      <c r="AD1688" s="20">
        <v>1</v>
      </c>
    </row>
    <row r="1689" spans="1:31">
      <c r="J1689" s="19"/>
      <c r="W1689" s="20" t="str">
        <f>IF(Q1689&lt;&gt;0,3,IF(K1689="","",VLOOKUP(K1689,'#状态名词'!$J$1:$K$15,2,FALSE)))</f>
        <v/>
      </c>
      <c r="AA1689" s="20">
        <v>1</v>
      </c>
      <c r="AB1689" s="20">
        <v>50069</v>
      </c>
      <c r="AC1689" s="20">
        <v>100</v>
      </c>
      <c r="AD1689" s="20">
        <v>1</v>
      </c>
    </row>
    <row r="1690" spans="1:31">
      <c r="A1690" s="20">
        <v>50152</v>
      </c>
      <c r="B1690" s="20" t="s">
        <v>4981</v>
      </c>
      <c r="C1690" s="21" t="s">
        <v>4982</v>
      </c>
      <c r="J1690" s="19"/>
      <c r="K1690" s="20">
        <v>9</v>
      </c>
      <c r="W1690" s="20">
        <f>IF(Q1690&lt;&gt;0,3,IF(K1690="","",VLOOKUP(K1690,'#状态名词'!$J$1:$K$15,2,FALSE)))</f>
        <v>3</v>
      </c>
      <c r="AA1690" s="20">
        <v>1</v>
      </c>
      <c r="AB1690" s="20">
        <v>50070</v>
      </c>
      <c r="AC1690" s="20">
        <v>100</v>
      </c>
      <c r="AD1690" s="20">
        <v>1</v>
      </c>
    </row>
    <row r="1691" spans="1:31">
      <c r="A1691" s="20">
        <v>50153</v>
      </c>
      <c r="B1691" s="20" t="s">
        <v>4983</v>
      </c>
      <c r="C1691" s="21" t="s">
        <v>4984</v>
      </c>
      <c r="F1691" s="20" t="s">
        <v>7113</v>
      </c>
      <c r="J1691" s="19"/>
      <c r="K1691" s="20">
        <v>5</v>
      </c>
      <c r="L1691" s="20">
        <v>50</v>
      </c>
      <c r="O1691" s="20">
        <v>0</v>
      </c>
      <c r="T1691" s="20">
        <v>10</v>
      </c>
      <c r="W1691" s="20">
        <f>IF(Q1691&lt;&gt;0,3,IF(K1691="","",VLOOKUP(K1691,'#状态名词'!$J$1:$K$15,2,FALSE)))</f>
        <v>1</v>
      </c>
    </row>
    <row r="1692" spans="1:31">
      <c r="A1692" s="20">
        <v>50154</v>
      </c>
      <c r="B1692" s="20" t="s">
        <v>4985</v>
      </c>
      <c r="C1692" s="21" t="s">
        <v>4986</v>
      </c>
      <c r="J1692" s="19"/>
      <c r="K1692" s="20">
        <v>9</v>
      </c>
      <c r="W1692" s="20">
        <f>IF(Q1692&lt;&gt;0,3,IF(K1692="","",VLOOKUP(K1692,'#状态名词'!$J$1:$K$15,2,FALSE)))</f>
        <v>3</v>
      </c>
      <c r="AA1692" s="20">
        <v>1</v>
      </c>
      <c r="AB1692" s="20">
        <v>50056</v>
      </c>
      <c r="AC1692" s="20">
        <v>100</v>
      </c>
      <c r="AD1692" s="20">
        <v>1</v>
      </c>
    </row>
    <row r="1693" spans="1:31">
      <c r="A1693" s="20">
        <v>50155</v>
      </c>
      <c r="B1693" s="20" t="s">
        <v>4987</v>
      </c>
      <c r="C1693" s="20" t="s">
        <v>4988</v>
      </c>
      <c r="J1693" s="19"/>
      <c r="K1693" s="20">
        <v>9</v>
      </c>
      <c r="W1693" s="20">
        <f>IF(Q1693&lt;&gt;0,3,IF(K1693="","",VLOOKUP(K1693,'#状态名词'!$J$1:$K$15,2,FALSE)))</f>
        <v>3</v>
      </c>
      <c r="AA1693" s="20">
        <v>1</v>
      </c>
      <c r="AB1693" s="20">
        <v>50072</v>
      </c>
      <c r="AC1693" s="20">
        <v>100</v>
      </c>
      <c r="AD1693" s="20">
        <v>1</v>
      </c>
    </row>
    <row r="1694" spans="1:31">
      <c r="A1694" s="20">
        <v>50156</v>
      </c>
      <c r="B1694" s="20" t="s">
        <v>4989</v>
      </c>
      <c r="C1694" s="20" t="s">
        <v>4990</v>
      </c>
      <c r="F1694" s="20" t="s">
        <v>4991</v>
      </c>
      <c r="J1694" s="19"/>
      <c r="K1694" s="20">
        <v>5</v>
      </c>
      <c r="L1694" s="20">
        <v>50</v>
      </c>
      <c r="W1694" s="20">
        <f>IF(Q1694&lt;&gt;0,3,IF(K1694="","",VLOOKUP(K1694,'#状态名词'!$J$1:$K$15,2,FALSE)))</f>
        <v>1</v>
      </c>
      <c r="AA1694" s="20">
        <v>1</v>
      </c>
      <c r="AB1694" s="20">
        <v>22</v>
      </c>
      <c r="AC1694" s="20">
        <v>100</v>
      </c>
      <c r="AD1694" s="20">
        <v>0</v>
      </c>
      <c r="AE1694" s="20">
        <v>1</v>
      </c>
    </row>
    <row r="1695" spans="1:31">
      <c r="A1695" s="20">
        <v>50157</v>
      </c>
      <c r="B1695" s="20" t="s">
        <v>4992</v>
      </c>
      <c r="C1695" s="21" t="s">
        <v>2076</v>
      </c>
      <c r="J1695" s="19"/>
      <c r="K1695" s="20">
        <v>9</v>
      </c>
      <c r="W1695" s="20">
        <f>IF(Q1695&lt;&gt;0,3,IF(K1695="","",VLOOKUP(K1695,'#状态名词'!$J$1:$K$15,2,FALSE)))</f>
        <v>3</v>
      </c>
      <c r="AA1695" s="20">
        <v>1</v>
      </c>
      <c r="AB1695" s="20">
        <v>50063</v>
      </c>
      <c r="AC1695" s="20">
        <v>100</v>
      </c>
      <c r="AD1695" s="20">
        <v>1</v>
      </c>
    </row>
    <row r="1696" spans="1:31">
      <c r="J1696" s="19"/>
      <c r="W1696" s="20" t="str">
        <f>IF(Q1696&lt;&gt;0,3,IF(K1696="","",VLOOKUP(K1696,'#状态名词'!$J$1:$K$15,2,FALSE)))</f>
        <v/>
      </c>
      <c r="AA1696" s="20">
        <v>1</v>
      </c>
      <c r="AB1696" s="20">
        <v>50063</v>
      </c>
      <c r="AC1696" s="20">
        <v>100</v>
      </c>
      <c r="AD1696" s="20">
        <v>0</v>
      </c>
    </row>
    <row r="1697" spans="1:31">
      <c r="A1697" s="20">
        <v>50158</v>
      </c>
      <c r="B1697" s="20" t="s">
        <v>4993</v>
      </c>
      <c r="C1697" s="21" t="s">
        <v>4994</v>
      </c>
      <c r="J1697" s="19"/>
      <c r="K1697" s="20">
        <v>6</v>
      </c>
      <c r="W1697" s="20">
        <f>IF(Q1697&lt;&gt;0,3,IF(K1697="","",VLOOKUP(K1697,'#状态名词'!$J$1:$K$15,2,FALSE)))</f>
        <v>3</v>
      </c>
      <c r="AA1697" s="20">
        <v>1</v>
      </c>
      <c r="AB1697" s="20">
        <v>50073</v>
      </c>
      <c r="AC1697" s="20">
        <v>100</v>
      </c>
      <c r="AD1697" s="20">
        <v>1</v>
      </c>
    </row>
    <row r="1698" spans="1:31">
      <c r="A1698" s="20">
        <v>50159</v>
      </c>
      <c r="B1698" s="20" t="s">
        <v>4995</v>
      </c>
      <c r="C1698" s="21" t="s">
        <v>4996</v>
      </c>
      <c r="J1698" s="19"/>
      <c r="K1698" s="20">
        <v>6</v>
      </c>
      <c r="W1698" s="20">
        <f>IF(Q1698&lt;&gt;0,3,IF(K1698="","",VLOOKUP(K1698,'#状态名词'!$J$1:$K$15,2,FALSE)))</f>
        <v>3</v>
      </c>
      <c r="AA1698" s="20">
        <v>1</v>
      </c>
      <c r="AB1698" s="20">
        <v>43</v>
      </c>
      <c r="AC1698" s="20">
        <v>100</v>
      </c>
      <c r="AD1698" s="20">
        <v>1</v>
      </c>
      <c r="AE1698" s="20">
        <v>1</v>
      </c>
    </row>
    <row r="1699" spans="1:31">
      <c r="A1699" s="20">
        <v>50160</v>
      </c>
      <c r="B1699" s="20" t="s">
        <v>4997</v>
      </c>
      <c r="C1699" s="21" t="s">
        <v>4998</v>
      </c>
      <c r="J1699" s="19"/>
      <c r="K1699" s="20">
        <v>9</v>
      </c>
      <c r="W1699" s="20">
        <f>IF(Q1699&lt;&gt;0,3,IF(K1699="","",VLOOKUP(K1699,'#状态名词'!$J$1:$K$15,2,FALSE)))</f>
        <v>3</v>
      </c>
      <c r="AA1699" s="20">
        <v>1</v>
      </c>
      <c r="AB1699" s="20">
        <v>50042</v>
      </c>
      <c r="AC1699" s="20">
        <v>1</v>
      </c>
      <c r="AD1699" s="20">
        <v>1</v>
      </c>
    </row>
    <row r="1700" spans="1:31">
      <c r="A1700" s="20">
        <v>50161</v>
      </c>
      <c r="B1700" s="20" t="s">
        <v>4999</v>
      </c>
      <c r="C1700" s="21" t="s">
        <v>5000</v>
      </c>
      <c r="K1700" s="20">
        <v>9</v>
      </c>
      <c r="W1700" s="20">
        <f>IF(Q1700&lt;&gt;0,3,IF(K1700="","",VLOOKUP(K1700,'#状态名词'!$J$1:$K$15,2,FALSE)))</f>
        <v>3</v>
      </c>
      <c r="AA1700" s="20">
        <v>1</v>
      </c>
      <c r="AB1700" s="20">
        <v>50074</v>
      </c>
      <c r="AC1700" s="20">
        <v>100</v>
      </c>
      <c r="AD1700" s="20">
        <v>1</v>
      </c>
    </row>
    <row r="1701" spans="1:31" ht="27">
      <c r="A1701" s="20">
        <v>50162</v>
      </c>
      <c r="B1701" s="20" t="s">
        <v>5001</v>
      </c>
      <c r="C1701" s="21" t="s">
        <v>6640</v>
      </c>
      <c r="J1701" s="19"/>
      <c r="W1701" s="20" t="str">
        <f>IF(Q1701&lt;&gt;0,3,IF(K1701="","",VLOOKUP(K1701,'#状态名词'!$J$1:$K$15,2,FALSE)))</f>
        <v/>
      </c>
      <c r="AA1701" s="20">
        <v>1</v>
      </c>
      <c r="AB1701" s="20">
        <v>50</v>
      </c>
      <c r="AC1701" s="20">
        <v>100</v>
      </c>
      <c r="AD1701" s="20">
        <v>1</v>
      </c>
      <c r="AE1701" s="20">
        <v>1</v>
      </c>
    </row>
    <row r="1702" spans="1:31">
      <c r="J1702" s="19"/>
      <c r="W1702" s="20" t="str">
        <f>IF(Q1702&lt;&gt;0,3,IF(K1702="","",VLOOKUP(K1702,'#状态名词'!$J$1:$K$15,2,FALSE)))</f>
        <v/>
      </c>
      <c r="AA1702" s="20">
        <v>1</v>
      </c>
      <c r="AB1702" s="20">
        <v>50075</v>
      </c>
      <c r="AC1702" s="20">
        <v>100</v>
      </c>
      <c r="AD1702" s="20">
        <v>1</v>
      </c>
    </row>
    <row r="1703" spans="1:31">
      <c r="A1703" s="20">
        <v>50163</v>
      </c>
      <c r="B1703" s="20" t="s">
        <v>5002</v>
      </c>
      <c r="C1703" s="21" t="s">
        <v>5003</v>
      </c>
      <c r="K1703" s="20">
        <v>9</v>
      </c>
      <c r="W1703" s="20">
        <f>IF(Q1703&lt;&gt;0,3,IF(K1703="","",VLOOKUP(K1703,'#状态名词'!$J$1:$K$15,2,FALSE)))</f>
        <v>3</v>
      </c>
      <c r="AA1703" s="20">
        <v>1</v>
      </c>
      <c r="AB1703" s="20">
        <v>50076</v>
      </c>
      <c r="AC1703" s="20">
        <v>100</v>
      </c>
      <c r="AD1703" s="20">
        <v>1</v>
      </c>
    </row>
    <row r="1704" spans="1:31">
      <c r="W1704" s="20" t="str">
        <f>IF(Q1704&lt;&gt;0,3,IF(K1704="","",VLOOKUP(K1704,'#状态名词'!$J$1:$K$15,2,FALSE)))</f>
        <v/>
      </c>
      <c r="AA1704" s="20">
        <v>1</v>
      </c>
      <c r="AB1704" s="20">
        <v>50077</v>
      </c>
      <c r="AC1704" s="20">
        <v>100</v>
      </c>
      <c r="AD1704" s="20">
        <v>0</v>
      </c>
    </row>
    <row r="1705" spans="1:31">
      <c r="A1705" s="20">
        <v>50164</v>
      </c>
      <c r="B1705" s="20" t="s">
        <v>4827</v>
      </c>
      <c r="C1705" s="21" t="s">
        <v>5004</v>
      </c>
      <c r="J1705" s="19"/>
      <c r="K1705" s="20">
        <v>9</v>
      </c>
      <c r="W1705" s="20">
        <f>IF(Q1705&lt;&gt;0,3,IF(K1705="","",VLOOKUP(K1705,'#状态名词'!$J$1:$K$15,2,FALSE)))</f>
        <v>3</v>
      </c>
      <c r="AA1705" s="20">
        <v>1</v>
      </c>
      <c r="AB1705" s="20">
        <v>21</v>
      </c>
      <c r="AC1705" s="20">
        <v>35</v>
      </c>
      <c r="AD1705" s="20">
        <v>0</v>
      </c>
      <c r="AE1705" s="20">
        <v>1</v>
      </c>
    </row>
    <row r="1706" spans="1:31">
      <c r="J1706" s="19"/>
      <c r="W1706" s="20" t="str">
        <f>IF(Q1706&lt;&gt;0,3,IF(K1706="","",VLOOKUP(K1706,'#状态名词'!$J$1:$K$15,2,FALSE)))</f>
        <v/>
      </c>
      <c r="AA1706" s="20">
        <v>1</v>
      </c>
      <c r="AB1706" s="20">
        <v>50078</v>
      </c>
      <c r="AC1706" s="20">
        <v>100</v>
      </c>
      <c r="AD1706" s="20">
        <v>1</v>
      </c>
    </row>
    <row r="1707" spans="1:31">
      <c r="A1707" s="20">
        <v>50165</v>
      </c>
      <c r="B1707" s="20" t="s">
        <v>5005</v>
      </c>
      <c r="C1707" s="21" t="s">
        <v>5006</v>
      </c>
      <c r="K1707" s="20">
        <v>9</v>
      </c>
      <c r="W1707" s="20">
        <f>IF(Q1707&lt;&gt;0,3,IF(K1707="","",VLOOKUP(K1707,'#状态名词'!$J$1:$K$15,2,FALSE)))</f>
        <v>3</v>
      </c>
      <c r="AA1707" s="20">
        <v>1</v>
      </c>
      <c r="AB1707" s="20">
        <v>50079</v>
      </c>
      <c r="AC1707" s="20">
        <v>100</v>
      </c>
      <c r="AD1707" s="20">
        <v>1</v>
      </c>
    </row>
    <row r="1708" spans="1:31">
      <c r="A1708" s="20">
        <v>50166</v>
      </c>
      <c r="B1708" s="20" t="s">
        <v>5007</v>
      </c>
      <c r="C1708" s="21" t="s">
        <v>5008</v>
      </c>
      <c r="K1708" s="20">
        <v>9</v>
      </c>
      <c r="W1708" s="20">
        <f>IF(Q1708&lt;&gt;0,3,IF(K1708="","",VLOOKUP(K1708,'#状态名词'!$J$1:$K$15,2,FALSE)))</f>
        <v>3</v>
      </c>
      <c r="AA1708" s="20">
        <v>1</v>
      </c>
      <c r="AB1708" s="20">
        <v>50061</v>
      </c>
      <c r="AC1708" s="20">
        <v>100</v>
      </c>
      <c r="AD1708" s="20">
        <v>1</v>
      </c>
    </row>
    <row r="1709" spans="1:31">
      <c r="A1709" s="20">
        <v>50167</v>
      </c>
      <c r="B1709" s="20" t="s">
        <v>5683</v>
      </c>
      <c r="C1709" s="21" t="s">
        <v>5684</v>
      </c>
      <c r="J1709" s="71" t="s">
        <v>106</v>
      </c>
      <c r="K1709" s="20">
        <v>5</v>
      </c>
      <c r="W1709" s="20">
        <f>IF(Q1709&lt;&gt;0,3,IF(K1709="","",VLOOKUP(K1709,'#状态名词'!$J$1:$K$15,2,FALSE)))</f>
        <v>1</v>
      </c>
    </row>
    <row r="1710" spans="1:31" ht="27">
      <c r="A1710" s="20">
        <v>50168</v>
      </c>
      <c r="B1710" s="20" t="s">
        <v>5685</v>
      </c>
      <c r="C1710" s="21" t="s">
        <v>5686</v>
      </c>
      <c r="J1710" s="71" t="s">
        <v>113</v>
      </c>
      <c r="K1710" s="20">
        <v>5</v>
      </c>
      <c r="W1710" s="20">
        <f>IF(Q1710&lt;&gt;0,3,IF(K1710="","",VLOOKUP(K1710,'#状态名词'!$J$1:$K$15,2,FALSE)))</f>
        <v>1</v>
      </c>
    </row>
    <row r="1711" spans="1:31" ht="27">
      <c r="A1711" s="20">
        <v>50169</v>
      </c>
      <c r="B1711" s="20" t="s">
        <v>5687</v>
      </c>
      <c r="C1711" s="21" t="s">
        <v>5688</v>
      </c>
      <c r="J1711" s="71" t="s">
        <v>1496</v>
      </c>
      <c r="K1711" s="20">
        <v>5</v>
      </c>
      <c r="W1711" s="20">
        <f>IF(Q1711&lt;&gt;0,3,IF(K1711="","",VLOOKUP(K1711,'#状态名词'!$J$1:$K$15,2,FALSE)))</f>
        <v>1</v>
      </c>
    </row>
    <row r="1712" spans="1:31" ht="27">
      <c r="A1712" s="20">
        <v>50170</v>
      </c>
      <c r="B1712" s="20" t="s">
        <v>5689</v>
      </c>
      <c r="C1712" s="21" t="s">
        <v>5690</v>
      </c>
      <c r="J1712" s="71" t="s">
        <v>1474</v>
      </c>
      <c r="K1712" s="20">
        <v>5</v>
      </c>
      <c r="W1712" s="20">
        <f>IF(Q1712&lt;&gt;0,3,IF(K1712="","",VLOOKUP(K1712,'#状态名词'!$J$1:$K$15,2,FALSE)))</f>
        <v>1</v>
      </c>
      <c r="AA1712" s="20">
        <v>1</v>
      </c>
      <c r="AB1712" s="20">
        <v>3</v>
      </c>
      <c r="AC1712" s="20">
        <v>33</v>
      </c>
      <c r="AD1712" s="20">
        <v>0</v>
      </c>
      <c r="AE1712" s="20">
        <v>1</v>
      </c>
    </row>
    <row r="1713" spans="1:31">
      <c r="J1713" s="33"/>
      <c r="W1713" s="20" t="str">
        <f>IF(Q1713&lt;&gt;0,3,IF(K1713="","",VLOOKUP(K1713,'#状态名词'!$J$1:$K$15,2,FALSE)))</f>
        <v/>
      </c>
      <c r="AA1713" s="20">
        <v>1</v>
      </c>
      <c r="AB1713" s="20">
        <v>12</v>
      </c>
      <c r="AC1713" s="20">
        <v>33</v>
      </c>
      <c r="AD1713" s="20">
        <v>0</v>
      </c>
      <c r="AE1713" s="20">
        <v>1</v>
      </c>
    </row>
    <row r="1714" spans="1:31">
      <c r="J1714" s="33"/>
      <c r="W1714" s="20" t="str">
        <f>IF(Q1714&lt;&gt;0,3,IF(K1714="","",VLOOKUP(K1714,'#状态名词'!$J$1:$K$15,2,FALSE)))</f>
        <v/>
      </c>
      <c r="AA1714" s="20">
        <v>1</v>
      </c>
      <c r="AB1714" s="20">
        <v>22</v>
      </c>
      <c r="AC1714" s="20">
        <v>33</v>
      </c>
      <c r="AD1714" s="20">
        <v>0</v>
      </c>
      <c r="AE1714" s="20">
        <v>1</v>
      </c>
    </row>
    <row r="1715" spans="1:31">
      <c r="A1715" s="20">
        <v>50171</v>
      </c>
      <c r="B1715" s="20" t="s">
        <v>5691</v>
      </c>
      <c r="C1715" s="21" t="s">
        <v>5692</v>
      </c>
      <c r="J1715" s="71" t="s">
        <v>1484</v>
      </c>
      <c r="K1715" s="20">
        <v>11</v>
      </c>
      <c r="W1715" s="20">
        <f>IF(Q1715&lt;&gt;0,3,IF(K1715="","",VLOOKUP(K1715,'#状态名词'!$J$1:$K$15,2,FALSE)))</f>
        <v>4</v>
      </c>
    </row>
    <row r="1716" spans="1:31" ht="27">
      <c r="A1716" s="20">
        <v>50172</v>
      </c>
      <c r="B1716" s="20" t="s">
        <v>5693</v>
      </c>
      <c r="C1716" s="21" t="s">
        <v>5694</v>
      </c>
      <c r="J1716" s="71" t="s">
        <v>112</v>
      </c>
      <c r="K1716" s="20">
        <v>2</v>
      </c>
      <c r="W1716" s="20">
        <f>IF(Q1716&lt;&gt;0,3,IF(K1716="","",VLOOKUP(K1716,'#状态名词'!$J$1:$K$15,2,FALSE)))</f>
        <v>3</v>
      </c>
    </row>
    <row r="1717" spans="1:31" ht="27">
      <c r="A1717" s="20">
        <v>50173</v>
      </c>
      <c r="B1717" s="20" t="s">
        <v>5695</v>
      </c>
      <c r="C1717" s="21" t="s">
        <v>5696</v>
      </c>
      <c r="J1717" s="71" t="s">
        <v>1493</v>
      </c>
      <c r="K1717" s="20">
        <v>3</v>
      </c>
      <c r="W1717" s="20">
        <f>IF(Q1717&lt;&gt;0,3,IF(K1717="","",VLOOKUP(K1717,'#状态名词'!$J$1:$K$15,2,FALSE)))</f>
        <v>3</v>
      </c>
    </row>
    <row r="1718" spans="1:31" ht="27">
      <c r="A1718" s="20">
        <v>50174</v>
      </c>
      <c r="B1718" s="20" t="s">
        <v>5697</v>
      </c>
      <c r="C1718" s="21" t="s">
        <v>5698</v>
      </c>
      <c r="J1718" s="71" t="s">
        <v>1525</v>
      </c>
      <c r="K1718" s="20">
        <v>4</v>
      </c>
      <c r="W1718" s="20">
        <f>IF(Q1718&lt;&gt;0,3,IF(K1718="","",VLOOKUP(K1718,'#状态名词'!$J$1:$K$15,2,FALSE)))</f>
        <v>3</v>
      </c>
    </row>
    <row r="1719" spans="1:31">
      <c r="A1719" s="20">
        <v>50175</v>
      </c>
      <c r="B1719" s="20" t="s">
        <v>6445</v>
      </c>
      <c r="C1719" s="21" t="s">
        <v>6446</v>
      </c>
      <c r="F1719" s="20" t="s">
        <v>864</v>
      </c>
      <c r="H1719" s="20">
        <v>20</v>
      </c>
      <c r="J1719" s="71" t="s">
        <v>1472</v>
      </c>
      <c r="K1719" s="20">
        <v>5</v>
      </c>
      <c r="L1719" s="20">
        <v>30</v>
      </c>
      <c r="N1719" s="20">
        <v>3</v>
      </c>
      <c r="O1719" s="20">
        <v>1</v>
      </c>
      <c r="W1719" s="20">
        <f>IF(Q1719&lt;&gt;0,3,IF(K1719="","",VLOOKUP(K1719,'#状态名词'!$J$1:$K$15,2,FALSE)))</f>
        <v>1</v>
      </c>
    </row>
    <row r="1720" spans="1:31">
      <c r="A1720" s="20">
        <v>50176</v>
      </c>
      <c r="B1720" s="20" t="s">
        <v>6447</v>
      </c>
      <c r="C1720" s="21" t="s">
        <v>6448</v>
      </c>
      <c r="F1720" s="20" t="s">
        <v>864</v>
      </c>
      <c r="H1720" s="20">
        <v>20</v>
      </c>
      <c r="J1720" s="71" t="s">
        <v>1483</v>
      </c>
      <c r="K1720" s="20">
        <v>5</v>
      </c>
      <c r="L1720" s="20">
        <v>30</v>
      </c>
      <c r="N1720" s="20">
        <v>3</v>
      </c>
      <c r="O1720" s="20">
        <v>1</v>
      </c>
      <c r="W1720" s="20">
        <f>IF(Q1720&lt;&gt;0,3,IF(K1720="","",VLOOKUP(K1720,'#状态名词'!$J$1:$K$15,2,FALSE)))</f>
        <v>1</v>
      </c>
    </row>
    <row r="1721" spans="1:31">
      <c r="A1721" s="20">
        <v>50177</v>
      </c>
      <c r="B1721" s="20" t="s">
        <v>6455</v>
      </c>
      <c r="C1721" s="21" t="s">
        <v>7030</v>
      </c>
      <c r="F1721" s="20" t="s">
        <v>6102</v>
      </c>
      <c r="H1721" s="20">
        <v>25</v>
      </c>
      <c r="J1721" s="71" t="s">
        <v>1463</v>
      </c>
      <c r="K1721" s="20">
        <v>5</v>
      </c>
      <c r="L1721" s="20">
        <v>80</v>
      </c>
      <c r="O1721" s="20">
        <v>1</v>
      </c>
      <c r="Q1721" s="20">
        <v>1</v>
      </c>
      <c r="R1721" s="20">
        <v>1</v>
      </c>
      <c r="S1721" s="20">
        <v>10</v>
      </c>
      <c r="W1721" s="20">
        <f>IF(Q1721&lt;&gt;0,3,IF(K1721="","",VLOOKUP(K1721,'#状态名词'!$J$1:$K$15,2,FALSE)))</f>
        <v>3</v>
      </c>
    </row>
    <row r="1722" spans="1:31">
      <c r="A1722" s="20">
        <v>50178</v>
      </c>
      <c r="B1722" s="20" t="s">
        <v>6456</v>
      </c>
      <c r="C1722" s="21" t="s">
        <v>7031</v>
      </c>
      <c r="F1722" s="20" t="s">
        <v>6086</v>
      </c>
      <c r="H1722" s="20">
        <v>25</v>
      </c>
      <c r="J1722" s="71" t="s">
        <v>125</v>
      </c>
      <c r="K1722" s="20">
        <v>5</v>
      </c>
      <c r="L1722" s="20">
        <v>20</v>
      </c>
      <c r="O1722" s="20">
        <v>1</v>
      </c>
      <c r="W1722" s="20">
        <f>IF(Q1722&lt;&gt;0,3,IF(K1722="","",VLOOKUP(K1722,'#状态名词'!$J$1:$K$15,2,FALSE)))</f>
        <v>1</v>
      </c>
      <c r="AA1722" s="20">
        <v>1</v>
      </c>
      <c r="AB1722" s="20">
        <v>23</v>
      </c>
      <c r="AC1722" s="20">
        <v>15</v>
      </c>
      <c r="AD1722" s="20">
        <v>0</v>
      </c>
      <c r="AE1722" s="20">
        <v>1</v>
      </c>
    </row>
    <row r="1723" spans="1:31">
      <c r="A1723" s="20">
        <v>50179</v>
      </c>
      <c r="B1723" s="20" t="s">
        <v>7204</v>
      </c>
      <c r="C1723" s="21" t="s">
        <v>7208</v>
      </c>
      <c r="F1723" s="20" t="s">
        <v>864</v>
      </c>
      <c r="H1723" s="20">
        <v>20</v>
      </c>
      <c r="J1723" s="71" t="s">
        <v>119</v>
      </c>
      <c r="K1723" s="20">
        <v>5</v>
      </c>
      <c r="L1723" s="20">
        <v>50</v>
      </c>
      <c r="O1723" s="20">
        <v>0</v>
      </c>
      <c r="W1723" s="20">
        <f>IF(Q1723&lt;&gt;0,3,IF(K1723="","",VLOOKUP(K1723,'#状态名词'!$J$1:$K$15,2,FALSE)))</f>
        <v>1</v>
      </c>
      <c r="AA1723" s="20">
        <v>1</v>
      </c>
      <c r="AB1723" s="20">
        <v>2</v>
      </c>
      <c r="AC1723" s="20">
        <v>100</v>
      </c>
      <c r="AD1723" s="20">
        <v>0</v>
      </c>
      <c r="AE1723" s="20">
        <v>1</v>
      </c>
    </row>
    <row r="1724" spans="1:31">
      <c r="J1724" s="33"/>
      <c r="W1724" s="20" t="str">
        <f>IF(Q1724&lt;&gt;0,3,IF(K1724="","",VLOOKUP(K1724,'#状态名词'!$J$1:$K$15,2,FALSE)))</f>
        <v/>
      </c>
      <c r="AA1724" s="20">
        <v>1</v>
      </c>
      <c r="AB1724" s="20">
        <v>3</v>
      </c>
      <c r="AC1724" s="20">
        <v>100</v>
      </c>
      <c r="AD1724" s="20">
        <v>0</v>
      </c>
      <c r="AE1724" s="20">
        <v>1</v>
      </c>
    </row>
    <row r="1725" spans="1:31">
      <c r="J1725" s="33"/>
      <c r="W1725" s="20" t="str">
        <f>IF(Q1725&lt;&gt;0,3,IF(K1725="","",VLOOKUP(K1725,'#状态名词'!$J$1:$K$15,2,FALSE)))</f>
        <v/>
      </c>
      <c r="AA1725" s="20">
        <v>1</v>
      </c>
      <c r="AB1725" s="20">
        <v>4</v>
      </c>
      <c r="AC1725" s="20">
        <v>100</v>
      </c>
      <c r="AD1725" s="20">
        <v>0</v>
      </c>
      <c r="AE1725" s="20">
        <v>1</v>
      </c>
    </row>
    <row r="1726" spans="1:31">
      <c r="A1726" s="20">
        <v>50180</v>
      </c>
      <c r="B1726" s="20" t="s">
        <v>7205</v>
      </c>
      <c r="C1726" s="21" t="s">
        <v>7209</v>
      </c>
      <c r="F1726" s="20" t="s">
        <v>864</v>
      </c>
      <c r="H1726" s="20">
        <v>20</v>
      </c>
      <c r="J1726" s="71" t="s">
        <v>7793</v>
      </c>
      <c r="K1726" s="20">
        <v>5</v>
      </c>
      <c r="L1726" s="20">
        <v>80</v>
      </c>
      <c r="O1726" s="20">
        <v>0</v>
      </c>
      <c r="W1726" s="20">
        <f>IF(Q1726&lt;&gt;0,3,IF(K1726="","",VLOOKUP(K1726,'#状态名词'!$J$1:$K$15,2,FALSE)))</f>
        <v>1</v>
      </c>
      <c r="AA1726" s="20">
        <v>1</v>
      </c>
      <c r="AB1726" s="20">
        <v>22</v>
      </c>
      <c r="AC1726" s="20">
        <v>100</v>
      </c>
      <c r="AD1726" s="20">
        <v>0</v>
      </c>
      <c r="AE1726" s="20">
        <v>3</v>
      </c>
    </row>
    <row r="1727" spans="1:31">
      <c r="A1727" s="20">
        <v>50181</v>
      </c>
      <c r="B1727" s="20" t="s">
        <v>7787</v>
      </c>
      <c r="C1727" s="21" t="s">
        <v>7206</v>
      </c>
      <c r="F1727" s="20" t="s">
        <v>864</v>
      </c>
      <c r="H1727" s="20">
        <v>20</v>
      </c>
      <c r="J1727" s="71" t="s">
        <v>119</v>
      </c>
      <c r="K1727" s="20">
        <v>5</v>
      </c>
      <c r="L1727" s="20">
        <v>50</v>
      </c>
      <c r="N1727" s="20">
        <v>4</v>
      </c>
      <c r="O1727" s="20">
        <v>0</v>
      </c>
      <c r="W1727" s="20">
        <f>IF(Q1727&lt;&gt;0,3,IF(K1727="","",VLOOKUP(K1727,'#状态名词'!$J$1:$K$15,2,FALSE)))</f>
        <v>1</v>
      </c>
      <c r="AA1727" s="20">
        <v>1</v>
      </c>
      <c r="AB1727" s="20">
        <v>50181</v>
      </c>
      <c r="AC1727" s="20">
        <v>100</v>
      </c>
      <c r="AD1727" s="20">
        <v>0</v>
      </c>
    </row>
    <row r="1728" spans="1:31">
      <c r="A1728" s="20">
        <v>50182</v>
      </c>
      <c r="B1728" s="20" t="s">
        <v>7788</v>
      </c>
      <c r="C1728" s="21" t="s">
        <v>7207</v>
      </c>
      <c r="F1728" s="20" t="s">
        <v>7216</v>
      </c>
      <c r="H1728" s="20">
        <v>20</v>
      </c>
      <c r="J1728" s="71" t="s">
        <v>1485</v>
      </c>
      <c r="K1728" s="20">
        <v>5</v>
      </c>
      <c r="L1728" s="20">
        <v>50</v>
      </c>
      <c r="N1728" s="20">
        <v>4</v>
      </c>
      <c r="O1728" s="20">
        <v>1</v>
      </c>
      <c r="W1728" s="20">
        <f>IF(Q1728&lt;&gt;0,3,IF(K1728="","",VLOOKUP(K1728,'#状态名词'!$J$1:$K$15,2,FALSE)))</f>
        <v>1</v>
      </c>
      <c r="AA1728" s="20">
        <v>1</v>
      </c>
      <c r="AB1728" s="20">
        <v>50182</v>
      </c>
      <c r="AC1728" s="20">
        <v>100</v>
      </c>
      <c r="AD1728" s="20">
        <v>0</v>
      </c>
    </row>
    <row r="1729" spans="1:30">
      <c r="A1729" s="20">
        <v>50183</v>
      </c>
      <c r="B1729" s="20" t="s">
        <v>7210</v>
      </c>
      <c r="C1729" s="21" t="s">
        <v>7212</v>
      </c>
      <c r="J1729" s="33"/>
      <c r="W1729" s="20" t="str">
        <f>IF(Q1729&lt;&gt;0,3,IF(K1729="","",VLOOKUP(K1729,'#状态名词'!$J$1:$K$15,2,FALSE)))</f>
        <v/>
      </c>
      <c r="AA1729" s="20">
        <v>1</v>
      </c>
      <c r="AB1729" s="20">
        <v>50183</v>
      </c>
      <c r="AC1729" s="20">
        <v>100</v>
      </c>
      <c r="AD1729" s="20">
        <v>1</v>
      </c>
    </row>
    <row r="1730" spans="1:30">
      <c r="A1730" s="20">
        <v>50184</v>
      </c>
      <c r="B1730" s="20" t="s">
        <v>7211</v>
      </c>
      <c r="C1730" s="21" t="s">
        <v>7213</v>
      </c>
      <c r="J1730" s="33"/>
      <c r="W1730" s="20" t="str">
        <f>IF(Q1730&lt;&gt;0,3,IF(K1730="","",VLOOKUP(K1730,'#状态名词'!$J$1:$K$15,2,FALSE)))</f>
        <v/>
      </c>
      <c r="AA1730" s="20">
        <v>1</v>
      </c>
      <c r="AB1730" s="20">
        <v>50184</v>
      </c>
      <c r="AC1730" s="20">
        <v>100</v>
      </c>
      <c r="AD1730" s="20">
        <v>1</v>
      </c>
    </row>
    <row r="1731" spans="1:30">
      <c r="A1731" s="20">
        <v>50185</v>
      </c>
      <c r="B1731" s="20" t="s">
        <v>7607</v>
      </c>
      <c r="C1731" s="21" t="s">
        <v>7782</v>
      </c>
      <c r="J1731" s="33"/>
      <c r="K1731" s="20">
        <v>6</v>
      </c>
      <c r="W1731" s="20">
        <f>IF(Q1731&lt;&gt;0,3,IF(K1731="","",VLOOKUP(K1731,'#状态名词'!$J$1:$K$15,2,FALSE)))</f>
        <v>3</v>
      </c>
      <c r="AA1731" s="20">
        <v>1</v>
      </c>
      <c r="AB1731" s="20">
        <v>50185</v>
      </c>
      <c r="AC1731" s="20">
        <v>100</v>
      </c>
      <c r="AD1731" s="20">
        <v>1</v>
      </c>
    </row>
    <row r="1732" spans="1:30">
      <c r="A1732" s="31">
        <v>50186</v>
      </c>
      <c r="B1732" s="31" t="s">
        <v>7727</v>
      </c>
      <c r="C1732" s="21" t="s">
        <v>7728</v>
      </c>
      <c r="J1732" s="33"/>
      <c r="W1732" s="20" t="str">
        <f>IF(Q1732&lt;&gt;0,3,IF(K1732="","",VLOOKUP(K1732,'#状态名词'!$J$1:$K$15,2,FALSE)))</f>
        <v/>
      </c>
      <c r="AA1732" s="20">
        <v>1</v>
      </c>
      <c r="AB1732" s="20">
        <v>50186</v>
      </c>
      <c r="AC1732" s="20">
        <v>100</v>
      </c>
      <c r="AD1732" s="20">
        <v>1</v>
      </c>
    </row>
    <row r="1733" spans="1:30">
      <c r="A1733" s="20">
        <v>50187</v>
      </c>
      <c r="B1733" s="20" t="s">
        <v>7608</v>
      </c>
      <c r="C1733" s="21" t="s">
        <v>7609</v>
      </c>
      <c r="J1733" s="33"/>
      <c r="K1733" s="20">
        <v>6</v>
      </c>
      <c r="W1733" s="20">
        <f>IF(Q1733&lt;&gt;0,3,IF(K1733="","",VLOOKUP(K1733,'#状态名词'!$J$1:$K$15,2,FALSE)))</f>
        <v>3</v>
      </c>
      <c r="AA1733" s="20">
        <v>1</v>
      </c>
      <c r="AB1733" s="20">
        <v>50187</v>
      </c>
      <c r="AC1733" s="20">
        <v>100</v>
      </c>
      <c r="AD1733" s="20">
        <v>0</v>
      </c>
    </row>
    <row r="1734" spans="1:30">
      <c r="A1734" s="20">
        <v>50188</v>
      </c>
      <c r="B1734" s="20" t="s">
        <v>7610</v>
      </c>
      <c r="C1734" s="21" t="s">
        <v>7616</v>
      </c>
      <c r="J1734" s="33"/>
      <c r="K1734" s="20">
        <v>9</v>
      </c>
      <c r="W1734" s="20">
        <f>IF(Q1734&lt;&gt;0,3,IF(K1734="","",VLOOKUP(K1734,'#状态名词'!$J$1:$K$15,2,FALSE)))</f>
        <v>3</v>
      </c>
      <c r="AA1734" s="20">
        <v>1</v>
      </c>
      <c r="AB1734" s="20">
        <v>50188</v>
      </c>
      <c r="AC1734" s="20">
        <v>100</v>
      </c>
      <c r="AD1734" s="20">
        <v>0</v>
      </c>
    </row>
    <row r="1735" spans="1:30">
      <c r="A1735" s="31">
        <v>50189</v>
      </c>
      <c r="B1735" s="31" t="s">
        <v>7710</v>
      </c>
      <c r="C1735" s="21" t="s">
        <v>7790</v>
      </c>
      <c r="F1735" s="20" t="s">
        <v>7711</v>
      </c>
      <c r="H1735" s="20">
        <v>20</v>
      </c>
      <c r="J1735" s="71" t="s">
        <v>1485</v>
      </c>
      <c r="K1735" s="20">
        <v>5</v>
      </c>
      <c r="L1735" s="20">
        <v>60</v>
      </c>
      <c r="O1735" s="20">
        <v>0</v>
      </c>
      <c r="W1735" s="20">
        <f>IF(Q1735&lt;&gt;0,3,IF(K1735="","",VLOOKUP(K1735,'#状态名词'!$J$1:$K$15,2,FALSE)))</f>
        <v>1</v>
      </c>
      <c r="AA1735" s="20">
        <v>1</v>
      </c>
      <c r="AB1735" s="20">
        <v>50189</v>
      </c>
      <c r="AC1735" s="20">
        <v>100</v>
      </c>
      <c r="AD1735" s="20">
        <v>1</v>
      </c>
    </row>
    <row r="1736" spans="1:30" ht="27">
      <c r="A1736" s="31">
        <v>50190</v>
      </c>
      <c r="B1736" s="31" t="s">
        <v>7712</v>
      </c>
      <c r="C1736" s="21" t="s">
        <v>8121</v>
      </c>
      <c r="F1736" s="20" t="s">
        <v>7713</v>
      </c>
      <c r="H1736" s="20">
        <v>20</v>
      </c>
      <c r="J1736" s="71" t="s">
        <v>1490</v>
      </c>
      <c r="K1736" s="20">
        <v>5</v>
      </c>
      <c r="L1736" s="20">
        <v>60</v>
      </c>
      <c r="N1736" s="20">
        <v>1</v>
      </c>
      <c r="O1736" s="20">
        <v>1</v>
      </c>
      <c r="W1736" s="20">
        <f>IF(Q1736&lt;&gt;0,3,IF(K1736="","",VLOOKUP(K1736,'#状态名词'!$J$1:$K$15,2,FALSE)))</f>
        <v>1</v>
      </c>
      <c r="AA1736" s="20">
        <v>1</v>
      </c>
      <c r="AB1736" s="20">
        <v>50190</v>
      </c>
      <c r="AC1736" s="20">
        <v>100</v>
      </c>
      <c r="AD1736" s="20">
        <v>1</v>
      </c>
    </row>
    <row r="1737" spans="1:30">
      <c r="A1737" s="20">
        <v>50191</v>
      </c>
      <c r="B1737" s="20" t="s">
        <v>7617</v>
      </c>
      <c r="C1737" s="21" t="s">
        <v>7618</v>
      </c>
      <c r="J1737" s="33"/>
      <c r="K1737" s="20">
        <v>9</v>
      </c>
      <c r="W1737" s="20">
        <f>IF(Q1737&lt;&gt;0,3,IF(K1737="","",VLOOKUP(K1737,'#状态名词'!$J$1:$K$15,2,FALSE)))</f>
        <v>3</v>
      </c>
      <c r="AA1737" s="20">
        <v>1</v>
      </c>
      <c r="AB1737" s="20">
        <v>50191</v>
      </c>
      <c r="AC1737" s="20">
        <v>100</v>
      </c>
      <c r="AD1737" s="20">
        <v>1</v>
      </c>
    </row>
    <row r="1738" spans="1:30">
      <c r="A1738" s="20">
        <v>50192</v>
      </c>
      <c r="B1738" s="20" t="s">
        <v>7619</v>
      </c>
      <c r="C1738" s="21" t="s">
        <v>7620</v>
      </c>
      <c r="J1738" s="33"/>
      <c r="K1738" s="20">
        <v>9</v>
      </c>
      <c r="W1738" s="20">
        <f>IF(Q1738&lt;&gt;0,3,IF(K1738="","",VLOOKUP(K1738,'#状态名词'!$J$1:$K$15,2,FALSE)))</f>
        <v>3</v>
      </c>
      <c r="AA1738" s="20">
        <v>1</v>
      </c>
      <c r="AB1738" s="20">
        <v>50192</v>
      </c>
      <c r="AC1738" s="20">
        <v>100</v>
      </c>
      <c r="AD1738" s="20">
        <v>1</v>
      </c>
    </row>
    <row r="1739" spans="1:30">
      <c r="A1739" s="31">
        <v>50193</v>
      </c>
      <c r="B1739" s="31" t="s">
        <v>7714</v>
      </c>
      <c r="C1739" s="21" t="s">
        <v>7715</v>
      </c>
      <c r="F1739" s="20" t="s">
        <v>7716</v>
      </c>
      <c r="H1739" s="20">
        <v>50</v>
      </c>
      <c r="J1739" s="71" t="s">
        <v>1490</v>
      </c>
      <c r="K1739" s="20">
        <v>5</v>
      </c>
      <c r="L1739" s="20">
        <v>100</v>
      </c>
      <c r="N1739" s="20">
        <v>1</v>
      </c>
      <c r="O1739" s="20">
        <v>0</v>
      </c>
      <c r="Q1739" s="20">
        <v>5</v>
      </c>
      <c r="R1739" s="20">
        <v>10</v>
      </c>
      <c r="S1739" s="20">
        <v>1</v>
      </c>
      <c r="W1739" s="20">
        <f>IF(Q1739&lt;&gt;0,3,IF(K1739="","",VLOOKUP(K1739,'#状态名词'!$J$1:$K$15,2,FALSE)))</f>
        <v>3</v>
      </c>
    </row>
    <row r="1740" spans="1:30">
      <c r="A1740" s="31">
        <v>50194</v>
      </c>
      <c r="B1740" s="31" t="s">
        <v>7611</v>
      </c>
      <c r="C1740" s="21" t="s">
        <v>7717</v>
      </c>
      <c r="F1740" s="20" t="s">
        <v>7718</v>
      </c>
      <c r="H1740" s="20">
        <v>40</v>
      </c>
      <c r="J1740" s="71" t="s">
        <v>1495</v>
      </c>
      <c r="K1740" s="20">
        <v>5</v>
      </c>
      <c r="L1740" s="20">
        <v>100</v>
      </c>
      <c r="N1740" s="20">
        <v>3</v>
      </c>
      <c r="O1740" s="20">
        <v>0</v>
      </c>
      <c r="Q1740" s="20">
        <v>5</v>
      </c>
      <c r="R1740" s="20">
        <v>2</v>
      </c>
      <c r="S1740" s="20">
        <v>3</v>
      </c>
      <c r="W1740" s="20">
        <f>IF(Q1740&lt;&gt;0,3,IF(K1740="","",VLOOKUP(K1740,'#状态名词'!$J$1:$K$15,2,FALSE)))</f>
        <v>3</v>
      </c>
    </row>
    <row r="1741" spans="1:30">
      <c r="A1741" s="31">
        <v>50195</v>
      </c>
      <c r="B1741" s="31" t="s">
        <v>7719</v>
      </c>
      <c r="C1741" s="21" t="s">
        <v>7720</v>
      </c>
      <c r="F1741" s="20" t="s">
        <v>7718</v>
      </c>
      <c r="H1741" s="20">
        <v>40</v>
      </c>
      <c r="J1741" s="71" t="s">
        <v>7794</v>
      </c>
      <c r="K1741" s="20">
        <v>5</v>
      </c>
      <c r="L1741" s="20">
        <v>100</v>
      </c>
      <c r="N1741" s="20">
        <v>2</v>
      </c>
      <c r="O1741" s="20">
        <v>0</v>
      </c>
      <c r="Q1741" s="20">
        <v>5</v>
      </c>
      <c r="R1741" s="20">
        <v>1</v>
      </c>
      <c r="S1741" s="20">
        <v>3</v>
      </c>
      <c r="W1741" s="20">
        <f>IF(Q1741&lt;&gt;0,3,IF(K1741="","",VLOOKUP(K1741,'#状态名词'!$J$1:$K$15,2,FALSE)))</f>
        <v>3</v>
      </c>
    </row>
    <row r="1742" spans="1:30">
      <c r="A1742" s="31">
        <v>50196</v>
      </c>
      <c r="B1742" s="31" t="s">
        <v>7721</v>
      </c>
      <c r="C1742" s="21" t="s">
        <v>7722</v>
      </c>
      <c r="F1742" s="20" t="s">
        <v>7718</v>
      </c>
      <c r="H1742" s="20">
        <v>40</v>
      </c>
      <c r="J1742" s="71" t="s">
        <v>1493</v>
      </c>
      <c r="K1742" s="20">
        <v>5</v>
      </c>
      <c r="L1742" s="20">
        <v>100</v>
      </c>
      <c r="N1742" s="20">
        <v>4</v>
      </c>
      <c r="O1742" s="20">
        <v>0</v>
      </c>
      <c r="Q1742" s="20">
        <v>5</v>
      </c>
      <c r="R1742" s="20">
        <v>3</v>
      </c>
      <c r="S1742" s="20">
        <v>3</v>
      </c>
      <c r="W1742" s="20">
        <f>IF(Q1742&lt;&gt;0,3,IF(K1742="","",VLOOKUP(K1742,'#状态名词'!$J$1:$K$15,2,FALSE)))</f>
        <v>3</v>
      </c>
    </row>
    <row r="1743" spans="1:30">
      <c r="A1743" s="31">
        <v>50197</v>
      </c>
      <c r="B1743" s="31" t="s">
        <v>7784</v>
      </c>
      <c r="C1743" s="21" t="s">
        <v>7723</v>
      </c>
      <c r="F1743" s="20" t="s">
        <v>7724</v>
      </c>
      <c r="H1743" s="20">
        <v>20</v>
      </c>
      <c r="J1743" s="71" t="s">
        <v>1468</v>
      </c>
      <c r="K1743" s="20">
        <v>5</v>
      </c>
      <c r="L1743" s="20">
        <v>50</v>
      </c>
      <c r="N1743" s="20">
        <v>4</v>
      </c>
      <c r="O1743" s="20">
        <v>0</v>
      </c>
      <c r="W1743" s="20">
        <f>IF(Q1743&lt;&gt;0,3,IF(K1743="","",VLOOKUP(K1743,'#状态名词'!$J$1:$K$15,2,FALSE)))</f>
        <v>1</v>
      </c>
      <c r="AA1743" s="20">
        <v>1</v>
      </c>
      <c r="AB1743" s="20">
        <v>50181</v>
      </c>
      <c r="AC1743" s="20">
        <v>100</v>
      </c>
      <c r="AD1743" s="20">
        <v>0</v>
      </c>
    </row>
    <row r="1744" spans="1:30">
      <c r="A1744" s="31">
        <v>50198</v>
      </c>
      <c r="B1744" s="31" t="s">
        <v>7785</v>
      </c>
      <c r="C1744" s="21" t="s">
        <v>7725</v>
      </c>
      <c r="F1744" s="20" t="s">
        <v>7726</v>
      </c>
      <c r="H1744" s="20">
        <v>20</v>
      </c>
      <c r="J1744" s="71" t="s">
        <v>1468</v>
      </c>
      <c r="K1744" s="20">
        <v>5</v>
      </c>
      <c r="L1744" s="20">
        <v>50</v>
      </c>
      <c r="N1744" s="20">
        <v>4</v>
      </c>
      <c r="O1744" s="20">
        <v>1</v>
      </c>
      <c r="W1744" s="20">
        <f>IF(Q1744&lt;&gt;0,3,IF(K1744="","",VLOOKUP(K1744,'#状态名词'!$J$1:$K$15,2,FALSE)))</f>
        <v>1</v>
      </c>
      <c r="AA1744" s="20">
        <v>1</v>
      </c>
      <c r="AB1744" s="20">
        <v>50182</v>
      </c>
      <c r="AC1744" s="20">
        <v>100</v>
      </c>
      <c r="AD1744" s="20">
        <v>0</v>
      </c>
    </row>
    <row r="1745" spans="1:31">
      <c r="A1745" s="20">
        <v>50199</v>
      </c>
      <c r="B1745" s="20" t="s">
        <v>7778</v>
      </c>
      <c r="C1745" s="21" t="s">
        <v>7613</v>
      </c>
      <c r="J1745" s="71" t="s">
        <v>1518</v>
      </c>
      <c r="K1745" s="20">
        <v>5</v>
      </c>
      <c r="L1745" s="20">
        <v>100</v>
      </c>
      <c r="P1745" s="20">
        <v>50199</v>
      </c>
      <c r="Q1745" s="20">
        <v>5</v>
      </c>
      <c r="R1745" s="20">
        <v>1</v>
      </c>
      <c r="S1745" s="20">
        <v>3</v>
      </c>
      <c r="W1745" s="20">
        <f>IF(Q1745&lt;&gt;0,3,IF(K1745="","",VLOOKUP(K1745,'#状态名词'!$J$1:$K$15,2,FALSE)))</f>
        <v>3</v>
      </c>
      <c r="AA1745" s="20">
        <v>1</v>
      </c>
      <c r="AB1745" s="20">
        <v>50199</v>
      </c>
      <c r="AC1745" s="20">
        <v>100</v>
      </c>
      <c r="AD1745" s="20">
        <v>1</v>
      </c>
    </row>
    <row r="1746" spans="1:31">
      <c r="A1746" s="20">
        <v>50200</v>
      </c>
      <c r="B1746" s="20" t="s">
        <v>7779</v>
      </c>
      <c r="C1746" s="21" t="s">
        <v>7621</v>
      </c>
      <c r="J1746" s="71" t="s">
        <v>1518</v>
      </c>
      <c r="K1746" s="20">
        <v>5</v>
      </c>
      <c r="L1746" s="20">
        <v>100</v>
      </c>
      <c r="P1746" s="20">
        <v>50199</v>
      </c>
      <c r="Q1746" s="20">
        <v>5</v>
      </c>
      <c r="R1746" s="20">
        <v>3</v>
      </c>
      <c r="S1746" s="20">
        <v>3</v>
      </c>
      <c r="W1746" s="20">
        <f>IF(Q1746&lt;&gt;0,3,IF(K1746="","",VLOOKUP(K1746,'#状态名词'!$J$1:$K$15,2,FALSE)))</f>
        <v>3</v>
      </c>
      <c r="AA1746" s="20">
        <v>1</v>
      </c>
      <c r="AB1746" s="20">
        <v>50200</v>
      </c>
      <c r="AC1746" s="20">
        <v>100</v>
      </c>
      <c r="AD1746" s="20">
        <v>1</v>
      </c>
    </row>
    <row r="1747" spans="1:31">
      <c r="A1747" s="20">
        <v>50201</v>
      </c>
      <c r="B1747" s="20" t="s">
        <v>7780</v>
      </c>
      <c r="C1747" s="21" t="s">
        <v>7614</v>
      </c>
      <c r="J1747" s="71" t="s">
        <v>1518</v>
      </c>
      <c r="K1747" s="20">
        <v>5</v>
      </c>
      <c r="L1747" s="20">
        <v>100</v>
      </c>
      <c r="P1747" s="20">
        <v>50199</v>
      </c>
      <c r="Q1747" s="20">
        <v>5</v>
      </c>
      <c r="R1747" s="20">
        <v>2</v>
      </c>
      <c r="S1747" s="20">
        <v>3</v>
      </c>
      <c r="W1747" s="20">
        <f>IF(Q1747&lt;&gt;0,3,IF(K1747="","",VLOOKUP(K1747,'#状态名词'!$J$1:$K$15,2,FALSE)))</f>
        <v>3</v>
      </c>
      <c r="AA1747" s="20">
        <v>1</v>
      </c>
      <c r="AB1747" s="20">
        <v>50201</v>
      </c>
      <c r="AC1747" s="20">
        <v>100</v>
      </c>
      <c r="AD1747" s="20">
        <v>1</v>
      </c>
    </row>
    <row r="1748" spans="1:31">
      <c r="A1748" s="20">
        <v>50202</v>
      </c>
      <c r="B1748" s="20" t="s">
        <v>7781</v>
      </c>
      <c r="C1748" s="21" t="s">
        <v>7615</v>
      </c>
      <c r="J1748" s="71" t="s">
        <v>1518</v>
      </c>
      <c r="K1748" s="20">
        <v>5</v>
      </c>
      <c r="L1748" s="20">
        <v>100</v>
      </c>
      <c r="P1748" s="20">
        <v>50199</v>
      </c>
      <c r="Q1748" s="20">
        <v>5</v>
      </c>
      <c r="R1748" s="20">
        <v>9</v>
      </c>
      <c r="S1748" s="20">
        <v>1</v>
      </c>
      <c r="W1748" s="20">
        <f>IF(Q1748&lt;&gt;0,3,IF(K1748="","",VLOOKUP(K1748,'#状态名词'!$J$1:$K$15,2,FALSE)))</f>
        <v>3</v>
      </c>
      <c r="AA1748" s="20">
        <v>1</v>
      </c>
      <c r="AB1748" s="20">
        <v>50202</v>
      </c>
      <c r="AC1748" s="20">
        <v>100</v>
      </c>
      <c r="AD1748" s="20">
        <v>1</v>
      </c>
    </row>
    <row r="1749" spans="1:31">
      <c r="A1749" s="31">
        <v>50203</v>
      </c>
      <c r="B1749" s="31" t="s">
        <v>7704</v>
      </c>
      <c r="C1749" s="21" t="s">
        <v>7705</v>
      </c>
      <c r="J1749" s="19"/>
      <c r="K1749" s="20">
        <v>9</v>
      </c>
      <c r="W1749" s="20">
        <f>IF(Q1749&lt;&gt;0,3,IF(K1749="","",VLOOKUP(K1749,'#状态名词'!$J$1:$K$15,2,FALSE)))</f>
        <v>3</v>
      </c>
      <c r="AA1749" s="20">
        <v>1</v>
      </c>
      <c r="AB1749" s="20">
        <v>34</v>
      </c>
      <c r="AC1749" s="20">
        <v>100</v>
      </c>
      <c r="AD1749" s="20">
        <v>1</v>
      </c>
      <c r="AE1749" s="20">
        <v>1</v>
      </c>
    </row>
    <row r="1750" spans="1:31">
      <c r="A1750" s="31"/>
      <c r="B1750" s="31"/>
      <c r="J1750" s="19"/>
      <c r="W1750" s="20" t="str">
        <f>IF(Q1750&lt;&gt;0,3,IF(K1750="","",VLOOKUP(K1750,'#状态名词'!$J$1:$K$15,2,FALSE)))</f>
        <v/>
      </c>
      <c r="AA1750" s="20">
        <v>1</v>
      </c>
      <c r="AB1750" s="20">
        <v>44</v>
      </c>
      <c r="AC1750" s="20">
        <v>100</v>
      </c>
      <c r="AD1750" s="20">
        <v>1</v>
      </c>
      <c r="AE1750" s="20">
        <v>1</v>
      </c>
    </row>
    <row r="1751" spans="1:31">
      <c r="A1751" s="31">
        <v>50204</v>
      </c>
      <c r="B1751" s="31" t="s">
        <v>7706</v>
      </c>
      <c r="C1751" s="21" t="s">
        <v>7707</v>
      </c>
      <c r="J1751" s="19"/>
      <c r="K1751" s="20">
        <v>9</v>
      </c>
      <c r="W1751" s="20">
        <f>IF(Q1751&lt;&gt;0,3,IF(K1751="","",VLOOKUP(K1751,'#状态名词'!$J$1:$K$15,2,FALSE)))</f>
        <v>3</v>
      </c>
      <c r="AA1751" s="20">
        <v>1</v>
      </c>
      <c r="AB1751" s="20">
        <v>11</v>
      </c>
      <c r="AC1751" s="20">
        <v>100</v>
      </c>
      <c r="AD1751" s="20">
        <v>0</v>
      </c>
      <c r="AE1751" s="20">
        <v>1</v>
      </c>
    </row>
    <row r="1752" spans="1:31">
      <c r="A1752" s="31"/>
      <c r="B1752" s="31"/>
      <c r="J1752" s="19"/>
      <c r="W1752" s="20" t="str">
        <f>IF(Q1752&lt;&gt;0,3,IF(K1752="","",VLOOKUP(K1752,'#状态名词'!$J$1:$K$15,2,FALSE)))</f>
        <v/>
      </c>
      <c r="AA1752" s="20">
        <v>0</v>
      </c>
      <c r="AB1752" s="20">
        <v>50048</v>
      </c>
      <c r="AC1752" s="20">
        <v>100</v>
      </c>
      <c r="AD1752" s="20">
        <v>1</v>
      </c>
      <c r="AE1752" s="20">
        <v>5</v>
      </c>
    </row>
    <row r="1753" spans="1:31">
      <c r="A1753" s="31">
        <v>50205</v>
      </c>
      <c r="B1753" s="31" t="s">
        <v>7708</v>
      </c>
      <c r="C1753" s="21" t="s">
        <v>7709</v>
      </c>
      <c r="J1753" s="19"/>
      <c r="K1753" s="20">
        <v>9</v>
      </c>
      <c r="W1753" s="20">
        <f>IF(Q1753&lt;&gt;0,3,IF(K1753="","",VLOOKUP(K1753,'#状态名词'!$J$1:$K$15,2,FALSE)))</f>
        <v>3</v>
      </c>
      <c r="AA1753" s="20">
        <v>1</v>
      </c>
      <c r="AB1753" s="20">
        <v>41</v>
      </c>
      <c r="AC1753" s="20">
        <v>100</v>
      </c>
      <c r="AD1753" s="20">
        <v>1</v>
      </c>
      <c r="AE1753" s="20">
        <v>1</v>
      </c>
    </row>
    <row r="1754" spans="1:31">
      <c r="J1754" s="19"/>
      <c r="W1754" s="20" t="str">
        <f>IF(Q1754&lt;&gt;0,3,IF(K1754="","",VLOOKUP(K1754,'#状态名词'!$J$1:$K$15,2,FALSE)))</f>
        <v/>
      </c>
      <c r="AA1754" s="20">
        <v>1</v>
      </c>
      <c r="AB1754" s="20">
        <v>43</v>
      </c>
      <c r="AC1754" s="20">
        <v>100</v>
      </c>
      <c r="AD1754" s="20">
        <v>1</v>
      </c>
      <c r="AE1754" s="20">
        <v>1</v>
      </c>
    </row>
    <row r="1755" spans="1:31">
      <c r="A1755" s="20">
        <v>50206</v>
      </c>
      <c r="B1755" s="20" t="s">
        <v>7890</v>
      </c>
      <c r="C1755" s="65" t="s">
        <v>7912</v>
      </c>
      <c r="K1755" s="20">
        <v>6</v>
      </c>
      <c r="W1755" s="20">
        <f>IF(Q1755&lt;&gt;0,3,IF(K1755="","",VLOOKUP(K1755,'#状态名词'!$J$1:$K$15,2,FALSE)))</f>
        <v>3</v>
      </c>
      <c r="AA1755" s="20">
        <v>1</v>
      </c>
      <c r="AB1755" s="20">
        <v>50206</v>
      </c>
      <c r="AC1755" s="20">
        <v>100</v>
      </c>
      <c r="AD1755" s="20">
        <v>1</v>
      </c>
    </row>
    <row r="1756" spans="1:31">
      <c r="C1756" s="65"/>
      <c r="W1756" s="20" t="str">
        <f>IF(Q1756&lt;&gt;0,3,IF(K1756="","",VLOOKUP(K1756,'#状态名词'!$J$1:$K$15,2,FALSE)))</f>
        <v/>
      </c>
      <c r="AA1756" s="20">
        <v>1</v>
      </c>
      <c r="AB1756" s="20">
        <v>50207</v>
      </c>
      <c r="AC1756" s="20">
        <v>100</v>
      </c>
      <c r="AD1756" s="20">
        <v>0</v>
      </c>
    </row>
    <row r="1757" spans="1:31">
      <c r="A1757" s="20">
        <v>50207</v>
      </c>
      <c r="B1757" s="20" t="s">
        <v>7892</v>
      </c>
      <c r="C1757" s="65" t="s">
        <v>7893</v>
      </c>
      <c r="F1757" s="20" t="s">
        <v>7718</v>
      </c>
      <c r="K1757" s="20">
        <v>5</v>
      </c>
      <c r="L1757" s="20">
        <v>70</v>
      </c>
      <c r="N1757" s="20">
        <v>2</v>
      </c>
      <c r="O1757" s="20">
        <v>0</v>
      </c>
      <c r="W1757" s="20">
        <f>IF(Q1757&lt;&gt;0,3,IF(K1757="","",VLOOKUP(K1757,'#状态名词'!$J$1:$K$15,2,FALSE)))</f>
        <v>1</v>
      </c>
    </row>
    <row r="1758" spans="1:31">
      <c r="A1758" s="20">
        <v>50208</v>
      </c>
      <c r="B1758" s="20" t="s">
        <v>7894</v>
      </c>
      <c r="C1758" s="65" t="s">
        <v>7915</v>
      </c>
      <c r="F1758" s="20" t="s">
        <v>7914</v>
      </c>
      <c r="H1758" s="20">
        <v>40</v>
      </c>
      <c r="K1758" s="20">
        <v>5</v>
      </c>
      <c r="L1758" s="20">
        <v>100</v>
      </c>
      <c r="N1758" s="20">
        <v>2</v>
      </c>
      <c r="O1758" s="20">
        <v>1</v>
      </c>
      <c r="Q1758" s="20">
        <v>5</v>
      </c>
      <c r="R1758" s="20">
        <v>12</v>
      </c>
      <c r="S1758" s="20">
        <v>4</v>
      </c>
      <c r="W1758" s="20">
        <f>IF(Q1758&lt;&gt;0,3,IF(K1758="","",VLOOKUP(K1758,'#状态名词'!$J$1:$K$15,2,FALSE)))</f>
        <v>3</v>
      </c>
    </row>
    <row r="1759" spans="1:31">
      <c r="A1759" s="20">
        <v>50209</v>
      </c>
      <c r="B1759" s="65" t="s">
        <v>7895</v>
      </c>
      <c r="C1759" s="65" t="s">
        <v>7907</v>
      </c>
      <c r="W1759" s="20" t="str">
        <f>IF(Q1759&lt;&gt;0,3,IF(K1759="","",VLOOKUP(K1759,'#状态名词'!$J$1:$K$15,2,FALSE)))</f>
        <v/>
      </c>
      <c r="AA1759" s="20">
        <v>1</v>
      </c>
      <c r="AB1759" s="20">
        <v>50209</v>
      </c>
      <c r="AC1759" s="20">
        <v>100</v>
      </c>
      <c r="AD1759" s="20">
        <v>0</v>
      </c>
    </row>
    <row r="1760" spans="1:31">
      <c r="A1760" s="20">
        <v>50210</v>
      </c>
      <c r="B1760" s="65" t="s">
        <v>7896</v>
      </c>
      <c r="C1760" s="65" t="s">
        <v>7956</v>
      </c>
      <c r="F1760" s="20" t="s">
        <v>7897</v>
      </c>
      <c r="H1760" s="20">
        <v>35</v>
      </c>
      <c r="K1760" s="20">
        <v>5</v>
      </c>
      <c r="L1760" s="20">
        <v>60</v>
      </c>
      <c r="N1760" s="20">
        <v>4</v>
      </c>
      <c r="O1760" s="20">
        <v>1</v>
      </c>
      <c r="W1760" s="20">
        <f>IF(Q1760&lt;&gt;0,3,IF(K1760="","",VLOOKUP(K1760,'#状态名词'!$J$1:$K$15,2,FALSE)))</f>
        <v>1</v>
      </c>
      <c r="AA1760" s="20">
        <v>1</v>
      </c>
      <c r="AB1760" s="20">
        <v>50210</v>
      </c>
      <c r="AC1760" s="20">
        <v>100</v>
      </c>
      <c r="AD1760" s="20">
        <v>1</v>
      </c>
    </row>
    <row r="1761" spans="1:31">
      <c r="B1761" s="65"/>
      <c r="C1761" s="65"/>
      <c r="W1761" s="20" t="str">
        <f>IF(Q1761&lt;&gt;0,3,IF(K1761="","",VLOOKUP(K1761,'#状态名词'!$J$1:$K$15,2,FALSE)))</f>
        <v/>
      </c>
      <c r="AA1761" s="20">
        <v>1</v>
      </c>
      <c r="AB1761" s="20">
        <v>12</v>
      </c>
      <c r="AC1761" s="20">
        <v>50</v>
      </c>
      <c r="AD1761" s="20">
        <v>0</v>
      </c>
      <c r="AE1761" s="20">
        <v>1</v>
      </c>
    </row>
    <row r="1762" spans="1:31">
      <c r="A1762" s="20">
        <v>50211</v>
      </c>
      <c r="B1762" s="65" t="s">
        <v>7898</v>
      </c>
      <c r="C1762" s="65" t="s">
        <v>7955</v>
      </c>
      <c r="F1762" s="20" t="s">
        <v>7897</v>
      </c>
      <c r="H1762" s="20">
        <v>35</v>
      </c>
      <c r="K1762" s="20">
        <v>5</v>
      </c>
      <c r="L1762" s="20">
        <v>40</v>
      </c>
      <c r="N1762" s="20">
        <v>1</v>
      </c>
      <c r="O1762" s="20">
        <v>1</v>
      </c>
      <c r="W1762" s="20">
        <f>IF(Q1762&lt;&gt;0,3,IF(K1762="","",VLOOKUP(K1762,'#状态名词'!$J$1:$K$15,2,FALSE)))</f>
        <v>1</v>
      </c>
      <c r="AA1762" s="20">
        <v>1</v>
      </c>
      <c r="AB1762" s="20">
        <v>50211</v>
      </c>
      <c r="AC1762" s="20">
        <v>100</v>
      </c>
      <c r="AD1762" s="20">
        <v>1</v>
      </c>
    </row>
    <row r="1763" spans="1:31">
      <c r="W1763" s="20" t="str">
        <f>IF(Q1763&lt;&gt;0,3,IF(K1763="","",VLOOKUP(K1763,'#状态名词'!$J$1:$K$15,2,FALSE)))</f>
        <v/>
      </c>
      <c r="AA1763" s="20">
        <v>1</v>
      </c>
      <c r="AB1763" s="20">
        <v>22</v>
      </c>
      <c r="AC1763" s="20">
        <v>50</v>
      </c>
      <c r="AD1763" s="20">
        <v>0</v>
      </c>
      <c r="AE1763" s="20">
        <v>1</v>
      </c>
    </row>
    <row r="1764" spans="1:31">
      <c r="A1764" s="20">
        <v>50212</v>
      </c>
      <c r="B1764" s="20" t="s">
        <v>7908</v>
      </c>
      <c r="C1764" s="21" t="s">
        <v>7909</v>
      </c>
      <c r="Q1764" s="20">
        <v>1</v>
      </c>
      <c r="R1764" s="20">
        <v>0</v>
      </c>
      <c r="S1764" s="20">
        <v>9</v>
      </c>
      <c r="W1764" s="20">
        <f>IF(Q1764&lt;&gt;0,3,IF(K1764="","",VLOOKUP(K1764,'#状态名词'!$J$1:$K$15,2,FALSE)))</f>
        <v>3</v>
      </c>
      <c r="AA1764" s="20">
        <v>1</v>
      </c>
      <c r="AB1764" s="20">
        <v>50212</v>
      </c>
      <c r="AC1764" s="20">
        <v>100</v>
      </c>
      <c r="AD1764" s="20">
        <v>1</v>
      </c>
    </row>
    <row r="1765" spans="1:31">
      <c r="A1765" s="20">
        <v>50213</v>
      </c>
      <c r="B1765" s="20" t="s">
        <v>7910</v>
      </c>
      <c r="C1765" s="21" t="s">
        <v>7911</v>
      </c>
      <c r="F1765" s="20">
        <v>25000</v>
      </c>
      <c r="K1765" s="20">
        <v>5</v>
      </c>
      <c r="L1765" s="20">
        <v>20</v>
      </c>
      <c r="N1765" s="20">
        <v>1</v>
      </c>
      <c r="O1765" s="20">
        <v>1</v>
      </c>
      <c r="P1765" s="20">
        <v>50199</v>
      </c>
      <c r="W1765" s="20">
        <f>IF(Q1765&lt;&gt;0,3,IF(K1765="","",VLOOKUP(K1765,'#状态名词'!$J$1:$K$15,2,FALSE)))</f>
        <v>1</v>
      </c>
    </row>
    <row r="1766" spans="1:31">
      <c r="A1766" s="20">
        <v>50214</v>
      </c>
      <c r="B1766" s="20" t="s">
        <v>4803</v>
      </c>
      <c r="C1766" s="21" t="s">
        <v>1379</v>
      </c>
      <c r="F1766" s="20" t="s">
        <v>864</v>
      </c>
      <c r="J1766" s="19" t="s">
        <v>1525</v>
      </c>
      <c r="K1766" s="20">
        <v>5</v>
      </c>
      <c r="L1766" s="20">
        <v>30</v>
      </c>
      <c r="N1766" s="20">
        <v>2</v>
      </c>
      <c r="O1766" s="20">
        <v>0</v>
      </c>
      <c r="W1766" s="20">
        <f>IF(Q1766&lt;&gt;0,3,IF(K1766="","",VLOOKUP(K1766,'#状态名词'!$J$1:$K$15,2,FALSE)))</f>
        <v>1</v>
      </c>
    </row>
    <row r="1767" spans="1:31">
      <c r="A1767" s="20">
        <v>50215</v>
      </c>
      <c r="B1767" s="20" t="s">
        <v>7945</v>
      </c>
      <c r="C1767" s="21" t="s">
        <v>7944</v>
      </c>
      <c r="J1767" s="19"/>
      <c r="W1767" s="20" t="str">
        <f>IF(Q1767&lt;&gt;0,3,IF(K1767="","",VLOOKUP(K1767,'#状态名词'!$J$1:$K$15,2,FALSE)))</f>
        <v/>
      </c>
      <c r="AA1767" s="20">
        <v>1</v>
      </c>
      <c r="AB1767" s="20">
        <v>50215</v>
      </c>
      <c r="AC1767" s="20">
        <v>100</v>
      </c>
      <c r="AD1767" s="20">
        <v>1</v>
      </c>
    </row>
    <row r="1768" spans="1:31">
      <c r="A1768" s="20">
        <v>50216</v>
      </c>
      <c r="B1768" s="20" t="s">
        <v>7946</v>
      </c>
      <c r="C1768" s="21" t="s">
        <v>7947</v>
      </c>
      <c r="J1768" s="19"/>
      <c r="W1768" s="20" t="str">
        <f>IF(Q1768&lt;&gt;0,3,IF(K1768="","",VLOOKUP(K1768,'#状态名词'!$J$1:$K$15,2,FALSE)))</f>
        <v/>
      </c>
      <c r="AA1768" s="20">
        <v>1</v>
      </c>
      <c r="AB1768" s="20">
        <v>50216</v>
      </c>
      <c r="AC1768" s="20">
        <v>100</v>
      </c>
      <c r="AD1768" s="20">
        <v>0</v>
      </c>
    </row>
    <row r="1769" spans="1:31">
      <c r="A1769" s="20">
        <v>50217</v>
      </c>
      <c r="B1769" s="20" t="s">
        <v>7948</v>
      </c>
      <c r="C1769" s="21" t="s">
        <v>7962</v>
      </c>
      <c r="F1769" s="20" t="s">
        <v>7976</v>
      </c>
      <c r="H1769" s="20">
        <v>20</v>
      </c>
      <c r="J1769" s="19"/>
      <c r="K1769" s="20">
        <v>5</v>
      </c>
      <c r="L1769" s="20">
        <v>100</v>
      </c>
      <c r="O1769" s="20">
        <v>1</v>
      </c>
      <c r="W1769" s="20">
        <f>IF(Q1769&lt;&gt;0,3,IF(K1769="","",VLOOKUP(K1769,'#状态名词'!$J$1:$K$15,2,FALSE)))</f>
        <v>1</v>
      </c>
    </row>
    <row r="1770" spans="1:31">
      <c r="A1770" s="20">
        <v>50218</v>
      </c>
      <c r="B1770" s="20" t="s">
        <v>7949</v>
      </c>
      <c r="C1770" s="21" t="s">
        <v>7950</v>
      </c>
      <c r="F1770" s="20" t="s">
        <v>7977</v>
      </c>
      <c r="H1770" s="20">
        <v>25</v>
      </c>
      <c r="J1770" s="19"/>
      <c r="K1770" s="20">
        <v>5</v>
      </c>
      <c r="L1770" s="20">
        <v>100</v>
      </c>
      <c r="O1770" s="20">
        <v>3</v>
      </c>
      <c r="W1770" s="20">
        <f>IF(Q1770&lt;&gt;0,3,IF(K1770="","",VLOOKUP(K1770,'#状态名词'!$J$1:$K$15,2,FALSE)))</f>
        <v>1</v>
      </c>
    </row>
    <row r="1771" spans="1:31">
      <c r="A1771" s="20">
        <v>50219</v>
      </c>
      <c r="B1771" s="20" t="s">
        <v>7951</v>
      </c>
      <c r="C1771" s="21" t="s">
        <v>7952</v>
      </c>
      <c r="J1771" s="19"/>
      <c r="K1771" s="20">
        <v>6</v>
      </c>
      <c r="W1771" s="20">
        <f>IF(Q1771&lt;&gt;0,3,IF(K1771="","",VLOOKUP(K1771,'#状态名词'!$J$1:$K$15,2,FALSE)))</f>
        <v>3</v>
      </c>
      <c r="AA1771" s="20">
        <v>1</v>
      </c>
      <c r="AB1771" s="20">
        <v>50219</v>
      </c>
      <c r="AC1771" s="20">
        <v>100</v>
      </c>
      <c r="AD1771" s="20">
        <v>1</v>
      </c>
    </row>
    <row r="1772" spans="1:31">
      <c r="A1772" s="20">
        <v>50220</v>
      </c>
      <c r="B1772" s="20" t="s">
        <v>7953</v>
      </c>
      <c r="C1772" s="21" t="s">
        <v>7961</v>
      </c>
      <c r="F1772" s="20" t="s">
        <v>7978</v>
      </c>
      <c r="H1772" s="20">
        <v>40</v>
      </c>
      <c r="J1772" s="19"/>
      <c r="K1772" s="20">
        <v>5</v>
      </c>
      <c r="L1772" s="20">
        <v>100</v>
      </c>
      <c r="O1772" s="20">
        <v>1</v>
      </c>
      <c r="Q1772" s="20">
        <v>5</v>
      </c>
      <c r="R1772" s="20">
        <v>4</v>
      </c>
      <c r="S1772" s="20">
        <v>4</v>
      </c>
      <c r="W1772" s="20">
        <f>IF(Q1772&lt;&gt;0,3,IF(K1772="","",VLOOKUP(K1772,'#状态名词'!$J$1:$K$15,2,FALSE)))</f>
        <v>3</v>
      </c>
    </row>
    <row r="1773" spans="1:31">
      <c r="A1773" s="20">
        <v>50221</v>
      </c>
      <c r="B1773" s="20" t="s">
        <v>7954</v>
      </c>
      <c r="C1773" s="65" t="s">
        <v>7957</v>
      </c>
      <c r="F1773" s="20" t="s">
        <v>7979</v>
      </c>
      <c r="H1773" s="20">
        <v>35</v>
      </c>
      <c r="J1773" s="19"/>
      <c r="K1773" s="20">
        <v>5</v>
      </c>
      <c r="L1773" s="20">
        <v>60</v>
      </c>
      <c r="O1773" s="20">
        <v>0</v>
      </c>
      <c r="W1773" s="20">
        <f>IF(Q1773&lt;&gt;0,3,IF(K1773="","",VLOOKUP(K1773,'#状态名词'!$J$1:$K$15,2,FALSE)))</f>
        <v>1</v>
      </c>
      <c r="AA1773" s="20">
        <v>1</v>
      </c>
      <c r="AB1773" s="20">
        <v>50221</v>
      </c>
      <c r="AC1773" s="20">
        <v>100</v>
      </c>
      <c r="AD1773" s="20">
        <v>1</v>
      </c>
    </row>
    <row r="1774" spans="1:31">
      <c r="A1774" s="20">
        <v>50222</v>
      </c>
      <c r="B1774" s="20" t="s">
        <v>7958</v>
      </c>
      <c r="C1774" s="21" t="s">
        <v>7959</v>
      </c>
      <c r="J1774" s="19"/>
      <c r="K1774" s="20">
        <v>6</v>
      </c>
      <c r="W1774" s="20">
        <f>IF(Q1774&lt;&gt;0,3,IF(K1774="","",VLOOKUP(K1774,'#状态名词'!$J$1:$K$15,2,FALSE)))</f>
        <v>3</v>
      </c>
      <c r="AA1774" s="20">
        <v>1</v>
      </c>
      <c r="AB1774" s="20">
        <v>50222</v>
      </c>
      <c r="AC1774" s="20">
        <v>100</v>
      </c>
      <c r="AD1774" s="20">
        <v>0</v>
      </c>
    </row>
    <row r="1775" spans="1:31">
      <c r="J1775" s="19"/>
      <c r="AA1775" s="20">
        <v>1</v>
      </c>
      <c r="AB1775" s="20">
        <v>21</v>
      </c>
      <c r="AC1775" s="20">
        <v>5</v>
      </c>
      <c r="AD1775" s="20">
        <v>0</v>
      </c>
      <c r="AE1775" s="20">
        <v>1</v>
      </c>
    </row>
    <row r="1776" spans="1:31">
      <c r="A1776" s="20">
        <v>50223</v>
      </c>
      <c r="B1776" s="20" t="s">
        <v>7960</v>
      </c>
      <c r="C1776" s="21" t="s">
        <v>7963</v>
      </c>
      <c r="F1776" s="20" t="s">
        <v>7980</v>
      </c>
      <c r="H1776" s="20">
        <v>-5</v>
      </c>
      <c r="J1776" s="19"/>
      <c r="K1776" s="20">
        <v>5</v>
      </c>
      <c r="L1776" s="20">
        <v>100</v>
      </c>
      <c r="O1776" s="20">
        <v>0</v>
      </c>
      <c r="W1776" s="20">
        <f>IF(Q1776&lt;&gt;0,3,IF(K1776="","",VLOOKUP(K1776,'#状态名词'!$J$1:$K$15,2,FALSE)))</f>
        <v>1</v>
      </c>
    </row>
    <row r="1777" spans="1:30">
      <c r="A1777" s="20">
        <v>50224</v>
      </c>
      <c r="B1777" s="20" t="s">
        <v>7964</v>
      </c>
      <c r="C1777" s="21" t="s">
        <v>7974</v>
      </c>
      <c r="F1777" s="20" t="s">
        <v>7981</v>
      </c>
      <c r="H1777" s="20">
        <v>15</v>
      </c>
      <c r="J1777" s="19"/>
      <c r="K1777" s="20">
        <v>5</v>
      </c>
      <c r="L1777" s="20">
        <v>100</v>
      </c>
      <c r="O1777" s="20">
        <v>0</v>
      </c>
      <c r="W1777" s="20">
        <f>IF(Q1777&lt;&gt;0,3,IF(K1777="","",VLOOKUP(K1777,'#状态名词'!$J$1:$K$15,2,FALSE)))</f>
        <v>1</v>
      </c>
    </row>
    <row r="1778" spans="1:30">
      <c r="A1778" s="20">
        <v>50225</v>
      </c>
      <c r="B1778" s="20" t="s">
        <v>7966</v>
      </c>
      <c r="C1778" s="20" t="s">
        <v>7967</v>
      </c>
      <c r="J1778" s="19"/>
      <c r="K1778" s="20">
        <v>9</v>
      </c>
      <c r="W1778" s="20">
        <f>IF(Q1778&lt;&gt;0,3,IF(K1778="","",VLOOKUP(K1778,'#状态名词'!$J$1:$K$15,2,FALSE)))</f>
        <v>3</v>
      </c>
      <c r="AA1778" s="20">
        <v>1</v>
      </c>
      <c r="AB1778" s="20">
        <v>50225</v>
      </c>
      <c r="AC1778" s="20">
        <v>100</v>
      </c>
      <c r="AD1778" s="20">
        <v>0</v>
      </c>
    </row>
    <row r="1779" spans="1:30">
      <c r="C1779" s="20"/>
      <c r="J1779" s="19"/>
      <c r="AA1779" s="20">
        <v>1</v>
      </c>
      <c r="AB1779" s="20">
        <v>50224</v>
      </c>
      <c r="AC1779" s="20">
        <v>100</v>
      </c>
      <c r="AD1779" s="20">
        <v>1</v>
      </c>
    </row>
    <row r="1780" spans="1:30">
      <c r="A1780" s="20">
        <v>50226</v>
      </c>
      <c r="B1780" s="20" t="s">
        <v>7968</v>
      </c>
      <c r="C1780" s="21" t="s">
        <v>7969</v>
      </c>
      <c r="J1780" s="19"/>
      <c r="K1780" s="20">
        <v>9</v>
      </c>
      <c r="W1780" s="20">
        <f>IF(Q1780&lt;&gt;0,3,IF(K1780="","",VLOOKUP(K1780,'#状态名词'!$J$1:$K$15,2,FALSE)))</f>
        <v>3</v>
      </c>
      <c r="AA1780" s="20">
        <v>1</v>
      </c>
      <c r="AB1780" s="20">
        <v>50226</v>
      </c>
      <c r="AC1780" s="20">
        <v>5</v>
      </c>
      <c r="AD1780" s="20">
        <v>1</v>
      </c>
    </row>
    <row r="1781" spans="1:30">
      <c r="A1781" s="20">
        <v>50227</v>
      </c>
      <c r="B1781" s="20" t="s">
        <v>7970</v>
      </c>
      <c r="C1781" s="21" t="s">
        <v>7971</v>
      </c>
      <c r="J1781" s="19"/>
      <c r="Q1781" s="20">
        <v>1</v>
      </c>
      <c r="R1781" s="20">
        <v>0</v>
      </c>
      <c r="S1781" s="20">
        <v>1</v>
      </c>
      <c r="W1781" s="20">
        <f>IF(Q1781&lt;&gt;0,3,IF(K1781="","",VLOOKUP(K1781,'#状态名词'!$J$1:$K$15,2,FALSE)))</f>
        <v>3</v>
      </c>
      <c r="AA1781" s="20">
        <v>1</v>
      </c>
      <c r="AB1781" s="20">
        <v>50227</v>
      </c>
      <c r="AC1781" s="20">
        <v>100</v>
      </c>
      <c r="AD1781" s="20">
        <v>0</v>
      </c>
    </row>
    <row r="1782" spans="1:30">
      <c r="A1782" s="20">
        <v>50228</v>
      </c>
      <c r="B1782" s="20" t="s">
        <v>7973</v>
      </c>
      <c r="C1782" s="21" t="s">
        <v>7965</v>
      </c>
      <c r="F1782" s="20" t="s">
        <v>7982</v>
      </c>
      <c r="H1782" s="20">
        <v>20</v>
      </c>
      <c r="J1782" s="19"/>
      <c r="K1782" s="20">
        <v>5</v>
      </c>
      <c r="L1782" s="20">
        <v>100</v>
      </c>
      <c r="O1782" s="20">
        <v>0</v>
      </c>
      <c r="W1782" s="20">
        <f>IF(Q1782&lt;&gt;0,3,IF(K1782="","",VLOOKUP(K1782,'#状态名词'!$J$1:$K$15,2,FALSE)))</f>
        <v>1</v>
      </c>
    </row>
    <row r="1783" spans="1:30">
      <c r="A1783" s="20">
        <v>50229</v>
      </c>
      <c r="B1783" s="20" t="s">
        <v>7972</v>
      </c>
      <c r="C1783" s="21" t="s">
        <v>7975</v>
      </c>
      <c r="J1783" s="19"/>
      <c r="K1783" s="20">
        <v>6</v>
      </c>
      <c r="W1783" s="20">
        <f>IF(Q1783&lt;&gt;0,3,IF(K1783="","",VLOOKUP(K1783,'#状态名词'!$J$1:$K$15,2,FALSE)))</f>
        <v>3</v>
      </c>
      <c r="AA1783" s="20">
        <v>1</v>
      </c>
      <c r="AB1783" s="20">
        <v>50229</v>
      </c>
      <c r="AC1783" s="20">
        <v>100</v>
      </c>
      <c r="AD1783" s="20">
        <v>1</v>
      </c>
    </row>
    <row r="1784" spans="1:30">
      <c r="A1784" s="20">
        <v>50230</v>
      </c>
      <c r="B1784" s="20" t="s">
        <v>7987</v>
      </c>
      <c r="C1784" s="21" t="s">
        <v>7990</v>
      </c>
      <c r="F1784" s="20" t="s">
        <v>8894</v>
      </c>
      <c r="H1784" s="20">
        <v>20</v>
      </c>
      <c r="J1784" s="19"/>
      <c r="K1784" s="20">
        <v>5</v>
      </c>
      <c r="L1784" s="20">
        <v>50</v>
      </c>
      <c r="N1784" s="20">
        <v>2</v>
      </c>
      <c r="O1784" s="20">
        <v>0</v>
      </c>
      <c r="W1784" s="20">
        <f>IF(Q1784&lt;&gt;0,3,IF(K1784="","",VLOOKUP(K1784,'#状态名词'!$J$1:$K$15,2,FALSE)))</f>
        <v>1</v>
      </c>
    </row>
    <row r="1785" spans="1:30">
      <c r="A1785" s="20">
        <v>50231</v>
      </c>
      <c r="B1785" s="20" t="s">
        <v>7988</v>
      </c>
      <c r="C1785" s="21" t="s">
        <v>7991</v>
      </c>
      <c r="F1785" s="20" t="s">
        <v>8894</v>
      </c>
      <c r="H1785" s="20">
        <v>20</v>
      </c>
      <c r="J1785" s="19"/>
      <c r="K1785" s="20">
        <v>5</v>
      </c>
      <c r="L1785" s="20">
        <v>50</v>
      </c>
      <c r="N1785" s="20">
        <v>4</v>
      </c>
      <c r="O1785" s="20">
        <v>0</v>
      </c>
      <c r="W1785" s="20">
        <f>IF(Q1785&lt;&gt;0,3,IF(K1785="","",VLOOKUP(K1785,'#状态名词'!$J$1:$K$15,2,FALSE)))</f>
        <v>1</v>
      </c>
    </row>
    <row r="1786" spans="1:30">
      <c r="A1786" s="20">
        <v>50232</v>
      </c>
      <c r="B1786" s="20" t="s">
        <v>7989</v>
      </c>
      <c r="C1786" s="21" t="s">
        <v>7992</v>
      </c>
      <c r="J1786" s="19"/>
      <c r="Q1786" s="20">
        <v>1</v>
      </c>
      <c r="R1786" s="20">
        <v>0</v>
      </c>
      <c r="S1786" s="20">
        <v>1</v>
      </c>
      <c r="W1786" s="20">
        <f>IF(Q1786&lt;&gt;0,3,IF(K1786="","",VLOOKUP(K1786,'#状态名词'!$J$1:$K$15,2,FALSE)))</f>
        <v>3</v>
      </c>
      <c r="AA1786" s="20">
        <v>1</v>
      </c>
      <c r="AB1786" s="20">
        <v>50232</v>
      </c>
      <c r="AC1786" s="20">
        <v>100</v>
      </c>
      <c r="AD1786" s="20">
        <v>0</v>
      </c>
    </row>
    <row r="1787" spans="1:30">
      <c r="A1787" s="20">
        <v>50233</v>
      </c>
      <c r="B1787" s="20" t="s">
        <v>7993</v>
      </c>
      <c r="C1787" s="21" t="s">
        <v>8898</v>
      </c>
      <c r="J1787" s="19"/>
      <c r="Q1787" s="20">
        <v>1</v>
      </c>
      <c r="R1787" s="20">
        <v>2</v>
      </c>
      <c r="S1787" s="20">
        <v>10</v>
      </c>
      <c r="W1787" s="20">
        <f>IF(Q1787&lt;&gt;0,3,IF(K1787="","",VLOOKUP(K1787,'#状态名词'!$J$1:$K$15,2,FALSE)))</f>
        <v>3</v>
      </c>
      <c r="AA1787" s="20">
        <v>1</v>
      </c>
      <c r="AB1787" s="20">
        <v>50233</v>
      </c>
      <c r="AC1787" s="20">
        <v>100</v>
      </c>
      <c r="AD1787" s="20">
        <v>1</v>
      </c>
    </row>
    <row r="1788" spans="1:30">
      <c r="J1788" s="19"/>
      <c r="W1788" s="20" t="str">
        <f>IF(Q1788&lt;&gt;0,3,IF(K1788="","",VLOOKUP(K1788,'#状态名词'!$J$1:$K$15,2,FALSE)))</f>
        <v/>
      </c>
      <c r="AA1788" s="20">
        <v>1</v>
      </c>
      <c r="AB1788" s="20">
        <v>50231</v>
      </c>
      <c r="AC1788" s="20">
        <v>100</v>
      </c>
      <c r="AD1788" s="20">
        <v>0</v>
      </c>
    </row>
    <row r="1789" spans="1:30">
      <c r="A1789" s="20">
        <v>50234</v>
      </c>
      <c r="B1789" s="20" t="s">
        <v>7994</v>
      </c>
      <c r="C1789" s="21" t="s">
        <v>8899</v>
      </c>
      <c r="J1789" s="19"/>
      <c r="W1789" s="20" t="str">
        <f>IF(Q1789&lt;&gt;0,3,IF(K1789="","",VLOOKUP(K1789,'#状态名词'!$J$1:$K$15,2,FALSE)))</f>
        <v/>
      </c>
      <c r="AA1789" s="20">
        <v>1</v>
      </c>
      <c r="AB1789" s="20">
        <v>50234</v>
      </c>
      <c r="AC1789" s="20">
        <v>100</v>
      </c>
      <c r="AD1789" s="20">
        <v>1</v>
      </c>
    </row>
    <row r="1790" spans="1:30">
      <c r="A1790" s="20">
        <v>50235</v>
      </c>
      <c r="B1790" s="20" t="s">
        <v>7996</v>
      </c>
      <c r="C1790" s="21" t="s">
        <v>7995</v>
      </c>
      <c r="J1790" s="19"/>
      <c r="W1790" s="20" t="str">
        <f>IF(Q1790&lt;&gt;0,3,IF(K1790="","",VLOOKUP(K1790,'#状态名词'!$J$1:$K$15,2,FALSE)))</f>
        <v/>
      </c>
      <c r="AA1790" s="20">
        <v>1</v>
      </c>
      <c r="AB1790" s="20">
        <v>50235</v>
      </c>
      <c r="AC1790" s="20">
        <v>100</v>
      </c>
      <c r="AD1790" s="20">
        <v>0</v>
      </c>
    </row>
    <row r="1791" spans="1:30">
      <c r="A1791" s="20">
        <v>50236</v>
      </c>
      <c r="B1791" s="20" t="s">
        <v>7997</v>
      </c>
      <c r="C1791" s="21" t="s">
        <v>7998</v>
      </c>
      <c r="J1791" s="19"/>
      <c r="W1791" s="20" t="str">
        <f>IF(Q1791&lt;&gt;0,3,IF(K1791="","",VLOOKUP(K1791,'#状态名词'!$J$1:$K$15,2,FALSE)))</f>
        <v/>
      </c>
      <c r="AA1791" s="20">
        <v>1</v>
      </c>
      <c r="AB1791" s="20">
        <v>50236</v>
      </c>
      <c r="AC1791" s="20">
        <v>100</v>
      </c>
      <c r="AD1791" s="20">
        <v>0</v>
      </c>
    </row>
    <row r="1792" spans="1:30">
      <c r="A1792" s="20">
        <v>50237</v>
      </c>
      <c r="B1792" s="20" t="s">
        <v>7999</v>
      </c>
      <c r="C1792" s="21" t="s">
        <v>8001</v>
      </c>
      <c r="F1792" s="20" t="s">
        <v>8895</v>
      </c>
      <c r="H1792" s="20">
        <v>15</v>
      </c>
      <c r="J1792" s="19"/>
      <c r="K1792" s="20">
        <v>5</v>
      </c>
      <c r="L1792" s="20">
        <v>50</v>
      </c>
      <c r="O1792" s="20">
        <v>1</v>
      </c>
      <c r="W1792" s="20">
        <f>IF(Q1792&lt;&gt;0,3,IF(K1792="","",VLOOKUP(K1792,'#状态名词'!$J$1:$K$15,2,FALSE)))</f>
        <v>1</v>
      </c>
    </row>
    <row r="1793" spans="1:31">
      <c r="A1793" s="20">
        <v>50238</v>
      </c>
      <c r="B1793" s="20" t="s">
        <v>8000</v>
      </c>
      <c r="C1793" s="21" t="s">
        <v>8002</v>
      </c>
      <c r="F1793" s="20" t="s">
        <v>8896</v>
      </c>
      <c r="H1793" s="20">
        <v>25</v>
      </c>
      <c r="J1793" s="19"/>
      <c r="K1793" s="20">
        <v>5</v>
      </c>
      <c r="L1793" s="20">
        <v>100</v>
      </c>
      <c r="O1793" s="20">
        <v>1</v>
      </c>
      <c r="Q1793" s="20">
        <v>1</v>
      </c>
      <c r="R1793" s="20">
        <v>0</v>
      </c>
      <c r="S1793" s="20">
        <v>10</v>
      </c>
      <c r="W1793" s="20">
        <f>IF(Q1793&lt;&gt;0,3,IF(K1793="","",VLOOKUP(K1793,'#状态名词'!$J$1:$K$15,2,FALSE)))</f>
        <v>3</v>
      </c>
    </row>
    <row r="1794" spans="1:31">
      <c r="A1794" s="20">
        <v>50239</v>
      </c>
      <c r="B1794" s="20" t="s">
        <v>8003</v>
      </c>
      <c r="C1794" s="21" t="s">
        <v>8893</v>
      </c>
      <c r="F1794" s="20" t="s">
        <v>8897</v>
      </c>
      <c r="H1794" s="20">
        <v>15</v>
      </c>
      <c r="J1794" s="19"/>
      <c r="K1794" s="20">
        <v>5</v>
      </c>
      <c r="L1794" s="20">
        <v>80</v>
      </c>
      <c r="O1794" s="20">
        <v>0</v>
      </c>
      <c r="W1794" s="20">
        <f>IF(Q1794&lt;&gt;0,3,IF(K1794="","",VLOOKUP(K1794,'#状态名词'!$J$1:$K$15,2,FALSE)))</f>
        <v>1</v>
      </c>
    </row>
    <row r="1795" spans="1:31">
      <c r="A1795" s="20">
        <v>50240</v>
      </c>
      <c r="B1795" s="20" t="s">
        <v>8004</v>
      </c>
      <c r="C1795" s="21" t="s">
        <v>8005</v>
      </c>
      <c r="J1795" s="19"/>
      <c r="K1795" s="20">
        <v>6</v>
      </c>
      <c r="W1795" s="20">
        <f>IF(Q1795&lt;&gt;0,3,IF(K1795="","",VLOOKUP(K1795,'#状态名词'!$J$1:$K$15,2,FALSE)))</f>
        <v>3</v>
      </c>
      <c r="AA1795" s="20">
        <v>1</v>
      </c>
      <c r="AB1795" s="20">
        <v>50240</v>
      </c>
      <c r="AC1795" s="20">
        <v>100</v>
      </c>
      <c r="AD1795" s="20">
        <v>0</v>
      </c>
    </row>
    <row r="1796" spans="1:31">
      <c r="A1796" s="20">
        <v>50241</v>
      </c>
      <c r="B1796" s="20" t="s">
        <v>8006</v>
      </c>
      <c r="C1796" s="21" t="s">
        <v>8007</v>
      </c>
      <c r="F1796" s="20">
        <v>30002</v>
      </c>
      <c r="J1796" s="19"/>
      <c r="K1796" s="20">
        <v>9</v>
      </c>
      <c r="L1796" s="20">
        <v>40</v>
      </c>
      <c r="P1796" s="20">
        <v>3</v>
      </c>
      <c r="W1796" s="20">
        <f>IF(Q1796&lt;&gt;0,3,IF(K1796="","",VLOOKUP(K1796,'#状态名词'!$J$1:$K$15,2,FALSE)))</f>
        <v>3</v>
      </c>
    </row>
    <row r="1797" spans="1:31">
      <c r="A1797" s="20">
        <v>50242</v>
      </c>
      <c r="B1797" s="20" t="s">
        <v>8891</v>
      </c>
      <c r="C1797" s="21" t="s">
        <v>8892</v>
      </c>
      <c r="J1797" s="19"/>
      <c r="K1797" s="20">
        <v>6</v>
      </c>
      <c r="W1797" s="20">
        <f>IF(Q1797&lt;&gt;0,3,IF(K1797="","",VLOOKUP(K1797,'#状态名词'!$J$1:$K$15,2,FALSE)))</f>
        <v>3</v>
      </c>
      <c r="AA1797" s="20">
        <v>1</v>
      </c>
      <c r="AB1797" s="20">
        <v>50242</v>
      </c>
      <c r="AC1797" s="20">
        <v>100</v>
      </c>
      <c r="AD1797" s="20">
        <v>1</v>
      </c>
    </row>
    <row r="1798" spans="1:31">
      <c r="A1798" s="20">
        <v>50243</v>
      </c>
      <c r="B1798" s="20" t="s">
        <v>8903</v>
      </c>
      <c r="C1798" s="21" t="s">
        <v>8905</v>
      </c>
      <c r="F1798" s="20" t="s">
        <v>8906</v>
      </c>
      <c r="J1798" s="19"/>
      <c r="K1798" s="20">
        <v>5</v>
      </c>
      <c r="L1798" s="20">
        <v>60</v>
      </c>
      <c r="O1798" s="20">
        <v>0</v>
      </c>
      <c r="W1798" s="20">
        <f>IF(Q1798&lt;&gt;0,3,IF(K1798="","",VLOOKUP(K1798,'#状态名词'!$J$1:$K$15,2,FALSE)))</f>
        <v>1</v>
      </c>
    </row>
    <row r="1799" spans="1:31" ht="27">
      <c r="A1799" s="20">
        <v>50244</v>
      </c>
      <c r="B1799" s="20" t="s">
        <v>8904</v>
      </c>
      <c r="C1799" s="21" t="s">
        <v>8907</v>
      </c>
      <c r="F1799" s="20" t="s">
        <v>8906</v>
      </c>
      <c r="J1799" s="19"/>
      <c r="K1799" s="20">
        <v>5</v>
      </c>
      <c r="L1799" s="20">
        <v>40</v>
      </c>
      <c r="O1799" s="20">
        <v>0</v>
      </c>
      <c r="W1799" s="20">
        <f>IF(Q1799&lt;&gt;0,3,IF(K1799="","",VLOOKUP(K1799,'#状态名词'!$J$1:$K$15,2,FALSE)))</f>
        <v>1</v>
      </c>
      <c r="AA1799" s="20">
        <v>1</v>
      </c>
      <c r="AB1799" s="20">
        <v>12</v>
      </c>
      <c r="AC1799" s="20">
        <v>100</v>
      </c>
      <c r="AD1799" s="20">
        <v>0</v>
      </c>
      <c r="AE1799" s="20">
        <v>2</v>
      </c>
    </row>
    <row r="1800" spans="1:31">
      <c r="J1800" s="19"/>
      <c r="W1800" s="20" t="str">
        <f>IF(Q1800&lt;&gt;0,3,IF(K1800="","",VLOOKUP(K1800,'#状态名词'!$J$1:$K$15,2,FALSE)))</f>
        <v/>
      </c>
      <c r="AA1800" s="20">
        <v>1</v>
      </c>
      <c r="AB1800" s="20">
        <v>31</v>
      </c>
      <c r="AC1800" s="20">
        <v>100</v>
      </c>
      <c r="AD1800" s="20">
        <v>1</v>
      </c>
      <c r="AE1800" s="20">
        <v>5</v>
      </c>
    </row>
    <row r="1801" spans="1:31">
      <c r="A1801" s="20">
        <v>50245</v>
      </c>
      <c r="B1801" s="20" t="s">
        <v>8976</v>
      </c>
      <c r="C1801" s="21" t="s">
        <v>8977</v>
      </c>
      <c r="J1801" s="19"/>
      <c r="W1801" s="20" t="str">
        <f>IF(Q1801&lt;&gt;0,3,IF(K1801="","",VLOOKUP(K1801,'#状态名词'!$J$1:$K$15,2,FALSE)))</f>
        <v/>
      </c>
      <c r="AA1801" s="20">
        <v>1</v>
      </c>
      <c r="AB1801" s="20">
        <v>50245</v>
      </c>
      <c r="AC1801" s="20">
        <v>100</v>
      </c>
      <c r="AD1801" s="20">
        <v>0</v>
      </c>
    </row>
    <row r="1802" spans="1:31">
      <c r="A1802" s="31">
        <v>50801</v>
      </c>
      <c r="B1802" s="20" t="s">
        <v>5699</v>
      </c>
      <c r="C1802" s="21" t="s">
        <v>5700</v>
      </c>
      <c r="J1802" s="19"/>
      <c r="W1802" s="20" t="str">
        <f>IF(Q1802&lt;&gt;0,3,IF(K1802="","",VLOOKUP(K1802,'#状态名词'!$J$1:$K$15,2,FALSE)))</f>
        <v/>
      </c>
      <c r="AA1802" s="20">
        <v>1</v>
      </c>
      <c r="AB1802" s="20">
        <v>50801</v>
      </c>
      <c r="AC1802" s="20">
        <v>100</v>
      </c>
      <c r="AD1802" s="20">
        <v>0</v>
      </c>
    </row>
    <row r="1803" spans="1:31">
      <c r="A1803" s="31">
        <v>50802</v>
      </c>
      <c r="B1803" s="20" t="s">
        <v>5701</v>
      </c>
      <c r="C1803" s="21" t="s">
        <v>5702</v>
      </c>
      <c r="J1803" s="19"/>
      <c r="W1803" s="20" t="str">
        <f>IF(Q1803&lt;&gt;0,3,IF(K1803="","",VLOOKUP(K1803,'#状态名词'!$J$1:$K$15,2,FALSE)))</f>
        <v/>
      </c>
      <c r="AA1803" s="20">
        <v>1</v>
      </c>
      <c r="AB1803" s="20">
        <v>50802</v>
      </c>
      <c r="AC1803" s="20">
        <v>100</v>
      </c>
      <c r="AD1803" s="20">
        <v>0</v>
      </c>
    </row>
    <row r="1804" spans="1:31">
      <c r="A1804" s="31">
        <v>50803</v>
      </c>
      <c r="B1804" s="20" t="s">
        <v>5703</v>
      </c>
      <c r="C1804" s="21" t="s">
        <v>6443</v>
      </c>
      <c r="J1804" s="19"/>
      <c r="W1804" s="20" t="str">
        <f>IF(Q1804&lt;&gt;0,3,IF(K1804="","",VLOOKUP(K1804,'#状态名词'!$J$1:$K$15,2,FALSE)))</f>
        <v/>
      </c>
      <c r="AA1804" s="20">
        <v>1</v>
      </c>
      <c r="AB1804" s="20">
        <v>50803</v>
      </c>
      <c r="AC1804" s="20">
        <v>100</v>
      </c>
      <c r="AD1804" s="20">
        <v>0</v>
      </c>
    </row>
    <row r="1805" spans="1:31">
      <c r="A1805" s="31">
        <v>50804</v>
      </c>
      <c r="B1805" s="20" t="s">
        <v>5704</v>
      </c>
      <c r="C1805" s="21" t="s">
        <v>5705</v>
      </c>
      <c r="J1805" s="19"/>
      <c r="W1805" s="20" t="str">
        <f>IF(Q1805&lt;&gt;0,3,IF(K1805="","",VLOOKUP(K1805,'#状态名词'!$J$1:$K$15,2,FALSE)))</f>
        <v/>
      </c>
      <c r="AA1805" s="20">
        <v>1</v>
      </c>
      <c r="AB1805" s="20">
        <v>50804</v>
      </c>
      <c r="AC1805" s="20">
        <v>100</v>
      </c>
      <c r="AD1805" s="20">
        <v>0</v>
      </c>
    </row>
    <row r="1806" spans="1:31">
      <c r="A1806" s="31">
        <v>50805</v>
      </c>
      <c r="B1806" s="20" t="s">
        <v>5706</v>
      </c>
      <c r="C1806" s="21" t="s">
        <v>5707</v>
      </c>
      <c r="J1806" s="19"/>
      <c r="W1806" s="20" t="str">
        <f>IF(Q1806&lt;&gt;0,3,IF(K1806="","",VLOOKUP(K1806,'#状态名词'!$J$1:$K$15,2,FALSE)))</f>
        <v/>
      </c>
      <c r="AA1806" s="20">
        <v>1</v>
      </c>
      <c r="AB1806" s="20">
        <v>50805</v>
      </c>
      <c r="AC1806" s="20">
        <v>100</v>
      </c>
      <c r="AD1806" s="20">
        <v>0</v>
      </c>
    </row>
    <row r="1807" spans="1:31">
      <c r="A1807" s="31">
        <v>50806</v>
      </c>
      <c r="B1807" s="20" t="s">
        <v>5708</v>
      </c>
      <c r="C1807" s="21" t="s">
        <v>5709</v>
      </c>
      <c r="J1807" s="19"/>
      <c r="W1807" s="20" t="str">
        <f>IF(Q1807&lt;&gt;0,3,IF(K1807="","",VLOOKUP(K1807,'#状态名词'!$J$1:$K$15,2,FALSE)))</f>
        <v/>
      </c>
      <c r="AA1807" s="20">
        <v>1</v>
      </c>
      <c r="AB1807" s="20">
        <v>50806</v>
      </c>
      <c r="AC1807" s="20">
        <v>100</v>
      </c>
      <c r="AD1807" s="20">
        <v>0</v>
      </c>
    </row>
    <row r="1808" spans="1:31">
      <c r="A1808" s="20">
        <v>51001</v>
      </c>
      <c r="B1808" s="20" t="s">
        <v>5009</v>
      </c>
      <c r="C1808" s="21" t="s">
        <v>5010</v>
      </c>
      <c r="F1808" s="20" t="s">
        <v>5011</v>
      </c>
      <c r="H1808" s="20">
        <v>20</v>
      </c>
      <c r="J1808" s="20" t="s">
        <v>115</v>
      </c>
      <c r="K1808" s="20">
        <v>5</v>
      </c>
      <c r="L1808" s="20">
        <v>60</v>
      </c>
      <c r="O1808" s="20">
        <v>1</v>
      </c>
      <c r="W1808" s="20">
        <f>IF(Q1808&lt;&gt;0,3,IF(K1808="","",VLOOKUP(K1808,'#状态名词'!$J$1:$K$15,2,FALSE)))</f>
        <v>1</v>
      </c>
      <c r="AA1808" s="20">
        <v>1</v>
      </c>
    </row>
    <row r="1809" spans="1:31">
      <c r="A1809" s="20">
        <v>51002</v>
      </c>
      <c r="B1809" s="20" t="s">
        <v>5012</v>
      </c>
      <c r="C1809" s="21" t="s">
        <v>5013</v>
      </c>
      <c r="J1809" s="19"/>
      <c r="K1809" s="20">
        <v>6</v>
      </c>
      <c r="W1809" s="20">
        <f>IF(Q1809&lt;&gt;0,3,IF(K1809="","",VLOOKUP(K1809,'#状态名词'!$J$1:$K$15,2,FALSE)))</f>
        <v>3</v>
      </c>
      <c r="AA1809" s="20">
        <v>1</v>
      </c>
      <c r="AB1809" s="20">
        <v>51001</v>
      </c>
      <c r="AC1809" s="20">
        <v>100</v>
      </c>
      <c r="AD1809" s="20">
        <v>0</v>
      </c>
    </row>
    <row r="1810" spans="1:31">
      <c r="A1810" s="20">
        <v>51003</v>
      </c>
      <c r="B1810" s="20" t="s">
        <v>5014</v>
      </c>
      <c r="C1810" s="21" t="s">
        <v>5015</v>
      </c>
      <c r="F1810" s="20" t="s">
        <v>5016</v>
      </c>
      <c r="H1810" s="20">
        <v>20</v>
      </c>
      <c r="J1810" s="19" t="s">
        <v>115</v>
      </c>
      <c r="K1810" s="20">
        <v>5</v>
      </c>
      <c r="L1810" s="20">
        <v>40</v>
      </c>
      <c r="O1810" s="20">
        <v>1</v>
      </c>
      <c r="W1810" s="20">
        <f>IF(Q1810&lt;&gt;0,3,IF(K1810="","",VLOOKUP(K1810,'#状态名词'!$J$1:$K$15,2,FALSE)))</f>
        <v>1</v>
      </c>
    </row>
    <row r="1811" spans="1:31">
      <c r="A1811" s="20">
        <v>51004</v>
      </c>
      <c r="B1811" s="20" t="s">
        <v>5017</v>
      </c>
      <c r="C1811" s="21" t="s">
        <v>5018</v>
      </c>
      <c r="F1811" s="20" t="s">
        <v>5019</v>
      </c>
      <c r="H1811" s="20">
        <v>20</v>
      </c>
      <c r="J1811" s="20" t="s">
        <v>115</v>
      </c>
      <c r="K1811" s="20">
        <v>5</v>
      </c>
      <c r="L1811" s="20">
        <v>80</v>
      </c>
      <c r="O1811" s="20">
        <v>0</v>
      </c>
      <c r="W1811" s="20">
        <f>IF(Q1811&lt;&gt;0,3,IF(K1811="","",VLOOKUP(K1811,'#状态名词'!$J$1:$K$15,2,FALSE)))</f>
        <v>1</v>
      </c>
    </row>
    <row r="1812" spans="1:31">
      <c r="A1812" s="20">
        <v>51005</v>
      </c>
      <c r="B1812" s="20" t="s">
        <v>5020</v>
      </c>
      <c r="C1812" s="21" t="s">
        <v>2077</v>
      </c>
      <c r="J1812" s="19"/>
      <c r="Q1812" s="20">
        <v>3</v>
      </c>
      <c r="R1812" s="20">
        <v>1</v>
      </c>
      <c r="S1812" s="20">
        <v>50</v>
      </c>
      <c r="W1812" s="20">
        <f>IF(Q1812&lt;&gt;0,3,IF(K1812="","",VLOOKUP(K1812,'#状态名词'!$J$1:$K$15,2,FALSE)))</f>
        <v>3</v>
      </c>
      <c r="AA1812" s="20">
        <v>1</v>
      </c>
      <c r="AB1812" s="20">
        <v>51002</v>
      </c>
      <c r="AC1812" s="20">
        <v>100</v>
      </c>
      <c r="AD1812" s="20">
        <v>1</v>
      </c>
    </row>
    <row r="1813" spans="1:31">
      <c r="A1813" s="20">
        <v>51006</v>
      </c>
      <c r="B1813" s="20" t="s">
        <v>5021</v>
      </c>
      <c r="C1813" s="21" t="s">
        <v>5022</v>
      </c>
      <c r="J1813" s="19"/>
      <c r="K1813" s="20">
        <v>9</v>
      </c>
      <c r="W1813" s="20">
        <f>IF(Q1813&lt;&gt;0,3,IF(K1813="","",VLOOKUP(K1813,'#状态名词'!$J$1:$K$15,2,FALSE)))</f>
        <v>3</v>
      </c>
      <c r="AA1813" s="20">
        <v>1</v>
      </c>
      <c r="AB1813" s="20">
        <v>4</v>
      </c>
      <c r="AC1813" s="20">
        <v>25</v>
      </c>
      <c r="AD1813" s="20">
        <v>0</v>
      </c>
      <c r="AE1813" s="20">
        <v>1</v>
      </c>
    </row>
    <row r="1814" spans="1:31">
      <c r="A1814" s="20">
        <v>51007</v>
      </c>
      <c r="B1814" s="20" t="s">
        <v>4901</v>
      </c>
      <c r="C1814" s="21" t="s">
        <v>5023</v>
      </c>
      <c r="F1814" s="20" t="s">
        <v>4903</v>
      </c>
      <c r="H1814" s="20">
        <v>20</v>
      </c>
      <c r="J1814" s="19" t="s">
        <v>115</v>
      </c>
      <c r="K1814" s="20">
        <v>5</v>
      </c>
      <c r="L1814" s="20">
        <v>50</v>
      </c>
      <c r="O1814" s="20">
        <v>0</v>
      </c>
      <c r="W1814" s="20">
        <f>IF(Q1814&lt;&gt;0,3,IF(K1814="","",VLOOKUP(K1814,'#状态名词'!$J$1:$K$15,2,FALSE)))</f>
        <v>1</v>
      </c>
      <c r="AA1814" s="20">
        <v>1</v>
      </c>
      <c r="AB1814" s="20">
        <v>11</v>
      </c>
      <c r="AC1814" s="20">
        <v>100</v>
      </c>
      <c r="AD1814" s="20">
        <v>0</v>
      </c>
      <c r="AE1814" s="20">
        <v>1</v>
      </c>
    </row>
    <row r="1815" spans="1:31">
      <c r="A1815" s="20">
        <v>51008</v>
      </c>
      <c r="B1815" s="20" t="s">
        <v>4904</v>
      </c>
      <c r="C1815" s="21" t="s">
        <v>5024</v>
      </c>
      <c r="F1815" s="20" t="s">
        <v>4906</v>
      </c>
      <c r="H1815" s="20">
        <v>20</v>
      </c>
      <c r="J1815" s="20" t="s">
        <v>115</v>
      </c>
      <c r="K1815" s="20">
        <v>5</v>
      </c>
      <c r="L1815" s="20">
        <v>50</v>
      </c>
      <c r="O1815" s="20">
        <v>1</v>
      </c>
      <c r="W1815" s="20">
        <f>IF(Q1815&lt;&gt;0,3,IF(K1815="","",VLOOKUP(K1815,'#状态名词'!$J$1:$K$15,2,FALSE)))</f>
        <v>1</v>
      </c>
      <c r="AA1815" s="20">
        <v>1</v>
      </c>
      <c r="AB1815" s="20">
        <v>11</v>
      </c>
      <c r="AC1815" s="20">
        <v>100</v>
      </c>
      <c r="AD1815" s="20">
        <v>0</v>
      </c>
      <c r="AE1815" s="20">
        <v>1</v>
      </c>
    </row>
    <row r="1816" spans="1:31">
      <c r="A1816" s="20">
        <v>51009</v>
      </c>
      <c r="B1816" s="20" t="s">
        <v>5025</v>
      </c>
      <c r="C1816" s="21" t="s">
        <v>5026</v>
      </c>
      <c r="K1816" s="20">
        <v>6</v>
      </c>
      <c r="W1816" s="20">
        <f>IF(Q1816&lt;&gt;0,3,IF(K1816="","",VLOOKUP(K1816,'#状态名词'!$J$1:$K$15,2,FALSE)))</f>
        <v>3</v>
      </c>
      <c r="AA1816" s="20">
        <v>1</v>
      </c>
      <c r="AB1816" s="20">
        <v>51003</v>
      </c>
      <c r="AC1816" s="20">
        <v>100</v>
      </c>
      <c r="AD1816" s="20">
        <v>1</v>
      </c>
    </row>
    <row r="1817" spans="1:31">
      <c r="A1817" s="20">
        <v>51010</v>
      </c>
      <c r="B1817" s="20" t="s">
        <v>5027</v>
      </c>
      <c r="C1817" s="21" t="s">
        <v>5028</v>
      </c>
      <c r="K1817" s="20">
        <v>6</v>
      </c>
      <c r="W1817" s="20">
        <f>IF(Q1817&lt;&gt;0,3,IF(K1817="","",VLOOKUP(K1817,'#状态名词'!$J$1:$K$15,2,FALSE)))</f>
        <v>3</v>
      </c>
      <c r="AA1817" s="20">
        <v>1</v>
      </c>
      <c r="AB1817" s="20">
        <v>51004</v>
      </c>
      <c r="AC1817" s="20">
        <v>100</v>
      </c>
      <c r="AD1817" s="20">
        <v>1</v>
      </c>
    </row>
    <row r="1818" spans="1:31">
      <c r="A1818" s="20">
        <v>51011</v>
      </c>
      <c r="B1818" s="20" t="s">
        <v>5029</v>
      </c>
      <c r="C1818" s="21" t="s">
        <v>5030</v>
      </c>
      <c r="J1818" s="19"/>
      <c r="K1818" s="20">
        <v>6</v>
      </c>
      <c r="W1818" s="20">
        <f>IF(Q1818&lt;&gt;0,3,IF(K1818="","",VLOOKUP(K1818,'#状态名词'!$J$1:$K$15,2,FALSE)))</f>
        <v>3</v>
      </c>
      <c r="AA1818" s="20">
        <v>1</v>
      </c>
      <c r="AB1818" s="20">
        <v>34</v>
      </c>
      <c r="AC1818" s="20">
        <v>100</v>
      </c>
      <c r="AD1818" s="20">
        <v>1</v>
      </c>
    </row>
    <row r="1819" spans="1:31">
      <c r="A1819" s="20">
        <v>51012</v>
      </c>
      <c r="B1819" s="20" t="s">
        <v>5031</v>
      </c>
      <c r="C1819" s="21" t="s">
        <v>5032</v>
      </c>
      <c r="F1819" s="20" t="s">
        <v>4906</v>
      </c>
      <c r="H1819" s="20">
        <v>20</v>
      </c>
      <c r="J1819" s="20" t="s">
        <v>115</v>
      </c>
      <c r="K1819" s="20">
        <v>5</v>
      </c>
      <c r="L1819" s="20">
        <v>40</v>
      </c>
      <c r="O1819" s="20">
        <v>1</v>
      </c>
      <c r="W1819" s="20">
        <f>IF(Q1819&lt;&gt;0,3,IF(K1819="","",VLOOKUP(K1819,'#状态名词'!$J$1:$K$15,2,FALSE)))</f>
        <v>1</v>
      </c>
      <c r="AA1819" s="20">
        <v>1</v>
      </c>
      <c r="AB1819" s="20">
        <v>3</v>
      </c>
      <c r="AC1819" s="20">
        <v>100</v>
      </c>
      <c r="AD1819" s="20">
        <v>0</v>
      </c>
      <c r="AE1819" s="20">
        <v>1</v>
      </c>
    </row>
    <row r="1820" spans="1:31">
      <c r="A1820" s="20">
        <v>51013</v>
      </c>
      <c r="B1820" s="20" t="s">
        <v>5033</v>
      </c>
      <c r="C1820" s="21" t="s">
        <v>5034</v>
      </c>
      <c r="F1820" s="20" t="s">
        <v>5035</v>
      </c>
      <c r="H1820" s="20">
        <v>20</v>
      </c>
      <c r="J1820" s="19" t="s">
        <v>115</v>
      </c>
      <c r="K1820" s="20">
        <v>5</v>
      </c>
      <c r="L1820" s="20">
        <v>60</v>
      </c>
      <c r="O1820" s="20">
        <v>0</v>
      </c>
      <c r="W1820" s="20">
        <f>IF(Q1820&lt;&gt;0,3,IF(K1820="","",VLOOKUP(K1820,'#状态名词'!$J$1:$K$15,2,FALSE)))</f>
        <v>1</v>
      </c>
    </row>
    <row r="1821" spans="1:31">
      <c r="A1821" s="20">
        <v>51014</v>
      </c>
      <c r="B1821" s="20" t="s">
        <v>5036</v>
      </c>
      <c r="C1821" s="21" t="s">
        <v>5037</v>
      </c>
      <c r="K1821" s="20">
        <v>9</v>
      </c>
      <c r="W1821" s="20">
        <f>IF(Q1821&lt;&gt;0,3,IF(K1821="","",VLOOKUP(K1821,'#状态名词'!$J$1:$K$15,2,FALSE)))</f>
        <v>3</v>
      </c>
      <c r="AA1821" s="20">
        <v>1</v>
      </c>
      <c r="AB1821" s="20">
        <v>43</v>
      </c>
      <c r="AC1821" s="20">
        <v>20</v>
      </c>
      <c r="AD1821" s="20">
        <v>1</v>
      </c>
      <c r="AE1821" s="20">
        <v>1</v>
      </c>
    </row>
    <row r="1822" spans="1:31">
      <c r="A1822" s="20">
        <v>51015</v>
      </c>
      <c r="B1822" s="20" t="s">
        <v>5038</v>
      </c>
      <c r="C1822" s="21" t="s">
        <v>5039</v>
      </c>
      <c r="F1822" s="20" t="s">
        <v>5040</v>
      </c>
      <c r="H1822" s="20">
        <v>20</v>
      </c>
      <c r="J1822" s="19" t="s">
        <v>1525</v>
      </c>
      <c r="K1822" s="20">
        <v>5</v>
      </c>
      <c r="L1822" s="20">
        <v>50</v>
      </c>
      <c r="N1822" s="20">
        <v>2</v>
      </c>
      <c r="O1822" s="20">
        <v>0</v>
      </c>
      <c r="W1822" s="20">
        <f>IF(Q1822&lt;&gt;0,3,IF(K1822="","",VLOOKUP(K1822,'#状态名词'!$J$1:$K$15,2,FALSE)))</f>
        <v>1</v>
      </c>
    </row>
    <row r="1823" spans="1:31">
      <c r="A1823" s="20">
        <v>51016</v>
      </c>
      <c r="B1823" s="20" t="s">
        <v>174</v>
      </c>
      <c r="C1823" s="21" t="s">
        <v>5041</v>
      </c>
      <c r="F1823" s="20" t="s">
        <v>5042</v>
      </c>
      <c r="H1823" s="20">
        <v>20</v>
      </c>
      <c r="J1823" s="20" t="s">
        <v>109</v>
      </c>
      <c r="K1823" s="20">
        <v>5</v>
      </c>
      <c r="L1823" s="20">
        <v>50</v>
      </c>
      <c r="N1823" s="20">
        <v>1</v>
      </c>
      <c r="O1823" s="20">
        <v>1</v>
      </c>
      <c r="W1823" s="20">
        <f>IF(Q1823&lt;&gt;0,3,IF(K1823="","",VLOOKUP(K1823,'#状态名词'!$J$1:$K$15,2,FALSE)))</f>
        <v>1</v>
      </c>
    </row>
    <row r="1824" spans="1:31">
      <c r="A1824" s="20">
        <v>51017</v>
      </c>
      <c r="B1824" s="20" t="s">
        <v>5043</v>
      </c>
      <c r="C1824" s="21" t="s">
        <v>5044</v>
      </c>
      <c r="F1824" s="20" t="s">
        <v>5045</v>
      </c>
      <c r="H1824" s="20">
        <v>20</v>
      </c>
      <c r="J1824" s="19" t="s">
        <v>1525</v>
      </c>
      <c r="K1824" s="20">
        <v>5</v>
      </c>
      <c r="L1824" s="20">
        <v>75</v>
      </c>
      <c r="N1824" s="20">
        <v>2</v>
      </c>
      <c r="O1824" s="20">
        <v>1</v>
      </c>
      <c r="W1824" s="20">
        <f>IF(Q1824&lt;&gt;0,3,IF(K1824="","",VLOOKUP(K1824,'#状态名词'!$J$1:$K$15,2,FALSE)))</f>
        <v>1</v>
      </c>
    </row>
    <row r="1825" spans="1:30">
      <c r="A1825" s="20">
        <v>51018</v>
      </c>
      <c r="B1825" s="20" t="s">
        <v>5046</v>
      </c>
      <c r="C1825" s="21" t="s">
        <v>5047</v>
      </c>
      <c r="G1825" s="20">
        <v>51014</v>
      </c>
      <c r="K1825" s="20">
        <v>9</v>
      </c>
      <c r="W1825" s="20">
        <f>IF(Q1825&lt;&gt;0,3,IF(K1825="","",VLOOKUP(K1825,'#状态名词'!$J$1:$K$15,2,FALSE)))</f>
        <v>3</v>
      </c>
      <c r="AA1825" s="20">
        <v>1</v>
      </c>
      <c r="AB1825" s="20">
        <v>51005</v>
      </c>
      <c r="AC1825" s="20">
        <v>100</v>
      </c>
      <c r="AD1825" s="20">
        <v>1</v>
      </c>
    </row>
    <row r="1826" spans="1:30">
      <c r="A1826" s="20">
        <v>51019</v>
      </c>
      <c r="B1826" s="20" t="s">
        <v>5046</v>
      </c>
      <c r="C1826" s="21" t="s">
        <v>5047</v>
      </c>
      <c r="G1826" s="20">
        <v>51015</v>
      </c>
      <c r="K1826" s="20">
        <v>9</v>
      </c>
      <c r="W1826" s="20">
        <f>IF(Q1826&lt;&gt;0,3,IF(K1826="","",VLOOKUP(K1826,'#状态名词'!$J$1:$K$15,2,FALSE)))</f>
        <v>3</v>
      </c>
      <c r="AA1826" s="20">
        <v>1</v>
      </c>
      <c r="AB1826" s="20">
        <v>51016</v>
      </c>
      <c r="AC1826" s="20">
        <v>100</v>
      </c>
      <c r="AD1826" s="20">
        <v>1</v>
      </c>
    </row>
    <row r="1827" spans="1:30">
      <c r="A1827" s="20">
        <v>51020</v>
      </c>
      <c r="B1827" s="20" t="s">
        <v>5048</v>
      </c>
      <c r="C1827" s="21" t="s">
        <v>5049</v>
      </c>
      <c r="J1827" s="19"/>
      <c r="W1827" s="20" t="str">
        <f>IF(Q1827&lt;&gt;0,3,IF(K1827="","",VLOOKUP(K1827,'#状态名词'!$J$1:$K$15,2,FALSE)))</f>
        <v/>
      </c>
      <c r="AA1827" s="20">
        <v>1</v>
      </c>
      <c r="AB1827" s="20">
        <v>51006</v>
      </c>
      <c r="AC1827" s="20">
        <v>100</v>
      </c>
      <c r="AD1827" s="20">
        <v>1</v>
      </c>
    </row>
    <row r="1828" spans="1:30">
      <c r="A1828" s="20">
        <v>51021</v>
      </c>
      <c r="B1828" s="20" t="s">
        <v>5050</v>
      </c>
      <c r="C1828" s="21" t="s">
        <v>5051</v>
      </c>
      <c r="F1828" s="20" t="s">
        <v>5052</v>
      </c>
      <c r="H1828" s="20">
        <v>20</v>
      </c>
      <c r="J1828" s="20" t="s">
        <v>115</v>
      </c>
      <c r="K1828" s="20">
        <v>5</v>
      </c>
      <c r="L1828" s="20">
        <v>60</v>
      </c>
      <c r="N1828" s="20">
        <v>4</v>
      </c>
      <c r="O1828" s="20">
        <v>1</v>
      </c>
      <c r="W1828" s="20">
        <f>IF(Q1828&lt;&gt;0,3,IF(K1828="","",VLOOKUP(K1828,'#状态名词'!$J$1:$K$15,2,FALSE)))</f>
        <v>1</v>
      </c>
    </row>
    <row r="1829" spans="1:30">
      <c r="A1829" s="20">
        <v>51022</v>
      </c>
      <c r="B1829" s="20" t="s">
        <v>5053</v>
      </c>
      <c r="C1829" s="21" t="s">
        <v>5054</v>
      </c>
      <c r="K1829" s="20">
        <v>6</v>
      </c>
      <c r="W1829" s="20">
        <f>IF(Q1829&lt;&gt;0,3,IF(K1829="","",VLOOKUP(K1829,'#状态名词'!$J$1:$K$15,2,FALSE)))</f>
        <v>3</v>
      </c>
      <c r="AA1829" s="20">
        <v>1</v>
      </c>
      <c r="AB1829" s="20">
        <v>51007</v>
      </c>
      <c r="AC1829" s="20">
        <v>100</v>
      </c>
      <c r="AD1829" s="20">
        <v>1</v>
      </c>
    </row>
    <row r="1830" spans="1:30">
      <c r="A1830" s="20">
        <v>51023</v>
      </c>
      <c r="B1830" s="20" t="s">
        <v>5055</v>
      </c>
      <c r="C1830" s="21" t="s">
        <v>5056</v>
      </c>
      <c r="F1830" s="20" t="s">
        <v>5052</v>
      </c>
      <c r="H1830" s="20">
        <v>20</v>
      </c>
      <c r="J1830" s="19" t="s">
        <v>115</v>
      </c>
      <c r="K1830" s="20">
        <v>5</v>
      </c>
      <c r="L1830" s="20">
        <v>30</v>
      </c>
      <c r="N1830" s="20">
        <v>3</v>
      </c>
      <c r="O1830" s="20">
        <v>1</v>
      </c>
      <c r="W1830" s="20">
        <f>IF(Q1830&lt;&gt;0,3,IF(K1830="","",VLOOKUP(K1830,'#状态名词'!$J$1:$K$15,2,FALSE)))</f>
        <v>1</v>
      </c>
    </row>
    <row r="1831" spans="1:30">
      <c r="A1831" s="20">
        <v>51024</v>
      </c>
      <c r="B1831" s="20" t="s">
        <v>5057</v>
      </c>
      <c r="C1831" s="21" t="s">
        <v>5058</v>
      </c>
      <c r="K1831" s="20">
        <v>6</v>
      </c>
      <c r="W1831" s="20">
        <f>IF(Q1831&lt;&gt;0,3,IF(K1831="","",VLOOKUP(K1831,'#状态名词'!$J$1:$K$15,2,FALSE)))</f>
        <v>3</v>
      </c>
      <c r="AA1831" s="20">
        <v>1</v>
      </c>
      <c r="AB1831" s="20">
        <v>51008</v>
      </c>
      <c r="AC1831" s="20">
        <v>100</v>
      </c>
      <c r="AD1831" s="20">
        <v>1</v>
      </c>
    </row>
    <row r="1832" spans="1:30">
      <c r="A1832" s="20">
        <v>51025</v>
      </c>
      <c r="B1832" s="20" t="s">
        <v>5059</v>
      </c>
      <c r="C1832" s="21" t="s">
        <v>5060</v>
      </c>
      <c r="F1832" s="20" t="s">
        <v>5061</v>
      </c>
      <c r="H1832" s="20">
        <v>20</v>
      </c>
      <c r="J1832" s="20" t="s">
        <v>115</v>
      </c>
      <c r="K1832" s="20">
        <v>5</v>
      </c>
      <c r="L1832" s="20">
        <v>70</v>
      </c>
      <c r="O1832" s="20">
        <v>0</v>
      </c>
      <c r="W1832" s="20">
        <f>IF(Q1832&lt;&gt;0,3,IF(K1832="","",VLOOKUP(K1832,'#状态名词'!$J$1:$K$15,2,FALSE)))</f>
        <v>1</v>
      </c>
    </row>
    <row r="1833" spans="1:30">
      <c r="A1833" s="20">
        <v>51026</v>
      </c>
      <c r="B1833" s="20" t="s">
        <v>5062</v>
      </c>
      <c r="C1833" s="21" t="s">
        <v>5063</v>
      </c>
      <c r="J1833" s="19"/>
      <c r="W1833" s="20" t="str">
        <f>IF(Q1833&lt;&gt;0,3,IF(K1833="","",VLOOKUP(K1833,'#状态名词'!$J$1:$K$15,2,FALSE)))</f>
        <v/>
      </c>
      <c r="AA1833" s="20">
        <v>1</v>
      </c>
      <c r="AB1833" s="20">
        <v>51009</v>
      </c>
      <c r="AC1833" s="20">
        <v>100</v>
      </c>
      <c r="AD1833" s="20">
        <v>0</v>
      </c>
    </row>
    <row r="1834" spans="1:30">
      <c r="A1834" s="20">
        <v>51027</v>
      </c>
      <c r="B1834" s="20" t="s">
        <v>5064</v>
      </c>
      <c r="C1834" s="21" t="s">
        <v>5065</v>
      </c>
      <c r="F1834" s="20" t="s">
        <v>5066</v>
      </c>
      <c r="H1834" s="20">
        <v>20</v>
      </c>
      <c r="J1834" s="19" t="s">
        <v>115</v>
      </c>
      <c r="K1834" s="20">
        <v>5</v>
      </c>
      <c r="L1834" s="20">
        <v>70</v>
      </c>
      <c r="O1834" s="20">
        <v>0</v>
      </c>
      <c r="W1834" s="20">
        <f>IF(Q1834&lt;&gt;0,3,IF(K1834="","",VLOOKUP(K1834,'#状态名词'!$J$1:$K$15,2,FALSE)))</f>
        <v>1</v>
      </c>
    </row>
    <row r="1835" spans="1:30">
      <c r="A1835" s="20">
        <v>51028</v>
      </c>
      <c r="B1835" s="20" t="s">
        <v>5067</v>
      </c>
      <c r="C1835" s="21" t="s">
        <v>5068</v>
      </c>
      <c r="J1835" s="19"/>
      <c r="K1835" s="20">
        <v>9</v>
      </c>
      <c r="W1835" s="20">
        <f>IF(Q1835&lt;&gt;0,3,IF(K1835="","",VLOOKUP(K1835,'#状态名词'!$J$1:$K$15,2,FALSE)))</f>
        <v>3</v>
      </c>
      <c r="AA1835" s="20">
        <v>1</v>
      </c>
      <c r="AB1835" s="20">
        <v>51010</v>
      </c>
      <c r="AC1835" s="20">
        <v>100</v>
      </c>
      <c r="AD1835" s="20">
        <v>1</v>
      </c>
    </row>
    <row r="1836" spans="1:30">
      <c r="A1836" s="20">
        <v>51029</v>
      </c>
      <c r="B1836" s="20" t="s">
        <v>5069</v>
      </c>
      <c r="C1836" s="21" t="s">
        <v>5070</v>
      </c>
      <c r="K1836" s="20">
        <v>9</v>
      </c>
      <c r="W1836" s="20">
        <f>IF(Q1836&lt;&gt;0,3,IF(K1836="","",VLOOKUP(K1836,'#状态名词'!$J$1:$K$15,2,FALSE)))</f>
        <v>3</v>
      </c>
      <c r="AA1836" s="20">
        <v>1</v>
      </c>
      <c r="AB1836" s="20">
        <v>51011</v>
      </c>
      <c r="AC1836" s="20">
        <v>100</v>
      </c>
      <c r="AD1836" s="20">
        <v>1</v>
      </c>
    </row>
    <row r="1837" spans="1:30">
      <c r="A1837" s="20">
        <v>51030</v>
      </c>
      <c r="B1837" s="20" t="s">
        <v>5071</v>
      </c>
      <c r="C1837" s="21" t="s">
        <v>5072</v>
      </c>
      <c r="F1837" s="20" t="s">
        <v>5073</v>
      </c>
      <c r="H1837" s="20">
        <v>20</v>
      </c>
      <c r="J1837" s="20" t="s">
        <v>1526</v>
      </c>
      <c r="K1837" s="20">
        <v>5</v>
      </c>
      <c r="L1837" s="20">
        <v>70</v>
      </c>
      <c r="O1837" s="20">
        <v>0</v>
      </c>
      <c r="W1837" s="20">
        <f>IF(Q1837&lt;&gt;0,3,IF(K1837="","",VLOOKUP(K1837,'#状态名词'!$J$1:$K$15,2,FALSE)))</f>
        <v>1</v>
      </c>
    </row>
    <row r="1838" spans="1:30">
      <c r="A1838" s="20">
        <v>51031</v>
      </c>
      <c r="B1838" s="20" t="s">
        <v>5074</v>
      </c>
      <c r="C1838" s="21" t="s">
        <v>5075</v>
      </c>
      <c r="J1838" s="19"/>
      <c r="K1838" s="20">
        <v>9</v>
      </c>
      <c r="W1838" s="20">
        <f>IF(Q1838&lt;&gt;0,3,IF(K1838="","",VLOOKUP(K1838,'#状态名词'!$J$1:$K$15,2,FALSE)))</f>
        <v>3</v>
      </c>
      <c r="AA1838" s="20">
        <v>1</v>
      </c>
      <c r="AB1838" s="20">
        <v>51012</v>
      </c>
      <c r="AC1838" s="20">
        <v>100</v>
      </c>
      <c r="AD1838" s="20">
        <v>0</v>
      </c>
    </row>
    <row r="1839" spans="1:30">
      <c r="A1839" s="20">
        <v>51032</v>
      </c>
      <c r="B1839" s="20" t="s">
        <v>5076</v>
      </c>
      <c r="C1839" s="21" t="s">
        <v>5077</v>
      </c>
      <c r="J1839" s="19"/>
      <c r="K1839" s="20">
        <v>9</v>
      </c>
      <c r="W1839" s="20">
        <f>IF(Q1839&lt;&gt;0,3,IF(K1839="","",VLOOKUP(K1839,'#状态名词'!$J$1:$K$15,2,FALSE)))</f>
        <v>3</v>
      </c>
      <c r="AA1839" s="20">
        <v>1</v>
      </c>
      <c r="AB1839" s="20">
        <v>51013</v>
      </c>
      <c r="AC1839" s="20">
        <v>100</v>
      </c>
      <c r="AD1839" s="20">
        <v>1</v>
      </c>
    </row>
    <row r="1840" spans="1:30">
      <c r="A1840" s="20">
        <v>51033</v>
      </c>
      <c r="B1840" s="20" t="s">
        <v>5078</v>
      </c>
      <c r="C1840" s="21" t="s">
        <v>5079</v>
      </c>
      <c r="F1840" s="20" t="s">
        <v>5080</v>
      </c>
      <c r="H1840" s="20">
        <v>20</v>
      </c>
      <c r="J1840" s="19" t="s">
        <v>115</v>
      </c>
      <c r="K1840" s="20">
        <v>5</v>
      </c>
      <c r="L1840" s="20">
        <v>85</v>
      </c>
      <c r="O1840" s="20">
        <v>1</v>
      </c>
      <c r="W1840" s="20">
        <f>IF(Q1840&lt;&gt;0,3,IF(K1840="","",VLOOKUP(K1840,'#状态名词'!$J$1:$K$15,2,FALSE)))</f>
        <v>1</v>
      </c>
    </row>
    <row r="1841" spans="1:31">
      <c r="A1841" s="20">
        <v>51034</v>
      </c>
      <c r="B1841" s="20" t="s">
        <v>5081</v>
      </c>
      <c r="C1841" s="21" t="s">
        <v>5082</v>
      </c>
      <c r="J1841" s="19"/>
      <c r="W1841" s="20" t="str">
        <f>IF(Q1841&lt;&gt;0,3,IF(K1841="","",VLOOKUP(K1841,'#状态名词'!$J$1:$K$15,2,FALSE)))</f>
        <v/>
      </c>
      <c r="AA1841" s="20">
        <v>1</v>
      </c>
      <c r="AB1841" s="20">
        <v>51014</v>
      </c>
      <c r="AC1841" s="20">
        <v>100</v>
      </c>
      <c r="AD1841" s="20">
        <v>1</v>
      </c>
    </row>
    <row r="1842" spans="1:31">
      <c r="A1842" s="20">
        <v>51035</v>
      </c>
      <c r="B1842" s="20" t="s">
        <v>5083</v>
      </c>
      <c r="C1842" s="21" t="s">
        <v>5084</v>
      </c>
      <c r="J1842" s="19"/>
      <c r="K1842" s="20">
        <v>9</v>
      </c>
      <c r="W1842" s="20">
        <f>IF(Q1842&lt;&gt;0,3,IF(K1842="","",VLOOKUP(K1842,'#状态名词'!$J$1:$K$15,2,FALSE)))</f>
        <v>3</v>
      </c>
      <c r="AA1842" s="20">
        <v>1</v>
      </c>
      <c r="AB1842" s="20">
        <v>51015</v>
      </c>
      <c r="AC1842" s="20">
        <v>100</v>
      </c>
      <c r="AD1842" s="20">
        <v>1</v>
      </c>
    </row>
    <row r="1843" spans="1:31">
      <c r="A1843" s="20">
        <v>51036</v>
      </c>
      <c r="B1843" s="20" t="s">
        <v>5085</v>
      </c>
      <c r="C1843" s="21" t="s">
        <v>5086</v>
      </c>
      <c r="K1843" s="20">
        <v>9</v>
      </c>
      <c r="W1843" s="20">
        <f>IF(Q1843&lt;&gt;0,3,IF(K1843="","",VLOOKUP(K1843,'#状态名词'!$J$1:$K$15,2,FALSE)))</f>
        <v>3</v>
      </c>
      <c r="AA1843" s="20">
        <v>1</v>
      </c>
      <c r="AB1843" s="20">
        <v>43</v>
      </c>
      <c r="AC1843" s="20">
        <v>50</v>
      </c>
      <c r="AD1843" s="20">
        <v>1</v>
      </c>
      <c r="AE1843" s="20">
        <v>2</v>
      </c>
    </row>
    <row r="1844" spans="1:31">
      <c r="A1844" s="20">
        <v>51037</v>
      </c>
      <c r="B1844" s="20" t="s">
        <v>5087</v>
      </c>
      <c r="C1844" s="21" t="s">
        <v>5088</v>
      </c>
      <c r="F1844" s="20" t="s">
        <v>5089</v>
      </c>
      <c r="H1844" s="20">
        <v>25</v>
      </c>
      <c r="J1844" s="20" t="s">
        <v>115</v>
      </c>
      <c r="K1844" s="20">
        <v>5</v>
      </c>
      <c r="L1844" s="20">
        <v>60</v>
      </c>
      <c r="N1844" s="20">
        <v>1</v>
      </c>
      <c r="O1844" s="20">
        <v>1</v>
      </c>
      <c r="W1844" s="20">
        <f>IF(Q1844&lt;&gt;0,3,IF(K1844="","",VLOOKUP(K1844,'#状态名词'!$J$1:$K$15,2,FALSE)))</f>
        <v>1</v>
      </c>
      <c r="AA1844" s="20">
        <v>1</v>
      </c>
      <c r="AB1844" s="20">
        <v>3</v>
      </c>
      <c r="AC1844" s="20">
        <v>100</v>
      </c>
      <c r="AD1844" s="20">
        <v>1</v>
      </c>
      <c r="AE1844" s="20">
        <v>3</v>
      </c>
    </row>
    <row r="1845" spans="1:31" ht="27">
      <c r="A1845" s="20">
        <v>51038</v>
      </c>
      <c r="B1845" s="20" t="s">
        <v>5090</v>
      </c>
      <c r="C1845" s="21" t="s">
        <v>5091</v>
      </c>
      <c r="F1845" s="20" t="s">
        <v>5092</v>
      </c>
      <c r="H1845" s="20">
        <v>20</v>
      </c>
      <c r="J1845" s="20" t="s">
        <v>115</v>
      </c>
      <c r="K1845" s="20">
        <v>5</v>
      </c>
      <c r="L1845" s="20">
        <v>30</v>
      </c>
      <c r="O1845" s="20">
        <v>0</v>
      </c>
      <c r="W1845" s="20">
        <f>IF(Q1845&lt;&gt;0,3,IF(K1845="","",VLOOKUP(K1845,'#状态名词'!$J$1:$K$15,2,FALSE)))</f>
        <v>1</v>
      </c>
      <c r="AA1845" s="20">
        <v>1</v>
      </c>
      <c r="AB1845" s="20">
        <v>12</v>
      </c>
      <c r="AC1845" s="20">
        <v>100</v>
      </c>
      <c r="AD1845" s="20">
        <v>0</v>
      </c>
      <c r="AE1845" s="20">
        <v>3</v>
      </c>
    </row>
    <row r="1846" spans="1:31">
      <c r="W1846" s="20" t="str">
        <f>IF(Q1846&lt;&gt;0,3,IF(K1846="","",VLOOKUP(K1846,'#状态名词'!$J$1:$K$15,2,FALSE)))</f>
        <v/>
      </c>
      <c r="AA1846" s="20">
        <v>1</v>
      </c>
      <c r="AB1846" s="20">
        <v>4</v>
      </c>
      <c r="AC1846" s="20">
        <v>100</v>
      </c>
      <c r="AD1846" s="20">
        <v>0</v>
      </c>
      <c r="AE1846" s="20">
        <v>3</v>
      </c>
    </row>
    <row r="1847" spans="1:31">
      <c r="W1847" s="20" t="str">
        <f>IF(Q1847&lt;&gt;0,3,IF(K1847="","",VLOOKUP(K1847,'#状态名词'!$J$1:$K$15,2,FALSE)))</f>
        <v/>
      </c>
      <c r="AA1847" s="20">
        <v>1</v>
      </c>
      <c r="AB1847" s="20">
        <v>22</v>
      </c>
      <c r="AC1847" s="20">
        <v>100</v>
      </c>
      <c r="AD1847" s="20">
        <v>0</v>
      </c>
      <c r="AE1847" s="20">
        <v>3</v>
      </c>
    </row>
    <row r="1848" spans="1:31" ht="27">
      <c r="A1848" s="20">
        <v>51039</v>
      </c>
      <c r="B1848" s="20" t="s">
        <v>2501</v>
      </c>
      <c r="C1848" s="21" t="s">
        <v>7940</v>
      </c>
      <c r="F1848" s="20" t="s">
        <v>5073</v>
      </c>
      <c r="H1848" s="20">
        <v>25</v>
      </c>
      <c r="J1848" s="20" t="s">
        <v>114</v>
      </c>
      <c r="K1848" s="20">
        <v>5</v>
      </c>
      <c r="L1848" s="20">
        <v>60</v>
      </c>
      <c r="N1848" s="20">
        <v>2</v>
      </c>
      <c r="O1848" s="20">
        <v>0</v>
      </c>
      <c r="W1848" s="20">
        <f>IF(Q1848&lt;&gt;0,3,IF(K1848="","",VLOOKUP(K1848,'#状态名词'!$J$1:$K$15,2,FALSE)))</f>
        <v>1</v>
      </c>
      <c r="AA1848" s="20">
        <v>1</v>
      </c>
      <c r="AB1848" s="20">
        <v>51016</v>
      </c>
      <c r="AC1848" s="20">
        <v>100</v>
      </c>
      <c r="AD1848" s="20">
        <v>0</v>
      </c>
    </row>
    <row r="1849" spans="1:31" ht="27">
      <c r="A1849" s="20">
        <v>51040</v>
      </c>
      <c r="B1849" s="20" t="s">
        <v>5093</v>
      </c>
      <c r="C1849" s="21" t="s">
        <v>5094</v>
      </c>
      <c r="F1849" s="20" t="s">
        <v>5073</v>
      </c>
      <c r="H1849" s="20">
        <v>25</v>
      </c>
      <c r="J1849" s="20" t="s">
        <v>1475</v>
      </c>
      <c r="K1849" s="20">
        <v>5</v>
      </c>
      <c r="L1849" s="20">
        <v>60</v>
      </c>
      <c r="N1849" s="20">
        <v>1</v>
      </c>
      <c r="O1849" s="20">
        <v>1</v>
      </c>
      <c r="W1849" s="20">
        <f>IF(Q1849&lt;&gt;0,3,IF(K1849="","",VLOOKUP(K1849,'#状态名词'!$J$1:$K$15,2,FALSE)))</f>
        <v>1</v>
      </c>
      <c r="AA1849" s="20">
        <v>1</v>
      </c>
      <c r="AB1849" s="20">
        <v>51017</v>
      </c>
      <c r="AC1849" s="20">
        <v>100</v>
      </c>
      <c r="AD1849" s="20">
        <v>1</v>
      </c>
    </row>
    <row r="1850" spans="1:31" ht="27">
      <c r="A1850" s="20">
        <v>51041</v>
      </c>
      <c r="B1850" s="20" t="s">
        <v>5095</v>
      </c>
      <c r="C1850" s="21" t="s">
        <v>5096</v>
      </c>
      <c r="F1850" s="20" t="s">
        <v>5073</v>
      </c>
      <c r="H1850" s="20">
        <v>25</v>
      </c>
      <c r="J1850" s="20" t="s">
        <v>1502</v>
      </c>
      <c r="K1850" s="20">
        <v>5</v>
      </c>
      <c r="L1850" s="20">
        <v>60</v>
      </c>
      <c r="N1850" s="20">
        <v>4</v>
      </c>
      <c r="O1850" s="20">
        <v>0</v>
      </c>
      <c r="W1850" s="20">
        <f>IF(Q1850&lt;&gt;0,3,IF(K1850="","",VLOOKUP(K1850,'#状态名词'!$J$1:$K$15,2,FALSE)))</f>
        <v>1</v>
      </c>
      <c r="AA1850" s="20">
        <v>1</v>
      </c>
      <c r="AB1850" s="20">
        <v>51018</v>
      </c>
      <c r="AC1850" s="20">
        <v>100</v>
      </c>
      <c r="AD1850" s="20">
        <v>1</v>
      </c>
    </row>
    <row r="1851" spans="1:31">
      <c r="A1851" s="20">
        <v>51042</v>
      </c>
      <c r="B1851" s="20" t="s">
        <v>5097</v>
      </c>
      <c r="C1851" s="21" t="s">
        <v>5098</v>
      </c>
      <c r="F1851" s="20" t="s">
        <v>5099</v>
      </c>
      <c r="H1851" s="20">
        <v>25</v>
      </c>
      <c r="J1851" s="20" t="s">
        <v>1527</v>
      </c>
      <c r="K1851" s="20">
        <v>5</v>
      </c>
      <c r="L1851" s="20">
        <v>70</v>
      </c>
      <c r="O1851" s="20">
        <v>0</v>
      </c>
      <c r="U1851" s="20">
        <v>40</v>
      </c>
      <c r="W1851" s="20">
        <f>IF(Q1851&lt;&gt;0,3,IF(K1851="","",VLOOKUP(K1851,'#状态名词'!$J$1:$K$15,2,FALSE)))</f>
        <v>1</v>
      </c>
      <c r="AA1851" s="20">
        <v>1</v>
      </c>
      <c r="AB1851" s="20">
        <v>43</v>
      </c>
      <c r="AC1851" s="20">
        <v>100</v>
      </c>
      <c r="AD1851" s="20">
        <v>1</v>
      </c>
      <c r="AE1851" s="20">
        <v>2</v>
      </c>
    </row>
    <row r="1852" spans="1:31" ht="27">
      <c r="A1852" s="20">
        <v>51043</v>
      </c>
      <c r="B1852" s="20" t="s">
        <v>5100</v>
      </c>
      <c r="C1852" s="21" t="s">
        <v>5101</v>
      </c>
      <c r="F1852" s="20" t="s">
        <v>5073</v>
      </c>
      <c r="H1852" s="20">
        <v>25</v>
      </c>
      <c r="J1852" s="20" t="s">
        <v>1514</v>
      </c>
      <c r="K1852" s="20">
        <v>5</v>
      </c>
      <c r="L1852" s="20">
        <v>60</v>
      </c>
      <c r="N1852" s="20">
        <v>4</v>
      </c>
      <c r="O1852" s="20">
        <v>1</v>
      </c>
      <c r="W1852" s="20">
        <f>IF(Q1852&lt;&gt;0,3,IF(K1852="","",VLOOKUP(K1852,'#状态名词'!$J$1:$K$15,2,FALSE)))</f>
        <v>1</v>
      </c>
      <c r="AA1852" s="20">
        <v>1</v>
      </c>
      <c r="AB1852" s="20">
        <v>21</v>
      </c>
      <c r="AC1852" s="20">
        <v>25</v>
      </c>
      <c r="AD1852" s="20">
        <v>0</v>
      </c>
      <c r="AE1852" s="20">
        <v>1</v>
      </c>
    </row>
    <row r="1853" spans="1:31">
      <c r="W1853" s="20" t="str">
        <f>IF(Q1853&lt;&gt;0,3,IF(K1853="","",VLOOKUP(K1853,'#状态名词'!$J$1:$K$15,2,FALSE)))</f>
        <v/>
      </c>
      <c r="AA1853" s="20">
        <v>1</v>
      </c>
      <c r="AB1853" s="20">
        <v>23</v>
      </c>
      <c r="AC1853" s="20">
        <v>25</v>
      </c>
      <c r="AD1853" s="20">
        <v>0</v>
      </c>
      <c r="AE1853" s="20">
        <v>1</v>
      </c>
    </row>
    <row r="1854" spans="1:31">
      <c r="A1854" s="20">
        <v>70001</v>
      </c>
      <c r="B1854" s="20" t="s">
        <v>5102</v>
      </c>
      <c r="C1854" s="21" t="s">
        <v>5103</v>
      </c>
      <c r="F1854" s="20" t="s">
        <v>5104</v>
      </c>
      <c r="H1854" s="20">
        <v>25</v>
      </c>
      <c r="J1854" s="20" t="s">
        <v>111</v>
      </c>
      <c r="K1854" s="20">
        <v>5</v>
      </c>
      <c r="L1854" s="20">
        <v>70</v>
      </c>
      <c r="O1854" s="20">
        <v>0</v>
      </c>
      <c r="W1854" s="20">
        <f>IF(Q1854&lt;&gt;0,3,IF(K1854="","",VLOOKUP(K1854,'#状态名词'!$J$1:$K$15,2,FALSE)))</f>
        <v>1</v>
      </c>
    </row>
    <row r="1855" spans="1:31">
      <c r="A1855" s="20">
        <v>70002</v>
      </c>
      <c r="B1855" s="20" t="s">
        <v>5105</v>
      </c>
      <c r="C1855" s="21" t="s">
        <v>5106</v>
      </c>
      <c r="F1855" s="20" t="s">
        <v>5107</v>
      </c>
      <c r="H1855" s="20">
        <v>25</v>
      </c>
      <c r="J1855" s="20" t="s">
        <v>119</v>
      </c>
      <c r="K1855" s="20">
        <v>5</v>
      </c>
      <c r="L1855" s="20">
        <v>50</v>
      </c>
      <c r="O1855" s="20">
        <v>0</v>
      </c>
      <c r="W1855" s="20">
        <f>IF(Q1855&lt;&gt;0,3,IF(K1855="","",VLOOKUP(K1855,'#状态名词'!$J$1:$K$15,2,FALSE)))</f>
        <v>1</v>
      </c>
    </row>
    <row r="1856" spans="1:31">
      <c r="A1856" s="20">
        <v>70003</v>
      </c>
      <c r="B1856" s="20" t="s">
        <v>5108</v>
      </c>
      <c r="C1856" s="21" t="s">
        <v>5109</v>
      </c>
      <c r="F1856" s="20" t="s">
        <v>5110</v>
      </c>
      <c r="H1856" s="20">
        <v>25</v>
      </c>
      <c r="J1856" s="20" t="s">
        <v>125</v>
      </c>
      <c r="K1856" s="20">
        <v>5</v>
      </c>
      <c r="L1856" s="20">
        <v>40</v>
      </c>
      <c r="O1856" s="20">
        <v>0</v>
      </c>
      <c r="W1856" s="20">
        <f>IF(Q1856&lt;&gt;0,3,IF(K1856="","",VLOOKUP(K1856,'#状态名词'!$J$1:$K$15,2,FALSE)))</f>
        <v>1</v>
      </c>
    </row>
    <row r="1857" spans="1:30">
      <c r="A1857" s="20">
        <v>70004</v>
      </c>
      <c r="B1857" s="20" t="s">
        <v>101</v>
      </c>
      <c r="C1857" s="21" t="s">
        <v>5111</v>
      </c>
      <c r="F1857" s="20" t="s">
        <v>5112</v>
      </c>
      <c r="H1857" s="20">
        <v>25</v>
      </c>
      <c r="J1857" s="20" t="s">
        <v>119</v>
      </c>
      <c r="K1857" s="20">
        <v>5</v>
      </c>
      <c r="L1857" s="20">
        <v>65</v>
      </c>
      <c r="O1857" s="20">
        <v>0</v>
      </c>
      <c r="W1857" s="20">
        <f>IF(Q1857&lt;&gt;0,3,IF(K1857="","",VLOOKUP(K1857,'#状态名词'!$J$1:$K$15,2,FALSE)))</f>
        <v>1</v>
      </c>
      <c r="AA1857" s="20">
        <v>1</v>
      </c>
      <c r="AB1857" s="20">
        <v>4</v>
      </c>
      <c r="AC1857" s="20">
        <v>100</v>
      </c>
      <c r="AD1857" s="20">
        <v>0</v>
      </c>
    </row>
    <row r="1858" spans="1:30">
      <c r="A1858" s="20">
        <v>70005</v>
      </c>
      <c r="B1858" s="20" t="s">
        <v>102</v>
      </c>
      <c r="C1858" s="21" t="s">
        <v>5113</v>
      </c>
      <c r="F1858" s="20" t="s">
        <v>5114</v>
      </c>
      <c r="H1858" s="20">
        <v>25</v>
      </c>
      <c r="J1858" s="20" t="s">
        <v>113</v>
      </c>
      <c r="K1858" s="20">
        <v>5</v>
      </c>
      <c r="L1858" s="20">
        <v>55</v>
      </c>
      <c r="O1858" s="20">
        <v>0</v>
      </c>
      <c r="W1858" s="20">
        <f>IF(Q1858&lt;&gt;0,3,IF(K1858="","",VLOOKUP(K1858,'#状态名词'!$J$1:$K$15,2,FALSE)))</f>
        <v>1</v>
      </c>
      <c r="AA1858" s="20">
        <v>1</v>
      </c>
      <c r="AB1858" s="20">
        <v>4</v>
      </c>
      <c r="AC1858" s="20">
        <v>100</v>
      </c>
      <c r="AD1858" s="20">
        <v>0</v>
      </c>
    </row>
    <row r="1859" spans="1:30">
      <c r="A1859" s="20">
        <v>70006</v>
      </c>
      <c r="B1859" s="20" t="s">
        <v>103</v>
      </c>
      <c r="C1859" s="21" t="s">
        <v>5115</v>
      </c>
      <c r="F1859" s="20" t="s">
        <v>5116</v>
      </c>
      <c r="H1859" s="20">
        <v>25</v>
      </c>
      <c r="J1859" s="20" t="s">
        <v>125</v>
      </c>
      <c r="K1859" s="20">
        <v>5</v>
      </c>
      <c r="L1859" s="20">
        <v>45</v>
      </c>
      <c r="O1859" s="20">
        <v>0</v>
      </c>
      <c r="W1859" s="20">
        <f>IF(Q1859&lt;&gt;0,3,IF(K1859="","",VLOOKUP(K1859,'#状态名词'!$J$1:$K$15,2,FALSE)))</f>
        <v>1</v>
      </c>
      <c r="AA1859" s="20">
        <v>1</v>
      </c>
      <c r="AB1859" s="20">
        <v>4</v>
      </c>
      <c r="AC1859" s="20">
        <v>100</v>
      </c>
      <c r="AD1859" s="20">
        <v>0</v>
      </c>
    </row>
    <row r="1860" spans="1:30">
      <c r="A1860" s="20">
        <v>70007</v>
      </c>
      <c r="B1860" s="20" t="s">
        <v>5117</v>
      </c>
      <c r="C1860" s="21" t="s">
        <v>5118</v>
      </c>
      <c r="F1860" s="20" t="s">
        <v>5119</v>
      </c>
      <c r="H1860" s="20">
        <v>25</v>
      </c>
      <c r="J1860" s="20" t="s">
        <v>119</v>
      </c>
      <c r="K1860" s="20">
        <v>5</v>
      </c>
      <c r="L1860" s="20">
        <v>70</v>
      </c>
      <c r="O1860" s="20">
        <v>1</v>
      </c>
      <c r="W1860" s="20">
        <f>IF(Q1860&lt;&gt;0,3,IF(K1860="","",VLOOKUP(K1860,'#状态名词'!$J$1:$K$15,2,FALSE)))</f>
        <v>1</v>
      </c>
    </row>
    <row r="1861" spans="1:30">
      <c r="A1861" s="20">
        <v>70008</v>
      </c>
      <c r="B1861" s="20" t="s">
        <v>5120</v>
      </c>
      <c r="C1861" s="21" t="s">
        <v>5121</v>
      </c>
      <c r="F1861" s="20" t="s">
        <v>5122</v>
      </c>
      <c r="H1861" s="20">
        <v>25</v>
      </c>
      <c r="J1861" s="20" t="s">
        <v>113</v>
      </c>
      <c r="K1861" s="20">
        <v>5</v>
      </c>
      <c r="L1861" s="20">
        <v>50</v>
      </c>
      <c r="O1861" s="20">
        <v>1</v>
      </c>
      <c r="W1861" s="20">
        <f>IF(Q1861&lt;&gt;0,3,IF(K1861="","",VLOOKUP(K1861,'#状态名词'!$J$1:$K$15,2,FALSE)))</f>
        <v>1</v>
      </c>
    </row>
    <row r="1862" spans="1:30">
      <c r="A1862" s="20">
        <v>70009</v>
      </c>
      <c r="B1862" s="20" t="s">
        <v>5123</v>
      </c>
      <c r="C1862" s="21" t="s">
        <v>104</v>
      </c>
      <c r="F1862" s="20" t="s">
        <v>5124</v>
      </c>
      <c r="H1862" s="20">
        <v>25</v>
      </c>
      <c r="J1862" s="20" t="s">
        <v>125</v>
      </c>
      <c r="K1862" s="20">
        <v>5</v>
      </c>
      <c r="L1862" s="20">
        <v>40</v>
      </c>
      <c r="O1862" s="20">
        <v>1</v>
      </c>
      <c r="W1862" s="20">
        <f>IF(Q1862&lt;&gt;0,3,IF(K1862="","",VLOOKUP(K1862,'#状态名词'!$J$1:$K$15,2,FALSE)))</f>
        <v>1</v>
      </c>
    </row>
    <row r="1863" spans="1:30">
      <c r="A1863" s="20">
        <v>70010</v>
      </c>
      <c r="B1863" s="20" t="s">
        <v>3894</v>
      </c>
      <c r="C1863" s="21" t="s">
        <v>5125</v>
      </c>
      <c r="F1863" s="20" t="s">
        <v>4126</v>
      </c>
      <c r="H1863" s="20">
        <v>25</v>
      </c>
      <c r="J1863" s="20" t="s">
        <v>108</v>
      </c>
      <c r="K1863" s="20">
        <v>5</v>
      </c>
      <c r="L1863" s="20">
        <v>60</v>
      </c>
      <c r="O1863" s="20">
        <v>0</v>
      </c>
      <c r="W1863" s="20">
        <f>IF(Q1863&lt;&gt;0,3,IF(K1863="","",VLOOKUP(K1863,'#状态名词'!$J$1:$K$15,2,FALSE)))</f>
        <v>1</v>
      </c>
    </row>
    <row r="1864" spans="1:30">
      <c r="A1864" s="20">
        <v>70011</v>
      </c>
      <c r="B1864" s="20" t="s">
        <v>5126</v>
      </c>
      <c r="C1864" s="21" t="s">
        <v>5127</v>
      </c>
      <c r="F1864" s="20" t="s">
        <v>5107</v>
      </c>
      <c r="H1864" s="20">
        <v>25</v>
      </c>
      <c r="J1864" s="20" t="s">
        <v>108</v>
      </c>
      <c r="K1864" s="20">
        <v>5</v>
      </c>
      <c r="L1864" s="20">
        <v>60</v>
      </c>
      <c r="O1864" s="20">
        <v>0</v>
      </c>
      <c r="W1864" s="20">
        <f>IF(Q1864&lt;&gt;0,3,IF(K1864="","",VLOOKUP(K1864,'#状态名词'!$J$1:$K$15,2,FALSE)))</f>
        <v>1</v>
      </c>
      <c r="AA1864" s="20">
        <v>1</v>
      </c>
      <c r="AB1864" s="20">
        <v>22</v>
      </c>
      <c r="AC1864" s="20">
        <v>100</v>
      </c>
      <c r="AD1864" s="20">
        <v>0</v>
      </c>
    </row>
    <row r="1865" spans="1:30">
      <c r="A1865" s="20">
        <v>70012</v>
      </c>
      <c r="B1865" s="20" t="s">
        <v>4003</v>
      </c>
      <c r="C1865" s="21" t="s">
        <v>5128</v>
      </c>
      <c r="F1865" s="20" t="s">
        <v>5129</v>
      </c>
      <c r="H1865" s="20">
        <v>25</v>
      </c>
      <c r="J1865" s="20" t="s">
        <v>114</v>
      </c>
      <c r="K1865" s="20">
        <v>5</v>
      </c>
      <c r="L1865" s="20">
        <v>60</v>
      </c>
      <c r="O1865" s="20">
        <v>1</v>
      </c>
      <c r="W1865" s="20">
        <f>IF(Q1865&lt;&gt;0,3,IF(K1865="","",VLOOKUP(K1865,'#状态名词'!$J$1:$K$15,2,FALSE)))</f>
        <v>1</v>
      </c>
      <c r="AA1865" s="20">
        <v>1</v>
      </c>
      <c r="AB1865" s="20">
        <v>70010</v>
      </c>
      <c r="AC1865" s="20">
        <v>100</v>
      </c>
      <c r="AD1865" s="20">
        <v>2</v>
      </c>
    </row>
    <row r="1866" spans="1:30">
      <c r="A1866" s="20">
        <v>70013</v>
      </c>
      <c r="B1866" s="20" t="s">
        <v>4006</v>
      </c>
      <c r="C1866" s="21" t="s">
        <v>5130</v>
      </c>
      <c r="F1866" s="20" t="s">
        <v>5131</v>
      </c>
      <c r="H1866" s="20">
        <v>25</v>
      </c>
      <c r="J1866" s="20" t="s">
        <v>114</v>
      </c>
      <c r="K1866" s="20">
        <v>5</v>
      </c>
      <c r="L1866" s="20">
        <v>60</v>
      </c>
      <c r="O1866" s="20">
        <v>1</v>
      </c>
      <c r="W1866" s="20">
        <f>IF(Q1866&lt;&gt;0,3,IF(K1866="","",VLOOKUP(K1866,'#状态名词'!$J$1:$K$15,2,FALSE)))</f>
        <v>1</v>
      </c>
    </row>
    <row r="1867" spans="1:30">
      <c r="A1867" s="20">
        <v>70014</v>
      </c>
      <c r="B1867" s="20" t="s">
        <v>630</v>
      </c>
      <c r="C1867" s="21" t="s">
        <v>5132</v>
      </c>
      <c r="F1867" s="20" t="s">
        <v>5133</v>
      </c>
      <c r="H1867" s="20">
        <v>25</v>
      </c>
      <c r="J1867" s="20" t="s">
        <v>108</v>
      </c>
      <c r="K1867" s="20">
        <v>5</v>
      </c>
      <c r="L1867" s="20">
        <v>60</v>
      </c>
      <c r="O1867" s="20">
        <v>1</v>
      </c>
      <c r="W1867" s="20">
        <f>IF(Q1867&lt;&gt;0,3,IF(K1867="","",VLOOKUP(K1867,'#状态名词'!$J$1:$K$15,2,FALSE)))</f>
        <v>1</v>
      </c>
      <c r="AA1867" s="20">
        <v>1</v>
      </c>
      <c r="AB1867" s="20">
        <v>70020</v>
      </c>
      <c r="AC1867" s="20">
        <v>100</v>
      </c>
      <c r="AD1867" s="20">
        <v>1</v>
      </c>
    </row>
    <row r="1868" spans="1:30">
      <c r="A1868" s="20">
        <v>70015</v>
      </c>
      <c r="B1868" s="20" t="s">
        <v>4254</v>
      </c>
      <c r="C1868" s="21" t="s">
        <v>5134</v>
      </c>
      <c r="F1868" s="20" t="s">
        <v>5135</v>
      </c>
      <c r="H1868" s="20">
        <v>25</v>
      </c>
      <c r="J1868" s="20" t="s">
        <v>108</v>
      </c>
      <c r="K1868" s="20">
        <v>5</v>
      </c>
      <c r="L1868" s="20">
        <v>60</v>
      </c>
      <c r="O1868" s="20">
        <v>3</v>
      </c>
      <c r="W1868" s="20">
        <f>IF(Q1868&lt;&gt;0,3,IF(K1868="","",VLOOKUP(K1868,'#状态名词'!$J$1:$K$15,2,FALSE)))</f>
        <v>1</v>
      </c>
    </row>
    <row r="1869" spans="1:30" ht="27">
      <c r="A1869" s="20">
        <v>70016</v>
      </c>
      <c r="B1869" s="20" t="s">
        <v>4137</v>
      </c>
      <c r="C1869" s="21" t="s">
        <v>5136</v>
      </c>
      <c r="F1869" s="20" t="s">
        <v>5137</v>
      </c>
      <c r="H1869" s="20">
        <v>25</v>
      </c>
      <c r="J1869" s="20" t="s">
        <v>112</v>
      </c>
      <c r="K1869" s="20">
        <v>5</v>
      </c>
      <c r="L1869" s="20">
        <v>75</v>
      </c>
      <c r="O1869" s="20">
        <v>0</v>
      </c>
      <c r="W1869" s="20">
        <f>IF(Q1869&lt;&gt;0,3,IF(K1869="","",VLOOKUP(K1869,'#状态名词'!$J$1:$K$15,2,FALSE)))</f>
        <v>1</v>
      </c>
      <c r="AA1869" s="20">
        <v>1</v>
      </c>
      <c r="AB1869" s="20">
        <v>2</v>
      </c>
      <c r="AC1869" s="20">
        <v>33</v>
      </c>
      <c r="AD1869" s="20">
        <v>0</v>
      </c>
    </row>
    <row r="1870" spans="1:30">
      <c r="W1870" s="20" t="str">
        <f>IF(Q1870&lt;&gt;0,3,IF(K1870="","",VLOOKUP(K1870,'#状态名词'!$J$1:$K$15,2,FALSE)))</f>
        <v/>
      </c>
      <c r="AA1870" s="20">
        <v>1</v>
      </c>
      <c r="AB1870" s="20">
        <v>3</v>
      </c>
      <c r="AC1870" s="20">
        <v>33</v>
      </c>
      <c r="AD1870" s="20">
        <v>0</v>
      </c>
    </row>
    <row r="1871" spans="1:30">
      <c r="W1871" s="20" t="str">
        <f>IF(Q1871&lt;&gt;0,3,IF(K1871="","",VLOOKUP(K1871,'#状态名词'!$J$1:$K$15,2,FALSE)))</f>
        <v/>
      </c>
      <c r="AA1871" s="20">
        <v>1</v>
      </c>
      <c r="AB1871" s="20">
        <v>4</v>
      </c>
      <c r="AC1871" s="20">
        <v>33</v>
      </c>
      <c r="AD1871" s="20">
        <v>0</v>
      </c>
    </row>
    <row r="1872" spans="1:30" ht="27">
      <c r="A1872" s="20">
        <v>70017</v>
      </c>
      <c r="B1872" s="20" t="s">
        <v>4134</v>
      </c>
      <c r="C1872" s="21" t="s">
        <v>5138</v>
      </c>
      <c r="H1872" s="20">
        <v>40</v>
      </c>
      <c r="J1872" s="20" t="s">
        <v>116</v>
      </c>
      <c r="K1872" s="20">
        <v>2</v>
      </c>
      <c r="L1872" s="20">
        <v>100</v>
      </c>
      <c r="W1872" s="20">
        <f>IF(Q1872&lt;&gt;0,3,IF(K1872="","",VLOOKUP(K1872,'#状态名词'!$J$1:$K$15,2,FALSE)))</f>
        <v>3</v>
      </c>
      <c r="AA1872" s="20">
        <v>1</v>
      </c>
      <c r="AB1872" s="20">
        <v>70011</v>
      </c>
      <c r="AC1872" s="20">
        <v>100</v>
      </c>
      <c r="AD1872" s="20">
        <v>1</v>
      </c>
    </row>
    <row r="1873" spans="1:30" ht="27">
      <c r="A1873" s="20">
        <v>70018</v>
      </c>
      <c r="B1873" s="20" t="s">
        <v>5139</v>
      </c>
      <c r="C1873" s="21" t="s">
        <v>5140</v>
      </c>
      <c r="K1873" s="20">
        <v>0</v>
      </c>
      <c r="L1873" s="20">
        <v>100</v>
      </c>
      <c r="W1873" s="20">
        <f>IF(Q1873&lt;&gt;0,3,IF(K1873="","",VLOOKUP(K1873,'#状态名词'!$J$1:$K$15,2,FALSE)))</f>
        <v>0</v>
      </c>
      <c r="AA1873" s="20">
        <v>1</v>
      </c>
      <c r="AB1873" s="20">
        <v>70012</v>
      </c>
      <c r="AC1873" s="20">
        <v>100</v>
      </c>
      <c r="AD1873" s="20">
        <v>1</v>
      </c>
    </row>
    <row r="1874" spans="1:30">
      <c r="A1874" s="20">
        <v>70019</v>
      </c>
      <c r="B1874" s="20" t="s">
        <v>5141</v>
      </c>
      <c r="C1874" s="21" t="s">
        <v>2078</v>
      </c>
      <c r="K1874" s="20">
        <v>0</v>
      </c>
      <c r="L1874" s="20">
        <v>100</v>
      </c>
      <c r="W1874" s="20">
        <f>IF(Q1874&lt;&gt;0,3,IF(K1874="","",VLOOKUP(K1874,'#状态名词'!$J$1:$K$15,2,FALSE)))</f>
        <v>0</v>
      </c>
      <c r="AA1874" s="20">
        <v>1</v>
      </c>
      <c r="AB1874" s="20">
        <v>70013</v>
      </c>
      <c r="AC1874" s="20">
        <v>100</v>
      </c>
      <c r="AD1874" s="20">
        <v>1</v>
      </c>
    </row>
    <row r="1875" spans="1:30">
      <c r="A1875" s="20">
        <v>70020</v>
      </c>
      <c r="B1875" s="20" t="s">
        <v>5142</v>
      </c>
      <c r="C1875" s="21" t="s">
        <v>5143</v>
      </c>
      <c r="K1875" s="20">
        <v>0</v>
      </c>
      <c r="L1875" s="20">
        <v>100</v>
      </c>
      <c r="W1875" s="20">
        <f>IF(Q1875&lt;&gt;0,3,IF(K1875="","",VLOOKUP(K1875,'#状态名词'!$J$1:$K$15,2,FALSE)))</f>
        <v>0</v>
      </c>
      <c r="AA1875" s="20">
        <v>1</v>
      </c>
      <c r="AB1875" s="20">
        <v>70014</v>
      </c>
      <c r="AC1875" s="20">
        <v>100</v>
      </c>
      <c r="AD1875" s="20">
        <v>1</v>
      </c>
    </row>
    <row r="1876" spans="1:30">
      <c r="A1876" s="20">
        <v>70021</v>
      </c>
      <c r="B1876" s="20" t="s">
        <v>5144</v>
      </c>
      <c r="C1876" s="21" t="s">
        <v>5145</v>
      </c>
      <c r="K1876" s="20">
        <v>0</v>
      </c>
      <c r="L1876" s="20">
        <v>100</v>
      </c>
      <c r="W1876" s="20">
        <f>IF(Q1876&lt;&gt;0,3,IF(K1876="","",VLOOKUP(K1876,'#状态名词'!$J$1:$K$15,2,FALSE)))</f>
        <v>0</v>
      </c>
      <c r="AA1876" s="20">
        <v>1</v>
      </c>
      <c r="AB1876" s="20">
        <v>70015</v>
      </c>
      <c r="AC1876" s="20">
        <v>100</v>
      </c>
      <c r="AD1876" s="20">
        <v>1</v>
      </c>
    </row>
    <row r="1877" spans="1:30">
      <c r="A1877" s="20">
        <v>70022</v>
      </c>
      <c r="B1877" s="20" t="s">
        <v>5146</v>
      </c>
      <c r="C1877" s="21" t="s">
        <v>5147</v>
      </c>
      <c r="K1877" s="20">
        <v>0</v>
      </c>
      <c r="L1877" s="20">
        <v>100</v>
      </c>
      <c r="W1877" s="20">
        <f>IF(Q1877&lt;&gt;0,3,IF(K1877="","",VLOOKUP(K1877,'#状态名词'!$J$1:$K$15,2,FALSE)))</f>
        <v>0</v>
      </c>
      <c r="AA1877" s="20">
        <v>1</v>
      </c>
      <c r="AB1877" s="20">
        <v>70016</v>
      </c>
      <c r="AC1877" s="20">
        <v>100</v>
      </c>
      <c r="AD1877" s="20">
        <v>1</v>
      </c>
    </row>
    <row r="1878" spans="1:30">
      <c r="A1878" s="20">
        <v>70023</v>
      </c>
      <c r="B1878" s="20" t="s">
        <v>5148</v>
      </c>
      <c r="C1878" s="21" t="s">
        <v>5149</v>
      </c>
      <c r="J1878" s="19"/>
      <c r="K1878" s="20">
        <v>0</v>
      </c>
      <c r="L1878" s="20">
        <v>100</v>
      </c>
      <c r="W1878" s="20">
        <f>IF(Q1878&lt;&gt;0,3,IF(K1878="","",VLOOKUP(K1878,'#状态名词'!$J$1:$K$15,2,FALSE)))</f>
        <v>0</v>
      </c>
      <c r="AA1878" s="20">
        <v>1</v>
      </c>
      <c r="AB1878" s="20">
        <v>70017</v>
      </c>
      <c r="AC1878" s="20">
        <v>100</v>
      </c>
      <c r="AD1878" s="20">
        <v>1</v>
      </c>
    </row>
    <row r="1879" spans="1:30" ht="27">
      <c r="A1879" s="20">
        <v>70024</v>
      </c>
      <c r="B1879" s="20" t="s">
        <v>5150</v>
      </c>
      <c r="C1879" s="21" t="s">
        <v>5151</v>
      </c>
      <c r="J1879" s="19"/>
      <c r="K1879" s="20">
        <v>0</v>
      </c>
      <c r="L1879" s="20">
        <v>100</v>
      </c>
      <c r="W1879" s="20">
        <f>IF(Q1879&lt;&gt;0,3,IF(K1879="","",VLOOKUP(K1879,'#状态名词'!$J$1:$K$15,2,FALSE)))</f>
        <v>0</v>
      </c>
      <c r="AA1879" s="20">
        <v>1</v>
      </c>
      <c r="AB1879" s="20">
        <v>70018</v>
      </c>
      <c r="AC1879" s="20">
        <v>100</v>
      </c>
      <c r="AD1879" s="20">
        <v>1</v>
      </c>
    </row>
    <row r="1880" spans="1:30">
      <c r="A1880" s="20">
        <v>70025</v>
      </c>
      <c r="B1880" s="20" t="s">
        <v>5152</v>
      </c>
      <c r="C1880" s="21" t="s">
        <v>5153</v>
      </c>
      <c r="F1880" s="20" t="s">
        <v>5154</v>
      </c>
      <c r="H1880" s="20">
        <v>25</v>
      </c>
      <c r="J1880" s="20" t="s">
        <v>5155</v>
      </c>
      <c r="K1880" s="20">
        <v>5</v>
      </c>
      <c r="L1880" s="20">
        <v>95</v>
      </c>
      <c r="O1880" s="20">
        <v>1</v>
      </c>
      <c r="W1880" s="20">
        <f>IF(Q1880&lt;&gt;0,3,IF(K1880="","",VLOOKUP(K1880,'#状态名词'!$J$1:$K$15,2,FALSE)))</f>
        <v>1</v>
      </c>
    </row>
    <row r="1881" spans="1:30">
      <c r="A1881" s="20">
        <v>70026</v>
      </c>
      <c r="B1881" s="20" t="s">
        <v>7141</v>
      </c>
      <c r="C1881" s="21" t="s">
        <v>5153</v>
      </c>
      <c r="F1881" s="20" t="s">
        <v>5154</v>
      </c>
      <c r="H1881" s="20">
        <v>25</v>
      </c>
      <c r="J1881" s="20" t="s">
        <v>5155</v>
      </c>
      <c r="K1881" s="20">
        <v>5</v>
      </c>
      <c r="L1881" s="20">
        <v>95</v>
      </c>
      <c r="O1881" s="20">
        <v>1</v>
      </c>
      <c r="W1881" s="20">
        <f>IF(Q1881&lt;&gt;0,3,IF(K1881="","",VLOOKUP(K1881,'#状态名词'!$J$1:$K$15,2,FALSE)))</f>
        <v>1</v>
      </c>
    </row>
    <row r="1882" spans="1:30">
      <c r="A1882" s="20">
        <v>70027</v>
      </c>
      <c r="B1882" s="20" t="s">
        <v>7884</v>
      </c>
      <c r="C1882" s="21" t="s">
        <v>5153</v>
      </c>
      <c r="F1882" s="20" t="s">
        <v>5154</v>
      </c>
      <c r="H1882" s="20">
        <v>25</v>
      </c>
      <c r="J1882" s="20" t="s">
        <v>5155</v>
      </c>
      <c r="K1882" s="20">
        <v>5</v>
      </c>
      <c r="L1882" s="20">
        <v>95</v>
      </c>
      <c r="O1882" s="20">
        <v>1</v>
      </c>
      <c r="W1882" s="20">
        <f>IF(Q1882&lt;&gt;0,3,IF(K1882="","",VLOOKUP(K1882,'#状态名词'!$J$1:$K$15,2,FALSE)))</f>
        <v>1</v>
      </c>
    </row>
    <row r="1883" spans="1:30">
      <c r="A1883" s="20">
        <v>70028</v>
      </c>
      <c r="B1883" s="20" t="s">
        <v>8031</v>
      </c>
      <c r="C1883" s="21" t="s">
        <v>5153</v>
      </c>
      <c r="F1883" s="20" t="s">
        <v>5154</v>
      </c>
      <c r="H1883" s="20">
        <v>25</v>
      </c>
      <c r="J1883" s="20" t="s">
        <v>5155</v>
      </c>
      <c r="K1883" s="20">
        <v>5</v>
      </c>
      <c r="L1883" s="20">
        <v>95</v>
      </c>
      <c r="O1883" s="20">
        <v>1</v>
      </c>
      <c r="W1883" s="20">
        <f>IF(Q1883&lt;&gt;0,3,IF(K1883="","",VLOOKUP(K1883,'#状态名词'!$J$1:$K$15,2,FALSE)))</f>
        <v>1</v>
      </c>
    </row>
    <row r="1884" spans="1:30">
      <c r="A1884" s="20">
        <v>70029</v>
      </c>
      <c r="B1884" s="20" t="s">
        <v>8987</v>
      </c>
      <c r="C1884" s="21" t="s">
        <v>5153</v>
      </c>
      <c r="F1884" s="20" t="s">
        <v>5154</v>
      </c>
      <c r="H1884" s="20">
        <v>25</v>
      </c>
      <c r="J1884" s="20" t="s">
        <v>5155</v>
      </c>
      <c r="K1884" s="20">
        <v>5</v>
      </c>
      <c r="L1884" s="20">
        <v>95</v>
      </c>
      <c r="O1884" s="20">
        <v>1</v>
      </c>
      <c r="W1884" s="20">
        <f>IF(Q1884&lt;&gt;0,3,IF(K1884="","",VLOOKUP(K1884,'#状态名词'!$J$1:$K$15,2,FALSE)))</f>
        <v>1</v>
      </c>
    </row>
    <row r="1885" spans="1:30">
      <c r="A1885" s="20">
        <v>75001</v>
      </c>
      <c r="B1885" s="20" t="s">
        <v>5156</v>
      </c>
      <c r="C1885" s="21" t="s">
        <v>5157</v>
      </c>
      <c r="J1885" s="19"/>
      <c r="K1885" s="20">
        <v>0</v>
      </c>
      <c r="L1885" s="20">
        <v>100</v>
      </c>
      <c r="W1885" s="20">
        <f>IF(Q1885&lt;&gt;0,3,IF(K1885="","",VLOOKUP(K1885,'#状态名词'!$J$1:$K$15,2,FALSE)))</f>
        <v>0</v>
      </c>
      <c r="AA1885" s="20">
        <v>1</v>
      </c>
      <c r="AB1885" s="20">
        <v>70001</v>
      </c>
      <c r="AC1885" s="20">
        <v>100</v>
      </c>
      <c r="AD1885" s="20">
        <v>1</v>
      </c>
    </row>
    <row r="1886" spans="1:30">
      <c r="A1886" s="20">
        <v>75002</v>
      </c>
      <c r="B1886" s="20" t="s">
        <v>514</v>
      </c>
      <c r="C1886" s="21" t="s">
        <v>5158</v>
      </c>
      <c r="J1886" s="19"/>
      <c r="K1886" s="20">
        <v>0</v>
      </c>
      <c r="L1886" s="20">
        <v>100</v>
      </c>
      <c r="W1886" s="20">
        <f>IF(Q1886&lt;&gt;0,3,IF(K1886="","",VLOOKUP(K1886,'#状态名词'!$J$1:$K$15,2,FALSE)))</f>
        <v>0</v>
      </c>
      <c r="AA1886" s="20">
        <v>1</v>
      </c>
      <c r="AB1886" s="20">
        <v>70002</v>
      </c>
      <c r="AC1886" s="20">
        <v>100</v>
      </c>
      <c r="AD1886" s="20">
        <v>1</v>
      </c>
    </row>
    <row r="1887" spans="1:30">
      <c r="A1887" s="20">
        <v>75003</v>
      </c>
      <c r="B1887" s="20" t="s">
        <v>99</v>
      </c>
      <c r="C1887" s="21" t="s">
        <v>5159</v>
      </c>
      <c r="K1887" s="20">
        <v>0</v>
      </c>
      <c r="L1887" s="20">
        <v>100</v>
      </c>
      <c r="W1887" s="20">
        <f>IF(Q1887&lt;&gt;0,3,IF(K1887="","",VLOOKUP(K1887,'#状态名词'!$J$1:$K$15,2,FALSE)))</f>
        <v>0</v>
      </c>
      <c r="AA1887" s="20">
        <v>1</v>
      </c>
      <c r="AB1887" s="20">
        <v>70003</v>
      </c>
      <c r="AC1887" s="20">
        <v>100</v>
      </c>
      <c r="AD1887" s="20">
        <v>1</v>
      </c>
    </row>
    <row r="1888" spans="1:30">
      <c r="A1888" s="20">
        <v>75004</v>
      </c>
      <c r="B1888" s="20" t="s">
        <v>5160</v>
      </c>
      <c r="C1888" s="21" t="s">
        <v>5161</v>
      </c>
      <c r="J1888" s="19"/>
      <c r="K1888" s="20">
        <v>0</v>
      </c>
      <c r="L1888" s="20">
        <v>100</v>
      </c>
      <c r="W1888" s="20">
        <f>IF(Q1888&lt;&gt;0,3,IF(K1888="","",VLOOKUP(K1888,'#状态名词'!$J$1:$K$15,2,FALSE)))</f>
        <v>0</v>
      </c>
      <c r="AA1888" s="20">
        <v>1</v>
      </c>
      <c r="AB1888" s="20">
        <v>70004</v>
      </c>
      <c r="AC1888" s="20">
        <v>100</v>
      </c>
      <c r="AD1888" s="20">
        <v>1</v>
      </c>
    </row>
    <row r="1889" spans="1:30">
      <c r="A1889" s="20">
        <v>75005</v>
      </c>
      <c r="B1889" s="20" t="s">
        <v>98</v>
      </c>
      <c r="C1889" s="21" t="s">
        <v>5162</v>
      </c>
      <c r="K1889" s="20">
        <v>0</v>
      </c>
      <c r="L1889" s="20">
        <v>100</v>
      </c>
      <c r="W1889" s="20">
        <f>IF(Q1889&lt;&gt;0,3,IF(K1889="","",VLOOKUP(K1889,'#状态名词'!$J$1:$K$15,2,FALSE)))</f>
        <v>0</v>
      </c>
      <c r="AA1889" s="20">
        <v>1</v>
      </c>
      <c r="AB1889" s="20">
        <v>70005</v>
      </c>
      <c r="AC1889" s="20">
        <v>100</v>
      </c>
      <c r="AD1889" s="20">
        <v>1</v>
      </c>
    </row>
    <row r="1890" spans="1:30">
      <c r="A1890" s="20">
        <v>75006</v>
      </c>
      <c r="B1890" s="20" t="s">
        <v>5163</v>
      </c>
      <c r="C1890" s="21" t="s">
        <v>5164</v>
      </c>
      <c r="J1890" s="19"/>
      <c r="K1890" s="20">
        <v>9</v>
      </c>
      <c r="L1890" s="20">
        <v>100</v>
      </c>
      <c r="W1890" s="20">
        <f>IF(Q1890&lt;&gt;0,3,IF(K1890="","",VLOOKUP(K1890,'#状态名词'!$J$1:$K$15,2,FALSE)))</f>
        <v>3</v>
      </c>
      <c r="AA1890" s="20">
        <v>1</v>
      </c>
      <c r="AB1890" s="20">
        <v>70019</v>
      </c>
      <c r="AC1890" s="20">
        <v>10</v>
      </c>
      <c r="AD1890" s="20">
        <v>1</v>
      </c>
    </row>
    <row r="1891" spans="1:30">
      <c r="A1891" s="20">
        <v>100000</v>
      </c>
      <c r="B1891" s="20" t="s">
        <v>5165</v>
      </c>
      <c r="C1891" s="21" t="s">
        <v>5166</v>
      </c>
      <c r="J1891" s="19"/>
      <c r="K1891" s="20">
        <v>0</v>
      </c>
      <c r="L1891" s="20">
        <v>100</v>
      </c>
      <c r="W1891" s="20">
        <f>IF(Q1891&lt;&gt;0,3,IF(K1891="","",VLOOKUP(K1891,'#状态名词'!$J$1:$K$15,2,FALSE)))</f>
        <v>0</v>
      </c>
      <c r="AA1891" s="20">
        <v>1</v>
      </c>
      <c r="AB1891" s="20">
        <v>100000</v>
      </c>
      <c r="AC1891" s="20">
        <v>100</v>
      </c>
      <c r="AD1891" s="20">
        <v>1</v>
      </c>
    </row>
    <row r="1892" spans="1:30">
      <c r="A1892" s="20">
        <v>100001</v>
      </c>
      <c r="B1892" s="20" t="s">
        <v>5167</v>
      </c>
      <c r="C1892" s="21" t="s">
        <v>5168</v>
      </c>
      <c r="F1892" s="20" t="s">
        <v>5169</v>
      </c>
      <c r="H1892" s="20">
        <v>20</v>
      </c>
      <c r="J1892" s="20" t="s">
        <v>1521</v>
      </c>
      <c r="K1892" s="20">
        <v>5</v>
      </c>
      <c r="L1892" s="20">
        <v>100</v>
      </c>
      <c r="O1892" s="20">
        <v>3</v>
      </c>
      <c r="W1892" s="20">
        <f>IF(Q1892&lt;&gt;0,3,IF(K1892="","",VLOOKUP(K1892,'#状态名词'!$J$1:$K$15,2,FALSE)))</f>
        <v>1</v>
      </c>
      <c r="AA1892" s="20">
        <v>1</v>
      </c>
      <c r="AB1892" s="20">
        <v>100021</v>
      </c>
      <c r="AC1892" s="20">
        <v>100</v>
      </c>
      <c r="AD1892" s="20">
        <v>1</v>
      </c>
    </row>
    <row r="1893" spans="1:30">
      <c r="A1893" s="20">
        <v>100002</v>
      </c>
      <c r="B1893" s="20" t="s">
        <v>2203</v>
      </c>
      <c r="C1893" s="21" t="s">
        <v>5170</v>
      </c>
      <c r="F1893" s="20" t="s">
        <v>5171</v>
      </c>
      <c r="H1893" s="20">
        <v>35</v>
      </c>
      <c r="J1893" s="20" t="s">
        <v>1522</v>
      </c>
      <c r="K1893" s="20">
        <v>8</v>
      </c>
      <c r="L1893" s="20">
        <v>100</v>
      </c>
      <c r="O1893" s="20">
        <v>3</v>
      </c>
      <c r="Q1893" s="20">
        <v>5</v>
      </c>
      <c r="R1893" s="20">
        <v>2</v>
      </c>
      <c r="S1893" s="20">
        <v>2</v>
      </c>
      <c r="W1893" s="20">
        <f>IF(Q1893&lt;&gt;0,3,IF(K1893="","",VLOOKUP(K1893,'#状态名词'!$J$1:$K$15,2,FALSE)))</f>
        <v>3</v>
      </c>
      <c r="AA1893" s="20">
        <v>1</v>
      </c>
      <c r="AB1893" s="20">
        <v>100022</v>
      </c>
      <c r="AC1893" s="20">
        <v>100</v>
      </c>
      <c r="AD1893" s="20">
        <v>1</v>
      </c>
    </row>
    <row r="1894" spans="1:30">
      <c r="A1894" s="20">
        <v>100003</v>
      </c>
      <c r="B1894" s="20" t="s">
        <v>5172</v>
      </c>
      <c r="C1894" s="21" t="s">
        <v>5173</v>
      </c>
      <c r="J1894" s="19"/>
      <c r="K1894" s="20">
        <v>0</v>
      </c>
      <c r="L1894" s="20">
        <v>100</v>
      </c>
      <c r="W1894" s="20">
        <f>IF(Q1894&lt;&gt;0,3,IF(K1894="","",VLOOKUP(K1894,'#状态名词'!$J$1:$K$15,2,FALSE)))</f>
        <v>0</v>
      </c>
      <c r="AA1894" s="20">
        <v>1</v>
      </c>
      <c r="AB1894" s="20">
        <v>100001</v>
      </c>
      <c r="AC1894" s="20">
        <v>100</v>
      </c>
      <c r="AD1894" s="20">
        <v>1</v>
      </c>
    </row>
    <row r="1895" spans="1:30">
      <c r="A1895" s="20">
        <v>100004</v>
      </c>
      <c r="B1895" s="20" t="s">
        <v>5174</v>
      </c>
      <c r="C1895" s="21" t="s">
        <v>5175</v>
      </c>
      <c r="F1895" s="20" t="s">
        <v>5176</v>
      </c>
      <c r="H1895" s="20">
        <v>30</v>
      </c>
      <c r="J1895" s="19" t="s">
        <v>1468</v>
      </c>
      <c r="K1895" s="20">
        <v>5</v>
      </c>
      <c r="L1895" s="20">
        <v>100</v>
      </c>
      <c r="O1895" s="20">
        <v>1</v>
      </c>
      <c r="W1895" s="20">
        <f>IF(Q1895&lt;&gt;0,3,IF(K1895="","",VLOOKUP(K1895,'#状态名词'!$J$1:$K$15,2,FALSE)))</f>
        <v>1</v>
      </c>
    </row>
    <row r="1896" spans="1:30" ht="27">
      <c r="A1896" s="20">
        <v>100005</v>
      </c>
      <c r="B1896" s="20" t="s">
        <v>5177</v>
      </c>
      <c r="C1896" s="21" t="s">
        <v>5178</v>
      </c>
      <c r="F1896" s="20" t="s">
        <v>5179</v>
      </c>
      <c r="H1896" s="20">
        <v>25</v>
      </c>
      <c r="J1896" s="20" t="s">
        <v>1464</v>
      </c>
      <c r="K1896" s="20">
        <v>8</v>
      </c>
      <c r="L1896" s="20">
        <v>100</v>
      </c>
      <c r="O1896" s="20">
        <v>1</v>
      </c>
      <c r="Q1896" s="20">
        <v>5</v>
      </c>
      <c r="R1896" s="20">
        <v>1</v>
      </c>
      <c r="S1896" s="20">
        <v>4</v>
      </c>
      <c r="W1896" s="20">
        <f>IF(Q1896&lt;&gt;0,3,IF(K1896="","",VLOOKUP(K1896,'#状态名词'!$J$1:$K$15,2,FALSE)))</f>
        <v>3</v>
      </c>
      <c r="AA1896" s="20">
        <v>1</v>
      </c>
      <c r="AB1896" s="20">
        <v>100002</v>
      </c>
      <c r="AC1896" s="20">
        <v>100</v>
      </c>
      <c r="AD1896" s="20">
        <v>0</v>
      </c>
    </row>
    <row r="1897" spans="1:30">
      <c r="A1897" s="20">
        <v>100006</v>
      </c>
      <c r="B1897" s="20" t="s">
        <v>725</v>
      </c>
      <c r="C1897" s="21" t="s">
        <v>5180</v>
      </c>
      <c r="K1897" s="20">
        <v>0</v>
      </c>
      <c r="L1897" s="20">
        <v>100</v>
      </c>
      <c r="W1897" s="20">
        <f>IF(Q1897&lt;&gt;0,3,IF(K1897="","",VLOOKUP(K1897,'#状态名词'!$J$1:$K$15,2,FALSE)))</f>
        <v>0</v>
      </c>
      <c r="AA1897" s="20">
        <v>1</v>
      </c>
      <c r="AB1897" s="20">
        <v>100003</v>
      </c>
      <c r="AC1897" s="20">
        <v>100</v>
      </c>
      <c r="AD1897" s="20">
        <v>0</v>
      </c>
    </row>
    <row r="1898" spans="1:30">
      <c r="A1898" s="20">
        <v>100007</v>
      </c>
      <c r="B1898" s="20" t="s">
        <v>5181</v>
      </c>
      <c r="C1898" s="21" t="s">
        <v>6969</v>
      </c>
      <c r="F1898" s="20" t="s">
        <v>5182</v>
      </c>
      <c r="H1898" s="20">
        <v>25</v>
      </c>
      <c r="J1898" s="20" t="s">
        <v>1481</v>
      </c>
      <c r="K1898" s="20">
        <v>5</v>
      </c>
      <c r="L1898" s="20">
        <v>100</v>
      </c>
      <c r="O1898" s="20">
        <v>0</v>
      </c>
      <c r="W1898" s="20">
        <f>IF(Q1898&lt;&gt;0,3,IF(K1898="","",VLOOKUP(K1898,'#状态名词'!$J$1:$K$15,2,FALSE)))</f>
        <v>1</v>
      </c>
      <c r="AA1898" s="20">
        <v>1</v>
      </c>
      <c r="AB1898" s="20">
        <v>100004</v>
      </c>
      <c r="AC1898" s="20">
        <v>100</v>
      </c>
      <c r="AD1898" s="20">
        <v>1</v>
      </c>
    </row>
    <row r="1899" spans="1:30">
      <c r="A1899" s="20">
        <v>100008</v>
      </c>
      <c r="B1899" s="20" t="s">
        <v>5183</v>
      </c>
      <c r="C1899" s="21" t="s">
        <v>2079</v>
      </c>
      <c r="K1899" s="20">
        <v>0</v>
      </c>
      <c r="L1899" s="20">
        <v>100</v>
      </c>
      <c r="Q1899" s="20">
        <v>3</v>
      </c>
      <c r="R1899" s="20">
        <v>1</v>
      </c>
      <c r="S1899" s="20">
        <v>50</v>
      </c>
      <c r="W1899" s="20">
        <f>IF(Q1899&lt;&gt;0,3,IF(K1899="","",VLOOKUP(K1899,'#状态名词'!$J$1:$K$15,2,FALSE)))</f>
        <v>3</v>
      </c>
      <c r="AA1899" s="20">
        <v>1</v>
      </c>
      <c r="AB1899" s="20">
        <v>100005</v>
      </c>
      <c r="AC1899" s="20">
        <v>100</v>
      </c>
      <c r="AD1899" s="20">
        <v>1</v>
      </c>
    </row>
    <row r="1900" spans="1:30">
      <c r="A1900" s="20">
        <v>100009</v>
      </c>
      <c r="B1900" s="20" t="s">
        <v>5184</v>
      </c>
      <c r="C1900" s="21" t="s">
        <v>6970</v>
      </c>
      <c r="F1900" s="20" t="s">
        <v>5185</v>
      </c>
      <c r="H1900" s="20">
        <v>40</v>
      </c>
      <c r="J1900" s="19" t="s">
        <v>1472</v>
      </c>
      <c r="K1900" s="20">
        <v>8</v>
      </c>
      <c r="L1900" s="20">
        <v>100</v>
      </c>
      <c r="O1900" s="20">
        <v>0</v>
      </c>
      <c r="Q1900" s="20">
        <v>5</v>
      </c>
      <c r="R1900" s="20">
        <v>3</v>
      </c>
      <c r="S1900" s="20">
        <v>2</v>
      </c>
      <c r="W1900" s="20">
        <f>IF(Q1900&lt;&gt;0,3,IF(K1900="","",VLOOKUP(K1900,'#状态名词'!$J$1:$K$15,2,FALSE)))</f>
        <v>3</v>
      </c>
    </row>
    <row r="1901" spans="1:30">
      <c r="A1901" s="20">
        <v>100010</v>
      </c>
      <c r="B1901" s="20" t="s">
        <v>5186</v>
      </c>
      <c r="C1901" s="21" t="s">
        <v>5187</v>
      </c>
      <c r="F1901" s="20" t="s">
        <v>5188</v>
      </c>
      <c r="H1901" s="20">
        <v>30</v>
      </c>
      <c r="J1901" s="19" t="s">
        <v>1483</v>
      </c>
      <c r="K1901" s="20">
        <v>5</v>
      </c>
      <c r="L1901" s="20">
        <v>100</v>
      </c>
      <c r="O1901" s="20">
        <v>0</v>
      </c>
      <c r="W1901" s="20">
        <f>IF(Q1901&lt;&gt;0,3,IF(K1901="","",VLOOKUP(K1901,'#状态名词'!$J$1:$K$15,2,FALSE)))</f>
        <v>1</v>
      </c>
    </row>
    <row r="1902" spans="1:30">
      <c r="A1902" s="20">
        <v>100011</v>
      </c>
      <c r="B1902" s="20" t="s">
        <v>5189</v>
      </c>
      <c r="C1902" s="21" t="s">
        <v>2080</v>
      </c>
      <c r="K1902" s="20">
        <v>6</v>
      </c>
      <c r="L1902" s="20">
        <v>100</v>
      </c>
      <c r="W1902" s="20">
        <f>IF(Q1902&lt;&gt;0,3,IF(K1902="","",VLOOKUP(K1902,'#状态名词'!$J$1:$K$15,2,FALSE)))</f>
        <v>3</v>
      </c>
      <c r="AA1902" s="20">
        <v>1</v>
      </c>
      <c r="AB1902" s="20">
        <v>100006</v>
      </c>
      <c r="AC1902" s="20">
        <v>100</v>
      </c>
      <c r="AD1902" s="20">
        <v>0</v>
      </c>
    </row>
    <row r="1903" spans="1:30" ht="12.75" customHeight="1">
      <c r="A1903" s="20">
        <v>100012</v>
      </c>
      <c r="B1903" s="20" t="s">
        <v>5190</v>
      </c>
      <c r="C1903" s="21" t="s">
        <v>5191</v>
      </c>
      <c r="J1903" s="19"/>
      <c r="K1903" s="20">
        <v>9</v>
      </c>
      <c r="L1903" s="20">
        <v>100</v>
      </c>
      <c r="W1903" s="20">
        <f>IF(Q1903&lt;&gt;0,3,IF(K1903="","",VLOOKUP(K1903,'#状态名词'!$J$1:$K$15,2,FALSE)))</f>
        <v>3</v>
      </c>
      <c r="X1903" s="20">
        <v>1</v>
      </c>
      <c r="AA1903" s="20">
        <v>1</v>
      </c>
      <c r="AB1903" s="20">
        <v>100007</v>
      </c>
      <c r="AC1903" s="20">
        <v>100</v>
      </c>
      <c r="AD1903" s="20">
        <v>1</v>
      </c>
    </row>
    <row r="1904" spans="1:30">
      <c r="A1904" s="20">
        <v>100013</v>
      </c>
      <c r="B1904" s="20" t="s">
        <v>5192</v>
      </c>
      <c r="C1904" s="21" t="s">
        <v>5193</v>
      </c>
      <c r="F1904" s="20" t="s">
        <v>5194</v>
      </c>
      <c r="H1904" s="20">
        <v>25</v>
      </c>
      <c r="J1904" s="19" t="s">
        <v>112</v>
      </c>
      <c r="K1904" s="20">
        <v>5</v>
      </c>
      <c r="L1904" s="20">
        <v>100</v>
      </c>
      <c r="O1904" s="20">
        <v>0</v>
      </c>
      <c r="W1904" s="20">
        <f>IF(Q1904&lt;&gt;0,3,IF(K1904="","",VLOOKUP(K1904,'#状态名词'!$J$1:$K$15,2,FALSE)))</f>
        <v>1</v>
      </c>
      <c r="AA1904" s="20">
        <v>1</v>
      </c>
      <c r="AB1904" s="20">
        <v>100008</v>
      </c>
      <c r="AC1904" s="20">
        <v>100</v>
      </c>
      <c r="AD1904" s="20">
        <v>1</v>
      </c>
    </row>
    <row r="1905" spans="1:30">
      <c r="A1905" s="20">
        <v>100014</v>
      </c>
      <c r="B1905" s="20" t="s">
        <v>5195</v>
      </c>
      <c r="C1905" s="21" t="s">
        <v>5196</v>
      </c>
      <c r="F1905" s="20" t="s">
        <v>5197</v>
      </c>
      <c r="H1905" s="20">
        <v>35</v>
      </c>
      <c r="J1905" s="19" t="s">
        <v>112</v>
      </c>
      <c r="K1905" s="20">
        <v>8</v>
      </c>
      <c r="L1905" s="20">
        <v>100</v>
      </c>
      <c r="O1905" s="20">
        <v>0</v>
      </c>
      <c r="Q1905" s="20">
        <v>5</v>
      </c>
      <c r="R1905" s="20">
        <v>2</v>
      </c>
      <c r="S1905" s="20">
        <v>3</v>
      </c>
      <c r="W1905" s="20">
        <f>IF(Q1905&lt;&gt;0,3,IF(K1905="","",VLOOKUP(K1905,'#状态名词'!$J$1:$K$15,2,FALSE)))</f>
        <v>3</v>
      </c>
      <c r="AA1905" s="20">
        <v>1</v>
      </c>
      <c r="AB1905" s="20">
        <v>100008</v>
      </c>
      <c r="AC1905" s="20">
        <v>100</v>
      </c>
      <c r="AD1905" s="20">
        <v>1</v>
      </c>
    </row>
    <row r="1906" spans="1:30">
      <c r="A1906" s="20">
        <v>100015</v>
      </c>
      <c r="B1906" s="20" t="s">
        <v>726</v>
      </c>
      <c r="C1906" s="21" t="s">
        <v>5198</v>
      </c>
      <c r="J1906" s="19"/>
      <c r="K1906" s="20">
        <v>0</v>
      </c>
      <c r="L1906" s="20">
        <v>100</v>
      </c>
      <c r="W1906" s="20">
        <f>IF(Q1906&lt;&gt;0,3,IF(K1906="","",VLOOKUP(K1906,'#状态名词'!$J$1:$K$15,2,FALSE)))</f>
        <v>0</v>
      </c>
      <c r="AA1906" s="20">
        <v>1</v>
      </c>
      <c r="AB1906" s="20">
        <v>100010</v>
      </c>
      <c r="AC1906" s="20">
        <v>100</v>
      </c>
      <c r="AD1906" s="20">
        <v>1</v>
      </c>
    </row>
    <row r="1907" spans="1:30">
      <c r="A1907" s="20">
        <v>100016</v>
      </c>
      <c r="B1907" s="20" t="s">
        <v>5199</v>
      </c>
      <c r="C1907" s="21" t="s">
        <v>5200</v>
      </c>
      <c r="J1907" s="19"/>
      <c r="K1907" s="20">
        <v>0</v>
      </c>
      <c r="L1907" s="20">
        <v>100</v>
      </c>
      <c r="W1907" s="20">
        <f>IF(Q1907&lt;&gt;0,3,IF(K1907="","",VLOOKUP(K1907,'#状态名词'!$J$1:$K$15,2,FALSE)))</f>
        <v>0</v>
      </c>
      <c r="AA1907" s="20">
        <v>1</v>
      </c>
      <c r="AB1907" s="20">
        <v>100011</v>
      </c>
      <c r="AC1907" s="20">
        <v>100</v>
      </c>
      <c r="AD1907" s="20">
        <v>0</v>
      </c>
    </row>
    <row r="1908" spans="1:30">
      <c r="A1908" s="20">
        <v>100017</v>
      </c>
      <c r="B1908" s="20" t="s">
        <v>5201</v>
      </c>
      <c r="C1908" s="21" t="s">
        <v>5202</v>
      </c>
      <c r="K1908" s="20">
        <v>0</v>
      </c>
      <c r="L1908" s="20">
        <v>100</v>
      </c>
      <c r="W1908" s="20">
        <f>IF(Q1908&lt;&gt;0,3,IF(K1908="","",VLOOKUP(K1908,'#状态名词'!$J$1:$K$15,2,FALSE)))</f>
        <v>0</v>
      </c>
      <c r="AA1908" s="20">
        <v>1</v>
      </c>
      <c r="AB1908" s="20">
        <v>100012</v>
      </c>
      <c r="AC1908" s="20">
        <v>100</v>
      </c>
      <c r="AD1908" s="20">
        <v>0</v>
      </c>
    </row>
    <row r="1909" spans="1:30">
      <c r="A1909" s="20">
        <v>100018</v>
      </c>
      <c r="B1909" s="20" t="s">
        <v>5203</v>
      </c>
      <c r="C1909" s="21" t="s">
        <v>5204</v>
      </c>
      <c r="K1909" s="20">
        <v>13</v>
      </c>
      <c r="L1909" s="20">
        <v>100</v>
      </c>
      <c r="W1909" s="20">
        <f>IF(Q1909&lt;&gt;0,3,IF(K1909="","",VLOOKUP(K1909,'#状态名词'!$J$1:$K$15,2,FALSE)))</f>
        <v>0</v>
      </c>
      <c r="AA1909" s="20">
        <v>1</v>
      </c>
      <c r="AB1909" s="20">
        <v>100013</v>
      </c>
      <c r="AC1909" s="20">
        <v>100</v>
      </c>
      <c r="AD1909" s="20">
        <v>1</v>
      </c>
    </row>
    <row r="1910" spans="1:30">
      <c r="A1910" s="20">
        <v>100019</v>
      </c>
      <c r="B1910" s="20" t="s">
        <v>5205</v>
      </c>
      <c r="C1910" s="21" t="s">
        <v>6971</v>
      </c>
      <c r="F1910" s="20" t="s">
        <v>5206</v>
      </c>
      <c r="H1910" s="20">
        <v>25</v>
      </c>
      <c r="J1910" s="20" t="s">
        <v>112</v>
      </c>
      <c r="K1910" s="20">
        <v>5</v>
      </c>
      <c r="L1910" s="20">
        <v>100</v>
      </c>
      <c r="O1910" s="20">
        <v>0</v>
      </c>
      <c r="W1910" s="20">
        <f>IF(Q1910&lt;&gt;0,3,IF(K1910="","",VLOOKUP(K1910,'#状态名词'!$J$1:$K$15,2,FALSE)))</f>
        <v>1</v>
      </c>
    </row>
    <row r="1911" spans="1:30">
      <c r="A1911" s="20">
        <v>100020</v>
      </c>
      <c r="B1911" s="20" t="s">
        <v>5207</v>
      </c>
      <c r="C1911" s="21" t="s">
        <v>6972</v>
      </c>
      <c r="F1911" s="20" t="s">
        <v>5208</v>
      </c>
      <c r="H1911" s="20">
        <v>40</v>
      </c>
      <c r="J1911" s="19" t="s">
        <v>112</v>
      </c>
      <c r="K1911" s="20">
        <v>5</v>
      </c>
      <c r="L1911" s="20">
        <v>100</v>
      </c>
      <c r="O1911" s="20">
        <v>0</v>
      </c>
      <c r="W1911" s="20">
        <f>IF(Q1911&lt;&gt;0,3,IF(K1911="","",VLOOKUP(K1911,'#状态名词'!$J$1:$K$15,2,FALSE)))</f>
        <v>1</v>
      </c>
    </row>
    <row r="1912" spans="1:30">
      <c r="A1912" s="20">
        <v>100021</v>
      </c>
      <c r="B1912" s="20" t="s">
        <v>4146</v>
      </c>
      <c r="C1912" s="21" t="s">
        <v>5209</v>
      </c>
      <c r="K1912" s="20">
        <v>0</v>
      </c>
      <c r="L1912" s="20">
        <v>100</v>
      </c>
      <c r="W1912" s="20">
        <f>IF(Q1912&lt;&gt;0,3,IF(K1912="","",VLOOKUP(K1912,'#状态名词'!$J$1:$K$15,2,FALSE)))</f>
        <v>0</v>
      </c>
      <c r="AA1912" s="20">
        <v>1</v>
      </c>
      <c r="AB1912" s="20">
        <v>100014</v>
      </c>
      <c r="AC1912" s="20">
        <v>100</v>
      </c>
      <c r="AD1912" s="20">
        <v>1</v>
      </c>
    </row>
    <row r="1913" spans="1:30">
      <c r="A1913" s="20">
        <v>100022</v>
      </c>
      <c r="B1913" s="20" t="s">
        <v>5210</v>
      </c>
      <c r="C1913" s="21" t="s">
        <v>5211</v>
      </c>
      <c r="F1913" s="20" t="s">
        <v>5212</v>
      </c>
      <c r="H1913" s="20">
        <v>25</v>
      </c>
      <c r="J1913" s="20" t="s">
        <v>1500</v>
      </c>
      <c r="K1913" s="20">
        <v>5</v>
      </c>
      <c r="L1913" s="20">
        <v>100</v>
      </c>
      <c r="O1913" s="20">
        <v>0</v>
      </c>
      <c r="W1913" s="20">
        <f>IF(Q1913&lt;&gt;0,3,IF(K1913="","",VLOOKUP(K1913,'#状态名词'!$J$1:$K$15,2,FALSE)))</f>
        <v>1</v>
      </c>
    </row>
    <row r="1914" spans="1:30">
      <c r="A1914" s="20">
        <v>100023</v>
      </c>
      <c r="B1914" s="20" t="s">
        <v>5213</v>
      </c>
      <c r="C1914" s="21" t="s">
        <v>6973</v>
      </c>
      <c r="F1914" s="20" t="s">
        <v>5214</v>
      </c>
      <c r="H1914" s="20">
        <v>35</v>
      </c>
      <c r="J1914" s="19" t="s">
        <v>1500</v>
      </c>
      <c r="K1914" s="20">
        <v>8</v>
      </c>
      <c r="L1914" s="20">
        <v>100</v>
      </c>
      <c r="O1914" s="20">
        <v>0</v>
      </c>
      <c r="Q1914" s="20">
        <v>5</v>
      </c>
      <c r="R1914" s="20">
        <v>3</v>
      </c>
      <c r="S1914" s="20">
        <v>2</v>
      </c>
      <c r="W1914" s="20">
        <f>IF(Q1914&lt;&gt;0,3,IF(K1914="","",VLOOKUP(K1914,'#状态名词'!$J$1:$K$15,2,FALSE)))</f>
        <v>3</v>
      </c>
    </row>
    <row r="1915" spans="1:30">
      <c r="A1915" s="20">
        <v>100024</v>
      </c>
      <c r="B1915" s="20" t="s">
        <v>5215</v>
      </c>
      <c r="C1915" s="21" t="s">
        <v>5216</v>
      </c>
      <c r="F1915" s="20" t="s">
        <v>5179</v>
      </c>
      <c r="H1915" s="20">
        <v>20</v>
      </c>
      <c r="J1915" s="20" t="s">
        <v>1485</v>
      </c>
      <c r="K1915" s="20">
        <v>8</v>
      </c>
      <c r="L1915" s="20">
        <v>100</v>
      </c>
      <c r="O1915" s="20">
        <v>1</v>
      </c>
      <c r="Q1915" s="20">
        <v>5</v>
      </c>
      <c r="R1915" s="20">
        <v>1</v>
      </c>
      <c r="S1915" s="20">
        <v>2</v>
      </c>
      <c r="W1915" s="20">
        <f>IF(Q1915&lt;&gt;0,3,IF(K1915="","",VLOOKUP(K1915,'#状态名词'!$J$1:$K$15,2,FALSE)))</f>
        <v>3</v>
      </c>
      <c r="AA1915" s="20">
        <v>1</v>
      </c>
      <c r="AB1915" s="20">
        <v>100015</v>
      </c>
      <c r="AC1915" s="20">
        <v>100</v>
      </c>
      <c r="AD1915" s="20">
        <v>0</v>
      </c>
    </row>
    <row r="1916" spans="1:30">
      <c r="A1916" s="20">
        <v>100025</v>
      </c>
      <c r="B1916" s="20" t="s">
        <v>5217</v>
      </c>
      <c r="C1916" s="21" t="s">
        <v>5218</v>
      </c>
      <c r="F1916" s="20" t="s">
        <v>5219</v>
      </c>
      <c r="H1916" s="20">
        <v>25</v>
      </c>
      <c r="J1916" s="20" t="s">
        <v>1485</v>
      </c>
      <c r="K1916" s="20">
        <v>5</v>
      </c>
      <c r="L1916" s="20">
        <v>100</v>
      </c>
      <c r="O1916" s="20">
        <v>1</v>
      </c>
      <c r="W1916" s="20">
        <f>IF(Q1916&lt;&gt;0,3,IF(K1916="","",VLOOKUP(K1916,'#状态名词'!$J$1:$K$15,2,FALSE)))</f>
        <v>1</v>
      </c>
    </row>
    <row r="1917" spans="1:30">
      <c r="A1917" s="20">
        <v>100026</v>
      </c>
      <c r="B1917" s="20" t="s">
        <v>5220</v>
      </c>
      <c r="C1917" s="21" t="s">
        <v>5221</v>
      </c>
      <c r="F1917" s="20" t="s">
        <v>5222</v>
      </c>
      <c r="H1917" s="20">
        <v>20</v>
      </c>
      <c r="J1917" s="20" t="s">
        <v>1485</v>
      </c>
      <c r="K1917" s="20">
        <v>8</v>
      </c>
      <c r="L1917" s="20">
        <v>100</v>
      </c>
      <c r="O1917" s="20">
        <v>1</v>
      </c>
      <c r="Q1917" s="20">
        <v>5</v>
      </c>
      <c r="R1917" s="20">
        <v>1</v>
      </c>
      <c r="S1917" s="20">
        <v>2</v>
      </c>
      <c r="W1917" s="20">
        <f>IF(Q1917&lt;&gt;0,3,IF(K1917="","",VLOOKUP(K1917,'#状态名词'!$J$1:$K$15,2,FALSE)))</f>
        <v>3</v>
      </c>
      <c r="AA1917" s="20">
        <v>1</v>
      </c>
      <c r="AB1917" s="20">
        <v>100016</v>
      </c>
      <c r="AC1917" s="20">
        <v>100</v>
      </c>
      <c r="AD1917" s="20">
        <v>0</v>
      </c>
    </row>
    <row r="1918" spans="1:30">
      <c r="A1918" s="20">
        <v>100027</v>
      </c>
      <c r="B1918" s="20" t="s">
        <v>5223</v>
      </c>
      <c r="C1918" s="21" t="s">
        <v>2081</v>
      </c>
      <c r="K1918" s="20">
        <v>0</v>
      </c>
      <c r="L1918" s="20">
        <v>100</v>
      </c>
      <c r="Q1918" s="20">
        <v>3</v>
      </c>
      <c r="R1918" s="20">
        <v>1</v>
      </c>
      <c r="S1918" s="20">
        <v>80</v>
      </c>
      <c r="W1918" s="20">
        <f>IF(Q1918&lt;&gt;0,3,IF(K1918="","",VLOOKUP(K1918,'#状态名词'!$J$1:$K$15,2,FALSE)))</f>
        <v>3</v>
      </c>
      <c r="AA1918" s="20">
        <v>1</v>
      </c>
      <c r="AB1918" s="20">
        <v>100017</v>
      </c>
      <c r="AC1918" s="20">
        <v>100</v>
      </c>
      <c r="AD1918" s="20">
        <v>1</v>
      </c>
    </row>
    <row r="1919" spans="1:30">
      <c r="A1919" s="20">
        <v>100028</v>
      </c>
      <c r="B1919" s="20" t="s">
        <v>4086</v>
      </c>
      <c r="C1919" s="21" t="s">
        <v>2082</v>
      </c>
      <c r="J1919" s="19"/>
      <c r="K1919" s="20">
        <v>0</v>
      </c>
      <c r="L1919" s="20">
        <v>100</v>
      </c>
      <c r="Q1919" s="20">
        <v>3</v>
      </c>
      <c r="R1919" s="20">
        <v>1</v>
      </c>
      <c r="S1919" s="20">
        <v>60</v>
      </c>
      <c r="W1919" s="20">
        <f>IF(Q1919&lt;&gt;0,3,IF(K1919="","",VLOOKUP(K1919,'#状态名词'!$J$1:$K$15,2,FALSE)))</f>
        <v>3</v>
      </c>
      <c r="AA1919" s="20">
        <v>1</v>
      </c>
      <c r="AB1919" s="20">
        <v>100018</v>
      </c>
      <c r="AC1919" s="20">
        <v>100</v>
      </c>
      <c r="AD1919" s="20">
        <v>1</v>
      </c>
    </row>
    <row r="1920" spans="1:30">
      <c r="A1920" s="20">
        <v>100029</v>
      </c>
      <c r="B1920" s="20" t="s">
        <v>5224</v>
      </c>
      <c r="C1920" s="21" t="s">
        <v>5225</v>
      </c>
      <c r="K1920" s="20">
        <v>9</v>
      </c>
      <c r="L1920" s="20">
        <v>100</v>
      </c>
      <c r="W1920" s="20">
        <f>IF(Q1920&lt;&gt;0,3,IF(K1920="","",VLOOKUP(K1920,'#状态名词'!$J$1:$K$15,2,FALSE)))</f>
        <v>3</v>
      </c>
      <c r="AA1920" s="20">
        <v>1</v>
      </c>
      <c r="AB1920" s="20">
        <v>100019</v>
      </c>
      <c r="AC1920" s="20">
        <v>100</v>
      </c>
      <c r="AD1920" s="20">
        <v>1</v>
      </c>
    </row>
    <row r="1921" spans="1:30">
      <c r="A1921" s="20">
        <v>100030</v>
      </c>
      <c r="B1921" s="20" t="s">
        <v>5226</v>
      </c>
      <c r="C1921" s="21" t="s">
        <v>5227</v>
      </c>
      <c r="F1921" s="20" t="s">
        <v>5228</v>
      </c>
      <c r="H1921" s="20">
        <v>50</v>
      </c>
      <c r="J1921" s="20" t="s">
        <v>1521</v>
      </c>
      <c r="K1921" s="20">
        <v>15</v>
      </c>
      <c r="L1921" s="20">
        <v>100</v>
      </c>
      <c r="O1921" s="20">
        <v>3</v>
      </c>
      <c r="Q1921" s="20">
        <v>5</v>
      </c>
      <c r="R1921" s="20">
        <v>10</v>
      </c>
      <c r="S1921" s="20">
        <v>10</v>
      </c>
      <c r="W1921" s="20">
        <f>IF(Q1921&lt;&gt;0,3,IF(K1921="","",VLOOKUP(K1921,'#状态名词'!$J$1:$K$15,2,FALSE)))</f>
        <v>3</v>
      </c>
    </row>
    <row r="1922" spans="1:30">
      <c r="A1922" s="20">
        <v>100031</v>
      </c>
      <c r="B1922" s="20" t="s">
        <v>5229</v>
      </c>
      <c r="C1922" s="21" t="s">
        <v>5230</v>
      </c>
      <c r="K1922" s="20">
        <v>0</v>
      </c>
      <c r="L1922" s="20">
        <v>100</v>
      </c>
      <c r="W1922" s="20">
        <f>IF(Q1922&lt;&gt;0,3,IF(K1922="","",VLOOKUP(K1922,'#状态名词'!$J$1:$K$15,2,FALSE)))</f>
        <v>0</v>
      </c>
      <c r="AA1922" s="20">
        <v>1</v>
      </c>
      <c r="AB1922" s="20">
        <v>100003</v>
      </c>
      <c r="AC1922" s="20">
        <v>100</v>
      </c>
      <c r="AD1922" s="20">
        <v>1</v>
      </c>
    </row>
    <row r="1923" spans="1:30">
      <c r="W1923" s="20" t="str">
        <f>IF(Q1923&lt;&gt;0,3,IF(K1923="","",VLOOKUP(K1923,'#状态名词'!$J$1:$K$15,2,FALSE)))</f>
        <v/>
      </c>
      <c r="AA1923" s="20">
        <v>1</v>
      </c>
      <c r="AB1923" s="20">
        <v>100020</v>
      </c>
      <c r="AC1923" s="20">
        <v>100</v>
      </c>
      <c r="AD1923" s="20">
        <v>1</v>
      </c>
    </row>
    <row r="1924" spans="1:30">
      <c r="A1924" s="20">
        <v>100032</v>
      </c>
      <c r="B1924" s="20" t="s">
        <v>5231</v>
      </c>
      <c r="C1924" s="21" t="s">
        <v>5232</v>
      </c>
      <c r="F1924" s="20" t="s">
        <v>5194</v>
      </c>
      <c r="H1924" s="20">
        <v>20</v>
      </c>
      <c r="J1924" s="19" t="s">
        <v>1522</v>
      </c>
      <c r="K1924" s="20">
        <v>5</v>
      </c>
      <c r="L1924" s="20">
        <v>100</v>
      </c>
      <c r="O1924" s="20">
        <v>0</v>
      </c>
      <c r="W1924" s="20">
        <f>IF(Q1924&lt;&gt;0,3,IF(K1924="","",VLOOKUP(K1924,'#状态名词'!$J$1:$K$15,2,FALSE)))</f>
        <v>1</v>
      </c>
      <c r="AA1924" s="20">
        <v>1</v>
      </c>
      <c r="AB1924" s="20">
        <v>100023</v>
      </c>
      <c r="AC1924" s="20">
        <v>100</v>
      </c>
      <c r="AD1924" s="20">
        <v>1</v>
      </c>
    </row>
    <row r="1925" spans="1:30">
      <c r="A1925" s="20">
        <v>100033</v>
      </c>
      <c r="B1925" s="20" t="s">
        <v>5233</v>
      </c>
      <c r="C1925" s="21" t="s">
        <v>2083</v>
      </c>
      <c r="J1925" s="19"/>
      <c r="K1925" s="20">
        <v>0</v>
      </c>
      <c r="L1925" s="20">
        <v>100</v>
      </c>
      <c r="Q1925" s="20">
        <v>1</v>
      </c>
      <c r="R1925" s="20">
        <v>2</v>
      </c>
      <c r="S1925" s="20">
        <v>7</v>
      </c>
      <c r="W1925" s="20">
        <f>IF(Q1925&lt;&gt;0,3,IF(K1925="","",VLOOKUP(K1925,'#状态名词'!$J$1:$K$15,2,FALSE)))</f>
        <v>3</v>
      </c>
      <c r="AA1925" s="20">
        <v>1</v>
      </c>
      <c r="AB1925" s="20">
        <v>100024</v>
      </c>
      <c r="AC1925" s="20">
        <v>100</v>
      </c>
      <c r="AD1925" s="20">
        <v>1</v>
      </c>
    </row>
    <row r="1926" spans="1:30">
      <c r="A1926" s="20">
        <v>100034</v>
      </c>
      <c r="B1926" s="20" t="s">
        <v>5234</v>
      </c>
      <c r="C1926" s="21" t="s">
        <v>2084</v>
      </c>
      <c r="J1926" s="19"/>
      <c r="K1926" s="20">
        <v>0</v>
      </c>
      <c r="L1926" s="20">
        <v>100</v>
      </c>
      <c r="Q1926" s="20">
        <v>1</v>
      </c>
      <c r="R1926" s="20">
        <v>2</v>
      </c>
      <c r="S1926" s="20">
        <v>8</v>
      </c>
      <c r="W1926" s="20">
        <f>IF(Q1926&lt;&gt;0,3,IF(K1926="","",VLOOKUP(K1926,'#状态名词'!$J$1:$K$15,2,FALSE)))</f>
        <v>3</v>
      </c>
      <c r="AA1926" s="20">
        <v>1</v>
      </c>
      <c r="AB1926" s="20">
        <v>100025</v>
      </c>
      <c r="AC1926" s="20">
        <v>100</v>
      </c>
      <c r="AD1926" s="20">
        <v>1</v>
      </c>
    </row>
    <row r="1927" spans="1:30">
      <c r="A1927" s="20">
        <v>100035</v>
      </c>
      <c r="B1927" s="20" t="s">
        <v>5235</v>
      </c>
      <c r="C1927" s="21" t="s">
        <v>5236</v>
      </c>
      <c r="J1927" s="19"/>
      <c r="K1927" s="20">
        <v>9</v>
      </c>
      <c r="L1927" s="20">
        <v>100</v>
      </c>
      <c r="W1927" s="20">
        <f>IF(Q1927&lt;&gt;0,3,IF(K1927="","",VLOOKUP(K1927,'#状态名词'!$J$1:$K$15,2,FALSE)))</f>
        <v>3</v>
      </c>
      <c r="AA1927" s="20">
        <v>1</v>
      </c>
      <c r="AB1927" s="20">
        <v>100026</v>
      </c>
      <c r="AC1927" s="20">
        <v>100</v>
      </c>
      <c r="AD1927" s="20">
        <v>1</v>
      </c>
    </row>
    <row r="1928" spans="1:30">
      <c r="A1928" s="20">
        <v>100036</v>
      </c>
      <c r="B1928" s="20" t="s">
        <v>5237</v>
      </c>
      <c r="C1928" s="21" t="s">
        <v>5238</v>
      </c>
      <c r="J1928" s="19"/>
      <c r="K1928" s="20">
        <v>9</v>
      </c>
      <c r="L1928" s="20">
        <v>100</v>
      </c>
      <c r="W1928" s="20">
        <f>IF(Q1928&lt;&gt;0,3,IF(K1928="","",VLOOKUP(K1928,'#状态名词'!$J$1:$K$15,2,FALSE)))</f>
        <v>3</v>
      </c>
      <c r="AA1928" s="20">
        <v>1</v>
      </c>
      <c r="AB1928" s="20">
        <v>100027</v>
      </c>
      <c r="AC1928" s="20">
        <v>100</v>
      </c>
      <c r="AD1928" s="20">
        <v>1</v>
      </c>
    </row>
    <row r="1929" spans="1:30" ht="27">
      <c r="A1929" s="20">
        <v>100037</v>
      </c>
      <c r="B1929" s="20" t="s">
        <v>5239</v>
      </c>
      <c r="C1929" s="21" t="s">
        <v>2085</v>
      </c>
      <c r="F1929" s="20" t="s">
        <v>5240</v>
      </c>
      <c r="H1929" s="20">
        <v>50</v>
      </c>
      <c r="J1929" s="19" t="s">
        <v>1517</v>
      </c>
      <c r="K1929" s="20">
        <v>15</v>
      </c>
      <c r="L1929" s="20">
        <v>100</v>
      </c>
      <c r="O1929" s="20">
        <v>1</v>
      </c>
      <c r="Q1929" s="20">
        <v>5</v>
      </c>
      <c r="R1929" s="20">
        <v>7</v>
      </c>
      <c r="S1929" s="20">
        <v>6</v>
      </c>
      <c r="W1929" s="20">
        <f>IF(Q1929&lt;&gt;0,3,IF(K1929="","",VLOOKUP(K1929,'#状态名词'!$J$1:$K$15,2,FALSE)))</f>
        <v>3</v>
      </c>
      <c r="AA1929" s="20">
        <v>1</v>
      </c>
      <c r="AB1929" s="20">
        <v>100028</v>
      </c>
      <c r="AC1929" s="20">
        <v>100</v>
      </c>
      <c r="AD1929" s="20">
        <v>1</v>
      </c>
    </row>
    <row r="1930" spans="1:30">
      <c r="A1930" s="20">
        <v>100038</v>
      </c>
      <c r="B1930" s="20" t="s">
        <v>5241</v>
      </c>
      <c r="C1930" s="21" t="s">
        <v>2086</v>
      </c>
      <c r="J1930" s="19"/>
      <c r="K1930" s="20">
        <v>0</v>
      </c>
      <c r="L1930" s="20">
        <v>100</v>
      </c>
      <c r="Q1930" s="20">
        <v>3</v>
      </c>
      <c r="R1930" s="20">
        <v>1</v>
      </c>
      <c r="S1930" s="20">
        <v>20</v>
      </c>
      <c r="W1930" s="20">
        <f>IF(Q1930&lt;&gt;0,3,IF(K1930="","",VLOOKUP(K1930,'#状态名词'!$J$1:$K$15,2,FALSE)))</f>
        <v>3</v>
      </c>
      <c r="AA1930" s="20">
        <v>1</v>
      </c>
      <c r="AB1930" s="20">
        <v>100029</v>
      </c>
      <c r="AC1930" s="20">
        <v>100</v>
      </c>
      <c r="AD1930" s="20">
        <v>1</v>
      </c>
    </row>
    <row r="1931" spans="1:30">
      <c r="A1931" s="20">
        <v>100039</v>
      </c>
      <c r="B1931" s="20" t="s">
        <v>5242</v>
      </c>
      <c r="C1931" s="21" t="s">
        <v>5243</v>
      </c>
      <c r="J1931" s="19"/>
      <c r="K1931" s="20">
        <v>0</v>
      </c>
      <c r="L1931" s="20">
        <v>100</v>
      </c>
      <c r="W1931" s="20">
        <f>IF(Q1931&lt;&gt;0,3,IF(K1931="","",VLOOKUP(K1931,'#状态名词'!$J$1:$K$15,2,FALSE)))</f>
        <v>0</v>
      </c>
      <c r="AA1931" s="20">
        <v>1</v>
      </c>
      <c r="AB1931" s="20">
        <v>100030</v>
      </c>
      <c r="AC1931" s="20">
        <v>100</v>
      </c>
      <c r="AD1931" s="20">
        <v>0</v>
      </c>
    </row>
    <row r="1932" spans="1:30">
      <c r="A1932" s="20">
        <v>100040</v>
      </c>
      <c r="B1932" s="20" t="s">
        <v>5244</v>
      </c>
      <c r="C1932" s="21" t="s">
        <v>5245</v>
      </c>
      <c r="J1932" s="19"/>
      <c r="K1932" s="20">
        <v>0</v>
      </c>
      <c r="L1932" s="20">
        <v>100</v>
      </c>
      <c r="W1932" s="20">
        <f>IF(Q1932&lt;&gt;0,3,IF(K1932="","",VLOOKUP(K1932,'#状态名词'!$J$1:$K$15,2,FALSE)))</f>
        <v>0</v>
      </c>
      <c r="AA1932" s="20">
        <v>1</v>
      </c>
      <c r="AB1932" s="20">
        <v>100031</v>
      </c>
      <c r="AC1932" s="20">
        <v>100</v>
      </c>
      <c r="AD1932" s="20">
        <v>0</v>
      </c>
    </row>
    <row r="1933" spans="1:30">
      <c r="A1933" s="20">
        <v>100041</v>
      </c>
      <c r="B1933" s="20" t="s">
        <v>5246</v>
      </c>
      <c r="C1933" s="21" t="s">
        <v>3827</v>
      </c>
      <c r="J1933" s="19"/>
      <c r="K1933" s="20">
        <v>0</v>
      </c>
      <c r="L1933" s="20">
        <v>100</v>
      </c>
      <c r="W1933" s="20">
        <f>IF(Q1933&lt;&gt;0,3,IF(K1933="","",VLOOKUP(K1933,'#状态名词'!$J$1:$K$15,2,FALSE)))</f>
        <v>0</v>
      </c>
      <c r="X1933" s="20">
        <v>1</v>
      </c>
      <c r="AA1933" s="20">
        <v>1</v>
      </c>
      <c r="AB1933" s="20">
        <v>100032</v>
      </c>
      <c r="AC1933" s="20">
        <v>100</v>
      </c>
      <c r="AD1933" s="20">
        <v>1</v>
      </c>
    </row>
    <row r="1934" spans="1:30">
      <c r="A1934" s="20">
        <v>100042</v>
      </c>
      <c r="B1934" s="20" t="s">
        <v>5247</v>
      </c>
      <c r="C1934" s="21" t="s">
        <v>5248</v>
      </c>
      <c r="F1934" s="20" t="s">
        <v>5249</v>
      </c>
      <c r="H1934" s="20">
        <v>20</v>
      </c>
      <c r="J1934" s="19" t="s">
        <v>1521</v>
      </c>
      <c r="K1934" s="20">
        <v>5</v>
      </c>
      <c r="L1934" s="20">
        <v>100</v>
      </c>
      <c r="O1934" s="20">
        <v>3</v>
      </c>
      <c r="W1934" s="20">
        <f>IF(Q1934&lt;&gt;0,3,IF(K1934="","",VLOOKUP(K1934,'#状态名词'!$J$1:$K$15,2,FALSE)))</f>
        <v>1</v>
      </c>
    </row>
    <row r="1935" spans="1:30">
      <c r="A1935" s="20">
        <v>100043</v>
      </c>
      <c r="B1935" s="20" t="s">
        <v>5250</v>
      </c>
      <c r="C1935" s="21" t="s">
        <v>5251</v>
      </c>
      <c r="F1935" s="20" t="s">
        <v>5252</v>
      </c>
      <c r="H1935" s="20">
        <v>35</v>
      </c>
      <c r="J1935" s="19" t="s">
        <v>1522</v>
      </c>
      <c r="K1935" s="20">
        <v>8</v>
      </c>
      <c r="L1935" s="20">
        <v>100</v>
      </c>
      <c r="O1935" s="20">
        <v>3</v>
      </c>
      <c r="Q1935" s="20">
        <v>5</v>
      </c>
      <c r="R1935" s="20">
        <v>2</v>
      </c>
      <c r="S1935" s="20">
        <v>2</v>
      </c>
      <c r="W1935" s="20">
        <f>IF(Q1935&lt;&gt;0,3,IF(K1935="","",VLOOKUP(K1935,'#状态名词'!$J$1:$K$15,2,FALSE)))</f>
        <v>3</v>
      </c>
    </row>
    <row r="1936" spans="1:30">
      <c r="A1936" s="20">
        <v>100044</v>
      </c>
      <c r="B1936" s="20" t="s">
        <v>5253</v>
      </c>
      <c r="C1936" s="21" t="s">
        <v>5254</v>
      </c>
      <c r="F1936" s="20" t="s">
        <v>5222</v>
      </c>
      <c r="H1936" s="20">
        <v>30</v>
      </c>
      <c r="J1936" s="20" t="s">
        <v>1528</v>
      </c>
      <c r="K1936" s="20">
        <v>5</v>
      </c>
      <c r="L1936" s="20">
        <v>100</v>
      </c>
      <c r="O1936" s="20">
        <v>1</v>
      </c>
      <c r="W1936" s="20">
        <f>IF(Q1936&lt;&gt;0,3,IF(K1936="","",VLOOKUP(K1936,'#状态名词'!$J$1:$K$15,2,FALSE)))</f>
        <v>1</v>
      </c>
    </row>
    <row r="1937" spans="1:30" ht="27">
      <c r="A1937" s="20">
        <v>100045</v>
      </c>
      <c r="B1937" s="20" t="s">
        <v>5255</v>
      </c>
      <c r="C1937" s="21" t="s">
        <v>5256</v>
      </c>
      <c r="F1937" s="20" t="s">
        <v>5257</v>
      </c>
      <c r="H1937" s="20">
        <v>30</v>
      </c>
      <c r="J1937" s="19" t="s">
        <v>1485</v>
      </c>
      <c r="K1937" s="20">
        <v>8</v>
      </c>
      <c r="L1937" s="20">
        <v>100</v>
      </c>
      <c r="O1937" s="20">
        <v>1</v>
      </c>
      <c r="Q1937" s="20">
        <v>5</v>
      </c>
      <c r="R1937" s="20">
        <v>1</v>
      </c>
      <c r="S1937" s="20">
        <v>5</v>
      </c>
      <c r="W1937" s="20">
        <f>IF(Q1937&lt;&gt;0,3,IF(K1937="","",VLOOKUP(K1937,'#状态名词'!$J$1:$K$15,2,FALSE)))</f>
        <v>3</v>
      </c>
      <c r="AA1937" s="20">
        <v>1</v>
      </c>
      <c r="AB1937" s="20">
        <v>100033</v>
      </c>
      <c r="AC1937" s="20">
        <v>100</v>
      </c>
      <c r="AD1937" s="20">
        <v>0</v>
      </c>
    </row>
    <row r="1938" spans="1:30">
      <c r="A1938" s="20">
        <v>100046</v>
      </c>
      <c r="B1938" s="20" t="s">
        <v>5258</v>
      </c>
      <c r="C1938" s="21" t="s">
        <v>6974</v>
      </c>
      <c r="F1938" s="20" t="s">
        <v>5259</v>
      </c>
      <c r="H1938" s="20">
        <v>30</v>
      </c>
      <c r="J1938" s="20" t="s">
        <v>1485</v>
      </c>
      <c r="K1938" s="20">
        <v>5</v>
      </c>
      <c r="L1938" s="20">
        <v>100</v>
      </c>
      <c r="O1938" s="20">
        <v>0</v>
      </c>
      <c r="W1938" s="20">
        <f>IF(Q1938&lt;&gt;0,3,IF(K1938="","",VLOOKUP(K1938,'#状态名词'!$J$1:$K$15,2,FALSE)))</f>
        <v>1</v>
      </c>
      <c r="AA1938" s="20">
        <v>1</v>
      </c>
      <c r="AB1938" s="20">
        <v>100004</v>
      </c>
      <c r="AC1938" s="20">
        <v>100</v>
      </c>
      <c r="AD1938" s="20">
        <v>1</v>
      </c>
    </row>
    <row r="1939" spans="1:30">
      <c r="A1939" s="20">
        <v>100047</v>
      </c>
      <c r="B1939" s="20" t="s">
        <v>5260</v>
      </c>
      <c r="C1939" s="21" t="s">
        <v>6975</v>
      </c>
      <c r="F1939" s="20" t="s">
        <v>5261</v>
      </c>
      <c r="H1939" s="20">
        <v>35</v>
      </c>
      <c r="J1939" s="19" t="s">
        <v>1485</v>
      </c>
      <c r="K1939" s="20">
        <v>8</v>
      </c>
      <c r="L1939" s="20">
        <v>100</v>
      </c>
      <c r="O1939" s="20">
        <v>1</v>
      </c>
      <c r="Q1939" s="20">
        <v>5</v>
      </c>
      <c r="R1939" s="20">
        <v>3</v>
      </c>
      <c r="S1939" s="20">
        <v>2</v>
      </c>
      <c r="W1939" s="20">
        <f>IF(Q1939&lt;&gt;0,3,IF(K1939="","",VLOOKUP(K1939,'#状态名词'!$J$1:$K$15,2,FALSE)))</f>
        <v>3</v>
      </c>
    </row>
    <row r="1940" spans="1:30">
      <c r="A1940" s="20">
        <v>100048</v>
      </c>
      <c r="B1940" s="20" t="s">
        <v>5262</v>
      </c>
      <c r="C1940" s="21" t="s">
        <v>5263</v>
      </c>
      <c r="F1940" s="20" t="s">
        <v>5264</v>
      </c>
      <c r="H1940" s="20">
        <v>30</v>
      </c>
      <c r="J1940" s="20" t="s">
        <v>1485</v>
      </c>
      <c r="K1940" s="20">
        <v>5</v>
      </c>
      <c r="L1940" s="20">
        <v>100</v>
      </c>
      <c r="O1940" s="20">
        <v>0</v>
      </c>
      <c r="W1940" s="20">
        <f>IF(Q1940&lt;&gt;0,3,IF(K1940="","",VLOOKUP(K1940,'#状态名词'!$J$1:$K$15,2,FALSE)))</f>
        <v>1</v>
      </c>
    </row>
    <row r="1941" spans="1:30">
      <c r="A1941" s="20">
        <v>100049</v>
      </c>
      <c r="B1941" s="20" t="s">
        <v>5265</v>
      </c>
      <c r="C1941" s="21" t="s">
        <v>5266</v>
      </c>
      <c r="F1941" s="20" t="s">
        <v>5206</v>
      </c>
      <c r="H1941" s="20">
        <v>25</v>
      </c>
      <c r="J1941" s="19" t="s">
        <v>112</v>
      </c>
      <c r="K1941" s="20">
        <v>5</v>
      </c>
      <c r="L1941" s="20">
        <v>100</v>
      </c>
      <c r="O1941" s="20">
        <v>0</v>
      </c>
      <c r="W1941" s="20">
        <f>IF(Q1941&lt;&gt;0,3,IF(K1941="","",VLOOKUP(K1941,'#状态名词'!$J$1:$K$15,2,FALSE)))</f>
        <v>1</v>
      </c>
      <c r="AA1941" s="20">
        <v>1</v>
      </c>
      <c r="AB1941" s="20">
        <v>100008</v>
      </c>
      <c r="AC1941" s="20">
        <v>100</v>
      </c>
      <c r="AD1941" s="20">
        <v>1</v>
      </c>
    </row>
    <row r="1942" spans="1:30">
      <c r="A1942" s="20">
        <v>100050</v>
      </c>
      <c r="B1942" s="20" t="s">
        <v>5267</v>
      </c>
      <c r="C1942" s="21" t="s">
        <v>5268</v>
      </c>
      <c r="F1942" s="20" t="s">
        <v>5269</v>
      </c>
      <c r="H1942" s="20">
        <v>35</v>
      </c>
      <c r="J1942" s="19" t="s">
        <v>112</v>
      </c>
      <c r="K1942" s="20">
        <v>8</v>
      </c>
      <c r="L1942" s="20">
        <v>100</v>
      </c>
      <c r="O1942" s="20">
        <v>0</v>
      </c>
      <c r="Q1942" s="20">
        <v>5</v>
      </c>
      <c r="R1942" s="20">
        <v>2</v>
      </c>
      <c r="S1942" s="20">
        <v>3</v>
      </c>
      <c r="W1942" s="20">
        <f>IF(Q1942&lt;&gt;0,3,IF(K1942="","",VLOOKUP(K1942,'#状态名词'!$J$1:$K$15,2,FALSE)))</f>
        <v>3</v>
      </c>
      <c r="AA1942" s="20">
        <v>1</v>
      </c>
      <c r="AB1942" s="20">
        <v>100008</v>
      </c>
      <c r="AC1942" s="20">
        <v>100</v>
      </c>
      <c r="AD1942" s="20">
        <v>1</v>
      </c>
    </row>
    <row r="1943" spans="1:30">
      <c r="A1943" s="20">
        <v>100051</v>
      </c>
      <c r="B1943" s="20" t="s">
        <v>5270</v>
      </c>
      <c r="C1943" s="21" t="s">
        <v>5271</v>
      </c>
      <c r="F1943" s="20" t="s">
        <v>5272</v>
      </c>
      <c r="H1943" s="20">
        <v>30</v>
      </c>
      <c r="J1943" s="19" t="s">
        <v>1485</v>
      </c>
      <c r="K1943" s="20">
        <v>5</v>
      </c>
      <c r="L1943" s="20">
        <v>100</v>
      </c>
      <c r="O1943" s="20">
        <v>1</v>
      </c>
      <c r="W1943" s="20">
        <f>IF(Q1943&lt;&gt;0,3,IF(K1943="","",VLOOKUP(K1943,'#状态名词'!$J$1:$K$15,2,FALSE)))</f>
        <v>1</v>
      </c>
    </row>
    <row r="1944" spans="1:30">
      <c r="A1944" s="20">
        <v>100052</v>
      </c>
      <c r="B1944" s="20" t="s">
        <v>5273</v>
      </c>
      <c r="C1944" s="21" t="s">
        <v>5274</v>
      </c>
      <c r="F1944" s="20" t="s">
        <v>5275</v>
      </c>
      <c r="H1944" s="20">
        <v>30</v>
      </c>
      <c r="J1944" s="20" t="s">
        <v>1485</v>
      </c>
      <c r="K1944" s="20">
        <v>8</v>
      </c>
      <c r="L1944" s="20">
        <v>100</v>
      </c>
      <c r="O1944" s="20">
        <v>0</v>
      </c>
      <c r="Q1944" s="20">
        <v>5</v>
      </c>
      <c r="R1944" s="20">
        <v>3</v>
      </c>
      <c r="S1944" s="20">
        <v>3</v>
      </c>
      <c r="W1944" s="20">
        <f>IF(Q1944&lt;&gt;0,3,IF(K1944="","",VLOOKUP(K1944,'#状态名词'!$J$1:$K$15,2,FALSE)))</f>
        <v>3</v>
      </c>
      <c r="AA1944" s="20">
        <v>1</v>
      </c>
      <c r="AB1944" s="20">
        <v>100036</v>
      </c>
      <c r="AC1944" s="20">
        <v>100</v>
      </c>
      <c r="AD1944" s="20">
        <v>1</v>
      </c>
    </row>
    <row r="1945" spans="1:30" ht="27">
      <c r="A1945" s="20">
        <v>100053</v>
      </c>
      <c r="B1945" s="20" t="s">
        <v>5276</v>
      </c>
      <c r="C1945" s="21" t="s">
        <v>2087</v>
      </c>
      <c r="F1945" s="20" t="s">
        <v>5277</v>
      </c>
      <c r="H1945" s="20">
        <v>50</v>
      </c>
      <c r="J1945" s="19" t="s">
        <v>1485</v>
      </c>
      <c r="K1945" s="20">
        <v>15</v>
      </c>
      <c r="L1945" s="20">
        <v>100</v>
      </c>
      <c r="O1945" s="20">
        <v>1</v>
      </c>
      <c r="Q1945" s="20">
        <v>5</v>
      </c>
      <c r="R1945" s="20">
        <v>7</v>
      </c>
      <c r="S1945" s="20">
        <v>6</v>
      </c>
      <c r="W1945" s="20">
        <f>IF(Q1945&lt;&gt;0,3,IF(K1945="","",VLOOKUP(K1945,'#状态名词'!$J$1:$K$15,2,FALSE)))</f>
        <v>3</v>
      </c>
      <c r="AA1945" s="20">
        <v>1</v>
      </c>
      <c r="AB1945" s="20">
        <v>100028</v>
      </c>
      <c r="AC1945" s="20">
        <v>100</v>
      </c>
      <c r="AD1945" s="20">
        <v>1</v>
      </c>
    </row>
    <row r="1946" spans="1:30">
      <c r="A1946" s="20">
        <v>100054</v>
      </c>
      <c r="B1946" s="20" t="s">
        <v>5278</v>
      </c>
      <c r="C1946" s="21" t="s">
        <v>2088</v>
      </c>
      <c r="J1946" s="19"/>
      <c r="K1946" s="20">
        <v>6</v>
      </c>
      <c r="L1946" s="20">
        <v>100</v>
      </c>
      <c r="W1946" s="20">
        <f>IF(Q1946&lt;&gt;0,3,IF(K1946="","",VLOOKUP(K1946,'#状态名词'!$J$1:$K$15,2,FALSE)))</f>
        <v>3</v>
      </c>
      <c r="X1946" s="20">
        <v>1</v>
      </c>
      <c r="AA1946" s="20">
        <v>1</v>
      </c>
      <c r="AB1946" s="20">
        <v>100037</v>
      </c>
      <c r="AC1946" s="20">
        <v>100</v>
      </c>
      <c r="AD1946" s="20">
        <v>1</v>
      </c>
    </row>
    <row r="1947" spans="1:30" s="19" customFormat="1">
      <c r="A1947" s="19">
        <v>100055</v>
      </c>
      <c r="B1947" s="19" t="s">
        <v>5296</v>
      </c>
      <c r="C1947" s="19" t="s">
        <v>7081</v>
      </c>
      <c r="F1947" s="19" t="s">
        <v>7082</v>
      </c>
      <c r="H1947" s="19">
        <v>20</v>
      </c>
      <c r="K1947" s="19">
        <v>5</v>
      </c>
      <c r="L1947" s="19">
        <v>100</v>
      </c>
      <c r="O1947" s="19">
        <v>0</v>
      </c>
      <c r="W1947" s="20">
        <f>IF(Q1947&lt;&gt;0,3,IF(K1947="","",VLOOKUP(K1947,'#状态名词'!$J$1:$K$15,2,FALSE)))</f>
        <v>1</v>
      </c>
    </row>
    <row r="1948" spans="1:30" s="19" customFormat="1">
      <c r="A1948" s="19">
        <v>100056</v>
      </c>
      <c r="B1948" s="19" t="s">
        <v>5297</v>
      </c>
      <c r="C1948" s="30" t="s">
        <v>2089</v>
      </c>
      <c r="K1948" s="19">
        <v>0</v>
      </c>
      <c r="L1948" s="19">
        <v>100</v>
      </c>
      <c r="Q1948" s="19">
        <v>1</v>
      </c>
      <c r="R1948" s="19">
        <v>2</v>
      </c>
      <c r="S1948" s="19">
        <v>1</v>
      </c>
      <c r="W1948" s="20">
        <f>IF(Q1948&lt;&gt;0,3,IF(K1948="","",VLOOKUP(K1948,'#状态名词'!$J$1:$K$15,2,FALSE)))</f>
        <v>3</v>
      </c>
      <c r="AA1948" s="19">
        <v>1</v>
      </c>
      <c r="AB1948" s="19">
        <v>100038</v>
      </c>
      <c r="AC1948" s="19">
        <v>100</v>
      </c>
      <c r="AD1948" s="19">
        <v>1</v>
      </c>
    </row>
    <row r="1949" spans="1:30" s="19" customFormat="1">
      <c r="A1949" s="19">
        <v>100057</v>
      </c>
      <c r="B1949" s="19" t="s">
        <v>5298</v>
      </c>
      <c r="C1949" s="19" t="s">
        <v>7083</v>
      </c>
      <c r="F1949" s="19" t="s">
        <v>7084</v>
      </c>
      <c r="H1949" s="19">
        <v>20</v>
      </c>
      <c r="K1949" s="19">
        <v>8</v>
      </c>
      <c r="L1949" s="19">
        <v>100</v>
      </c>
      <c r="O1949" s="19">
        <v>0</v>
      </c>
      <c r="Q1949" s="19">
        <v>5</v>
      </c>
      <c r="R1949" s="19">
        <v>3</v>
      </c>
      <c r="S1949" s="19">
        <v>2</v>
      </c>
      <c r="W1949" s="20">
        <f>IF(Q1949&lt;&gt;0,3,IF(K1949="","",VLOOKUP(K1949,'#状态名词'!$J$1:$K$15,2,FALSE)))</f>
        <v>3</v>
      </c>
    </row>
    <row r="1950" spans="1:30" s="19" customFormat="1">
      <c r="A1950" s="19">
        <v>100058</v>
      </c>
      <c r="B1950" s="19" t="s">
        <v>5299</v>
      </c>
      <c r="C1950" s="19" t="s">
        <v>5300</v>
      </c>
      <c r="K1950" s="19">
        <v>9</v>
      </c>
      <c r="L1950" s="19">
        <v>100</v>
      </c>
      <c r="W1950" s="20">
        <f>IF(Q1950&lt;&gt;0,3,IF(K1950="","",VLOOKUP(K1950,'#状态名词'!$J$1:$K$15,2,FALSE)))</f>
        <v>3</v>
      </c>
      <c r="AA1950" s="19">
        <v>1</v>
      </c>
      <c r="AB1950" s="19">
        <v>100039</v>
      </c>
      <c r="AC1950" s="19">
        <v>100</v>
      </c>
      <c r="AD1950" s="19">
        <v>1</v>
      </c>
    </row>
    <row r="1951" spans="1:30" s="19" customFormat="1">
      <c r="A1951" s="19">
        <v>100059</v>
      </c>
      <c r="B1951" s="19" t="s">
        <v>5301</v>
      </c>
      <c r="C1951" s="30" t="s">
        <v>7074</v>
      </c>
      <c r="F1951" s="19" t="s">
        <v>7072</v>
      </c>
      <c r="H1951" s="19">
        <v>20</v>
      </c>
      <c r="K1951" s="19">
        <v>5</v>
      </c>
      <c r="L1951" s="19">
        <v>100</v>
      </c>
      <c r="O1951" s="19">
        <v>0</v>
      </c>
      <c r="Q1951" s="19">
        <v>5</v>
      </c>
      <c r="R1951" s="19">
        <v>1</v>
      </c>
      <c r="S1951" s="19">
        <v>2</v>
      </c>
      <c r="W1951" s="20">
        <f>IF(Q1951&lt;&gt;0,3,IF(K1951="","",VLOOKUP(K1951,'#状态名词'!$J$1:$K$15,2,FALSE)))</f>
        <v>3</v>
      </c>
    </row>
    <row r="1952" spans="1:30" s="19" customFormat="1">
      <c r="A1952" s="19">
        <v>100060</v>
      </c>
      <c r="B1952" s="19" t="s">
        <v>5302</v>
      </c>
      <c r="C1952" s="19" t="s">
        <v>7075</v>
      </c>
      <c r="F1952" s="19" t="s">
        <v>7073</v>
      </c>
      <c r="H1952" s="19">
        <v>20</v>
      </c>
      <c r="K1952" s="19">
        <v>5</v>
      </c>
      <c r="L1952" s="19">
        <v>100</v>
      </c>
      <c r="O1952" s="19">
        <v>1</v>
      </c>
      <c r="Q1952" s="19">
        <v>5</v>
      </c>
      <c r="R1952" s="19">
        <v>2</v>
      </c>
      <c r="S1952" s="19">
        <v>2</v>
      </c>
      <c r="W1952" s="20">
        <f>IF(Q1952&lt;&gt;0,3,IF(K1952="","",VLOOKUP(K1952,'#状态名词'!$J$1:$K$15,2,FALSE)))</f>
        <v>3</v>
      </c>
    </row>
    <row r="1953" spans="1:30">
      <c r="A1953" s="20">
        <v>100061</v>
      </c>
      <c r="B1953" s="20" t="s">
        <v>5303</v>
      </c>
      <c r="C1953" s="21" t="s">
        <v>6976</v>
      </c>
      <c r="F1953" s="20" t="s">
        <v>5304</v>
      </c>
      <c r="H1953" s="20">
        <v>20</v>
      </c>
      <c r="K1953" s="20">
        <v>8</v>
      </c>
      <c r="L1953" s="20">
        <v>100</v>
      </c>
      <c r="O1953" s="20">
        <v>1</v>
      </c>
      <c r="Q1953" s="20">
        <v>5</v>
      </c>
      <c r="R1953" s="20">
        <v>5</v>
      </c>
      <c r="S1953" s="20">
        <v>6</v>
      </c>
      <c r="W1953" s="20">
        <f>IF(Q1953&lt;&gt;0,3,IF(K1953="","",VLOOKUP(K1953,'#状态名词'!$J$1:$K$15,2,FALSE)))</f>
        <v>3</v>
      </c>
    </row>
    <row r="1954" spans="1:30">
      <c r="A1954" s="20">
        <v>100062</v>
      </c>
      <c r="B1954" s="20" t="s">
        <v>5305</v>
      </c>
      <c r="C1954" s="21" t="s">
        <v>5306</v>
      </c>
      <c r="K1954" s="20">
        <v>9</v>
      </c>
      <c r="L1954" s="20">
        <v>100</v>
      </c>
      <c r="W1954" s="20">
        <f>IF(Q1954&lt;&gt;0,3,IF(K1954="","",VLOOKUP(K1954,'#状态名词'!$J$1:$K$15,2,FALSE)))</f>
        <v>3</v>
      </c>
      <c r="AA1954" s="20">
        <v>1</v>
      </c>
      <c r="AB1954" s="20">
        <v>100040</v>
      </c>
      <c r="AC1954" s="20">
        <v>100</v>
      </c>
      <c r="AD1954" s="20">
        <v>1</v>
      </c>
    </row>
    <row r="1955" spans="1:30">
      <c r="A1955" s="20">
        <v>100063</v>
      </c>
      <c r="B1955" s="20" t="s">
        <v>5307</v>
      </c>
      <c r="C1955" s="21" t="s">
        <v>7076</v>
      </c>
      <c r="F1955" s="20" t="s">
        <v>7077</v>
      </c>
      <c r="H1955" s="20">
        <v>20</v>
      </c>
      <c r="K1955" s="20">
        <v>5</v>
      </c>
      <c r="L1955" s="20">
        <v>100</v>
      </c>
      <c r="O1955" s="20">
        <v>1</v>
      </c>
      <c r="W1955" s="20">
        <f>IF(Q1955&lt;&gt;0,3,IF(K1955="","",VLOOKUP(K1955,'#状态名词'!$J$1:$K$15,2,FALSE)))</f>
        <v>1</v>
      </c>
      <c r="AA1955" s="20">
        <v>1</v>
      </c>
      <c r="AB1955" s="20">
        <v>100041</v>
      </c>
      <c r="AC1955" s="20">
        <v>100</v>
      </c>
      <c r="AD1955" s="20">
        <v>1</v>
      </c>
    </row>
    <row r="1956" spans="1:30">
      <c r="A1956" s="20">
        <v>100064</v>
      </c>
      <c r="B1956" s="20" t="s">
        <v>5308</v>
      </c>
      <c r="C1956" s="21" t="s">
        <v>7078</v>
      </c>
      <c r="F1956" s="20" t="s">
        <v>7077</v>
      </c>
      <c r="H1956" s="20">
        <v>15</v>
      </c>
      <c r="K1956" s="20">
        <v>10</v>
      </c>
      <c r="L1956" s="20">
        <v>100</v>
      </c>
      <c r="O1956" s="20">
        <v>1</v>
      </c>
      <c r="W1956" s="20">
        <f>IF(Q1956&lt;&gt;0,3,IF(K1956="","",VLOOKUP(K1956,'#状态名词'!$J$1:$K$15,2,FALSE)))</f>
        <v>3</v>
      </c>
    </row>
    <row r="1957" spans="1:30">
      <c r="A1957" s="20">
        <v>100065</v>
      </c>
      <c r="B1957" s="20" t="s">
        <v>5309</v>
      </c>
      <c r="C1957" s="21" t="s">
        <v>7041</v>
      </c>
      <c r="K1957" s="20">
        <v>9</v>
      </c>
      <c r="L1957" s="20">
        <v>100</v>
      </c>
      <c r="W1957" s="20">
        <f>IF(Q1957&lt;&gt;0,3,IF(K1957="","",VLOOKUP(K1957,'#状态名词'!$J$1:$K$15,2,FALSE)))</f>
        <v>3</v>
      </c>
      <c r="AA1957" s="20">
        <v>1</v>
      </c>
      <c r="AB1957" s="20">
        <v>100042</v>
      </c>
      <c r="AC1957" s="20">
        <v>100</v>
      </c>
      <c r="AD1957" s="20">
        <v>1</v>
      </c>
    </row>
    <row r="1958" spans="1:30">
      <c r="A1958" s="20">
        <v>100066</v>
      </c>
      <c r="B1958" s="20" t="s">
        <v>5310</v>
      </c>
      <c r="C1958" s="21" t="s">
        <v>7079</v>
      </c>
      <c r="F1958" s="20" t="s">
        <v>7080</v>
      </c>
      <c r="H1958" s="20">
        <v>20</v>
      </c>
      <c r="K1958" s="20">
        <v>8</v>
      </c>
      <c r="L1958" s="20">
        <v>100</v>
      </c>
      <c r="O1958" s="20">
        <v>1</v>
      </c>
      <c r="Q1958" s="20">
        <v>1</v>
      </c>
      <c r="R1958" s="20">
        <v>2</v>
      </c>
      <c r="S1958" s="20">
        <v>15</v>
      </c>
      <c r="W1958" s="20">
        <f>IF(Q1958&lt;&gt;0,3,IF(K1958="","",VLOOKUP(K1958,'#状态名词'!$J$1:$K$15,2,FALSE)))</f>
        <v>3</v>
      </c>
      <c r="AA1958" s="20">
        <v>1</v>
      </c>
      <c r="AB1958" s="20">
        <v>100043</v>
      </c>
      <c r="AC1958" s="20">
        <v>100</v>
      </c>
      <c r="AD1958" s="20">
        <v>0</v>
      </c>
    </row>
    <row r="1959" spans="1:30">
      <c r="A1959" s="20">
        <v>100067</v>
      </c>
      <c r="B1959" s="20" t="s">
        <v>4768</v>
      </c>
      <c r="C1959" s="21" t="s">
        <v>5311</v>
      </c>
      <c r="K1959" s="20">
        <v>9</v>
      </c>
      <c r="L1959" s="20">
        <v>100</v>
      </c>
      <c r="W1959" s="20">
        <f>IF(Q1959&lt;&gt;0,3,IF(K1959="","",VLOOKUP(K1959,'#状态名词'!$J$1:$K$15,2,FALSE)))</f>
        <v>3</v>
      </c>
      <c r="AA1959" s="20">
        <v>1</v>
      </c>
      <c r="AB1959" s="20">
        <v>100044</v>
      </c>
      <c r="AC1959" s="20">
        <v>100</v>
      </c>
      <c r="AD1959" s="20">
        <v>0</v>
      </c>
    </row>
    <row r="1960" spans="1:30">
      <c r="A1960" s="20">
        <v>100068</v>
      </c>
      <c r="B1960" s="20" t="s">
        <v>5312</v>
      </c>
      <c r="C1960" s="21" t="s">
        <v>7070</v>
      </c>
      <c r="F1960" s="20" t="s">
        <v>7071</v>
      </c>
      <c r="H1960" s="20">
        <v>20</v>
      </c>
      <c r="K1960" s="20">
        <v>5</v>
      </c>
      <c r="L1960" s="20">
        <v>100</v>
      </c>
      <c r="O1960" s="20">
        <v>0</v>
      </c>
      <c r="W1960" s="20">
        <f>IF(Q1960&lt;&gt;0,3,IF(K1960="","",VLOOKUP(K1960,'#状态名词'!$J$1:$K$15,2,FALSE)))</f>
        <v>1</v>
      </c>
      <c r="AA1960" s="20">
        <v>1</v>
      </c>
      <c r="AB1960" s="20">
        <v>100045</v>
      </c>
      <c r="AC1960" s="20">
        <v>100</v>
      </c>
      <c r="AD1960" s="20">
        <v>0</v>
      </c>
    </row>
    <row r="1961" spans="1:30" ht="27">
      <c r="A1961" s="20">
        <v>100069</v>
      </c>
      <c r="B1961" s="20" t="s">
        <v>5313</v>
      </c>
      <c r="C1961" s="21" t="s">
        <v>7069</v>
      </c>
      <c r="F1961" s="20" t="s">
        <v>7068</v>
      </c>
      <c r="H1961" s="20">
        <v>20</v>
      </c>
      <c r="K1961" s="20">
        <v>8</v>
      </c>
      <c r="L1961" s="20">
        <v>100</v>
      </c>
      <c r="O1961" s="20">
        <v>1</v>
      </c>
      <c r="Q1961" s="20">
        <v>5</v>
      </c>
      <c r="R1961" s="20">
        <v>1</v>
      </c>
      <c r="S1961" s="20">
        <v>3</v>
      </c>
      <c r="W1961" s="20">
        <f>IF(Q1961&lt;&gt;0,3,IF(K1961="","",VLOOKUP(K1961,'#状态名词'!$J$1:$K$15,2,FALSE)))</f>
        <v>3</v>
      </c>
      <c r="AA1961" s="20">
        <v>1</v>
      </c>
      <c r="AB1961" s="20">
        <v>100046</v>
      </c>
      <c r="AC1961" s="20">
        <v>100</v>
      </c>
      <c r="AD1961" s="20">
        <v>0</v>
      </c>
    </row>
    <row r="1962" spans="1:30">
      <c r="A1962" s="20">
        <v>100070</v>
      </c>
      <c r="B1962" s="20" t="s">
        <v>5314</v>
      </c>
      <c r="C1962" s="21" t="s">
        <v>5315</v>
      </c>
      <c r="K1962" s="20">
        <v>6</v>
      </c>
      <c r="W1962" s="20">
        <f>IF(Q1962&lt;&gt;0,3,IF(K1962="","",VLOOKUP(K1962,'#状态名词'!$J$1:$K$15,2,FALSE)))</f>
        <v>3</v>
      </c>
      <c r="AA1962" s="20">
        <v>1</v>
      </c>
      <c r="AB1962" s="20">
        <v>100047</v>
      </c>
      <c r="AC1962" s="20">
        <v>100</v>
      </c>
      <c r="AD1962" s="20">
        <v>0</v>
      </c>
    </row>
    <row r="1963" spans="1:30">
      <c r="A1963" s="20">
        <v>100071</v>
      </c>
      <c r="B1963" s="20" t="s">
        <v>6078</v>
      </c>
      <c r="C1963" s="21" t="s">
        <v>6079</v>
      </c>
      <c r="F1963" s="20" t="s">
        <v>867</v>
      </c>
      <c r="H1963" s="20">
        <v>20</v>
      </c>
      <c r="K1963" s="20">
        <v>5</v>
      </c>
      <c r="L1963" s="20">
        <v>50</v>
      </c>
      <c r="O1963" s="20">
        <v>0</v>
      </c>
      <c r="W1963" s="20">
        <f>IF(Q1963&lt;&gt;0,3,IF(K1963="","",VLOOKUP(K1963,'#状态名词'!$J$1:$K$15,2,FALSE)))</f>
        <v>1</v>
      </c>
    </row>
    <row r="1964" spans="1:30">
      <c r="A1964" s="20">
        <v>100072</v>
      </c>
      <c r="B1964" s="20" t="s">
        <v>6080</v>
      </c>
      <c r="C1964" s="21" t="s">
        <v>6081</v>
      </c>
      <c r="K1964" s="20">
        <v>9</v>
      </c>
      <c r="W1964" s="20">
        <f>IF(Q1964&lt;&gt;0,3,IF(K1964="","",VLOOKUP(K1964,'#状态名词'!$J$1:$K$15,2,FALSE)))</f>
        <v>3</v>
      </c>
      <c r="AA1964" s="20">
        <v>1</v>
      </c>
      <c r="AB1964" s="20">
        <v>100072</v>
      </c>
      <c r="AC1964" s="20">
        <v>100</v>
      </c>
      <c r="AD1964" s="20">
        <v>1</v>
      </c>
    </row>
    <row r="1965" spans="1:30">
      <c r="A1965" s="20">
        <v>100073</v>
      </c>
      <c r="B1965" s="20" t="s">
        <v>6082</v>
      </c>
      <c r="C1965" s="21" t="s">
        <v>6083</v>
      </c>
      <c r="W1965" s="20" t="str">
        <f>IF(Q1965&lt;&gt;0,3,IF(K1965="","",VLOOKUP(K1965,'#状态名词'!$J$1:$K$15,2,FALSE)))</f>
        <v/>
      </c>
      <c r="AA1965" s="20">
        <v>1</v>
      </c>
      <c r="AB1965" s="20">
        <v>100073</v>
      </c>
      <c r="AC1965" s="20">
        <v>100</v>
      </c>
      <c r="AD1965" s="20">
        <v>1</v>
      </c>
    </row>
    <row r="1966" spans="1:30">
      <c r="A1966" s="20">
        <v>100074</v>
      </c>
      <c r="B1966" s="20" t="s">
        <v>6084</v>
      </c>
      <c r="C1966" s="21" t="s">
        <v>6085</v>
      </c>
      <c r="F1966" s="20" t="s">
        <v>6086</v>
      </c>
      <c r="H1966" s="20">
        <v>20</v>
      </c>
      <c r="K1966" s="20">
        <v>5</v>
      </c>
      <c r="L1966" s="20">
        <v>50</v>
      </c>
      <c r="N1966" s="20">
        <v>3</v>
      </c>
      <c r="O1966" s="20">
        <v>1</v>
      </c>
      <c r="W1966" s="20">
        <f>IF(Q1966&lt;&gt;0,3,IF(K1966="","",VLOOKUP(K1966,'#状态名词'!$J$1:$K$15,2,FALSE)))</f>
        <v>1</v>
      </c>
      <c r="AA1966" s="20">
        <v>1</v>
      </c>
      <c r="AB1966" s="20">
        <v>100074</v>
      </c>
      <c r="AC1966" s="20">
        <v>100</v>
      </c>
      <c r="AD1966" s="20">
        <v>1</v>
      </c>
    </row>
    <row r="1967" spans="1:30">
      <c r="A1967" s="20">
        <v>100075</v>
      </c>
      <c r="B1967" s="20" t="s">
        <v>6087</v>
      </c>
      <c r="C1967" s="21" t="s">
        <v>6088</v>
      </c>
      <c r="W1967" s="20" t="str">
        <f>IF(Q1967&lt;&gt;0,3,IF(K1967="","",VLOOKUP(K1967,'#状态名词'!$J$1:$K$15,2,FALSE)))</f>
        <v/>
      </c>
      <c r="AA1967" s="20">
        <v>1</v>
      </c>
      <c r="AB1967" s="20">
        <v>100075</v>
      </c>
      <c r="AC1967" s="20">
        <v>100</v>
      </c>
      <c r="AD1967" s="20">
        <v>1</v>
      </c>
    </row>
    <row r="1968" spans="1:30">
      <c r="A1968" s="20">
        <v>100076</v>
      </c>
      <c r="B1968" s="20" t="s">
        <v>6089</v>
      </c>
      <c r="C1968" s="21" t="s">
        <v>6090</v>
      </c>
      <c r="F1968" s="20" t="s">
        <v>6086</v>
      </c>
      <c r="H1968" s="20">
        <v>20</v>
      </c>
      <c r="K1968" s="20">
        <v>5</v>
      </c>
      <c r="L1968" s="20">
        <v>50</v>
      </c>
      <c r="O1968" s="20">
        <v>1</v>
      </c>
      <c r="W1968" s="20">
        <f>IF(Q1968&lt;&gt;0,3,IF(K1968="","",VLOOKUP(K1968,'#状态名词'!$J$1:$K$15,2,FALSE)))</f>
        <v>1</v>
      </c>
    </row>
    <row r="1969" spans="1:31">
      <c r="A1969" s="20">
        <v>100077</v>
      </c>
      <c r="B1969" s="20" t="s">
        <v>6091</v>
      </c>
      <c r="C1969" s="21" t="s">
        <v>6092</v>
      </c>
      <c r="W1969" s="20" t="str">
        <f>IF(Q1969&lt;&gt;0,3,IF(K1969="","",VLOOKUP(K1969,'#状态名词'!$J$1:$K$15,2,FALSE)))</f>
        <v/>
      </c>
      <c r="AA1969" s="20">
        <v>1</v>
      </c>
      <c r="AB1969" s="20">
        <v>100077</v>
      </c>
      <c r="AC1969" s="20">
        <v>100</v>
      </c>
      <c r="AD1969" s="20">
        <v>1</v>
      </c>
    </row>
    <row r="1970" spans="1:31">
      <c r="A1970" s="20">
        <v>100078</v>
      </c>
      <c r="B1970" s="20" t="s">
        <v>6093</v>
      </c>
      <c r="C1970" s="21" t="s">
        <v>6094</v>
      </c>
      <c r="F1970" s="20" t="s">
        <v>867</v>
      </c>
      <c r="H1970" s="20">
        <v>20</v>
      </c>
      <c r="K1970" s="20">
        <v>5</v>
      </c>
      <c r="L1970" s="20">
        <v>50</v>
      </c>
      <c r="N1970" s="20">
        <v>1</v>
      </c>
      <c r="O1970" s="20">
        <v>0</v>
      </c>
      <c r="W1970" s="20">
        <f>IF(Q1970&lt;&gt;0,3,IF(K1970="","",VLOOKUP(K1970,'#状态名词'!$J$1:$K$15,2,FALSE)))</f>
        <v>1</v>
      </c>
      <c r="AA1970" s="20">
        <v>1</v>
      </c>
      <c r="AB1970" s="20">
        <v>100080</v>
      </c>
      <c r="AC1970" s="20">
        <v>100</v>
      </c>
      <c r="AD1970" s="20">
        <v>1</v>
      </c>
    </row>
    <row r="1971" spans="1:31">
      <c r="A1971" s="20">
        <v>100079</v>
      </c>
      <c r="B1971" s="20" t="s">
        <v>6095</v>
      </c>
      <c r="C1971" s="21" t="s">
        <v>6096</v>
      </c>
      <c r="W1971" s="20" t="str">
        <f>IF(Q1971&lt;&gt;0,3,IF(K1971="","",VLOOKUP(K1971,'#状态名词'!$J$1:$K$15,2,FALSE)))</f>
        <v/>
      </c>
      <c r="AA1971" s="20">
        <v>1</v>
      </c>
      <c r="AB1971" s="20">
        <v>100081</v>
      </c>
      <c r="AC1971" s="20">
        <v>100</v>
      </c>
      <c r="AD1971" s="20">
        <v>1</v>
      </c>
    </row>
    <row r="1972" spans="1:31">
      <c r="A1972" s="20">
        <v>100080</v>
      </c>
      <c r="B1972" s="20" t="s">
        <v>6097</v>
      </c>
      <c r="C1972" s="21" t="s">
        <v>6098</v>
      </c>
      <c r="W1972" s="20" t="str">
        <f>IF(Q1972&lt;&gt;0,3,IF(K1972="","",VLOOKUP(K1972,'#状态名词'!$J$1:$K$15,2,FALSE)))</f>
        <v/>
      </c>
      <c r="AA1972" s="20">
        <v>1</v>
      </c>
      <c r="AB1972" s="20">
        <v>100082</v>
      </c>
      <c r="AC1972" s="20">
        <v>100</v>
      </c>
      <c r="AD1972" s="20">
        <v>1</v>
      </c>
    </row>
    <row r="1973" spans="1:31">
      <c r="A1973" s="20">
        <v>100083</v>
      </c>
      <c r="B1973" s="27" t="s">
        <v>7657</v>
      </c>
      <c r="C1973" s="27" t="s">
        <v>7658</v>
      </c>
      <c r="F1973" s="20" t="s">
        <v>6086</v>
      </c>
      <c r="H1973" s="20">
        <v>20</v>
      </c>
      <c r="K1973" s="20">
        <v>5</v>
      </c>
      <c r="L1973" s="20">
        <v>70</v>
      </c>
      <c r="N1973" s="20">
        <v>1</v>
      </c>
      <c r="O1973" s="20">
        <v>1</v>
      </c>
      <c r="W1973" s="20">
        <f>IF(Q1973&lt;&gt;0,3,IF(K1973="","",VLOOKUP(K1973,'#状态名词'!$J$1:$K$15,2,FALSE)))</f>
        <v>1</v>
      </c>
      <c r="AA1973" s="20">
        <v>1</v>
      </c>
      <c r="AB1973" s="20">
        <v>3</v>
      </c>
      <c r="AC1973" s="20">
        <v>100</v>
      </c>
      <c r="AD1973" s="20">
        <v>0</v>
      </c>
      <c r="AE1973" s="20">
        <v>5</v>
      </c>
    </row>
    <row r="1974" spans="1:31">
      <c r="A1974" s="20">
        <v>100084</v>
      </c>
      <c r="B1974" s="27" t="s">
        <v>7659</v>
      </c>
      <c r="C1974" s="27" t="s">
        <v>7660</v>
      </c>
      <c r="F1974" s="20" t="s">
        <v>6086</v>
      </c>
      <c r="H1974" s="20">
        <v>20</v>
      </c>
      <c r="K1974" s="20">
        <v>5</v>
      </c>
      <c r="L1974" s="20">
        <v>70</v>
      </c>
      <c r="N1974" s="20">
        <v>4</v>
      </c>
      <c r="O1974" s="20">
        <v>1</v>
      </c>
      <c r="W1974" s="20">
        <f>IF(Q1974&lt;&gt;0,3,IF(K1974="","",VLOOKUP(K1974,'#状态名词'!$J$1:$K$15,2,FALSE)))</f>
        <v>1</v>
      </c>
      <c r="AA1974" s="20">
        <v>1</v>
      </c>
      <c r="AB1974" s="20">
        <v>4</v>
      </c>
      <c r="AC1974" s="20">
        <v>100</v>
      </c>
      <c r="AD1974" s="20">
        <v>0</v>
      </c>
      <c r="AE1974" s="20">
        <v>5</v>
      </c>
    </row>
    <row r="1975" spans="1:31">
      <c r="A1975" s="20">
        <v>100085</v>
      </c>
      <c r="B1975" s="27" t="s">
        <v>7661</v>
      </c>
      <c r="C1975" s="27" t="s">
        <v>7662</v>
      </c>
      <c r="F1975" s="20" t="s">
        <v>6086</v>
      </c>
      <c r="H1975" s="20">
        <v>20</v>
      </c>
      <c r="K1975" s="20">
        <v>5</v>
      </c>
      <c r="L1975" s="20">
        <v>70</v>
      </c>
      <c r="N1975" s="20">
        <v>2</v>
      </c>
      <c r="O1975" s="20">
        <v>1</v>
      </c>
      <c r="W1975" s="20">
        <f>IF(Q1975&lt;&gt;0,3,IF(K1975="","",VLOOKUP(K1975,'#状态名词'!$J$1:$K$15,2,FALSE)))</f>
        <v>1</v>
      </c>
      <c r="AA1975" s="20">
        <v>1</v>
      </c>
      <c r="AB1975" s="20">
        <v>22</v>
      </c>
      <c r="AC1975" s="20">
        <v>100</v>
      </c>
      <c r="AD1975" s="20">
        <v>0</v>
      </c>
      <c r="AE1975" s="20">
        <v>5</v>
      </c>
    </row>
    <row r="1976" spans="1:31">
      <c r="A1976" s="20">
        <v>100086</v>
      </c>
      <c r="B1976" s="20" t="s">
        <v>7663</v>
      </c>
      <c r="C1976" s="21" t="s">
        <v>7664</v>
      </c>
      <c r="F1976" s="20" t="s">
        <v>7665</v>
      </c>
      <c r="H1976" s="20">
        <v>20</v>
      </c>
      <c r="K1976" s="20">
        <v>5</v>
      </c>
      <c r="L1976" s="20">
        <v>70</v>
      </c>
      <c r="O1976" s="20">
        <v>0</v>
      </c>
      <c r="W1976" s="20">
        <f>IF(Q1976&lt;&gt;0,3,IF(K1976="","",VLOOKUP(K1976,'#状态名词'!$J$1:$K$15,2,FALSE)))</f>
        <v>1</v>
      </c>
      <c r="AA1976" s="20">
        <v>1</v>
      </c>
      <c r="AB1976" s="20">
        <v>100086</v>
      </c>
      <c r="AC1976" s="20">
        <v>100</v>
      </c>
      <c r="AD1976" s="20">
        <v>0</v>
      </c>
    </row>
    <row r="1977" spans="1:31">
      <c r="W1977" s="20" t="str">
        <f>IF(Q1977&lt;&gt;0,3,IF(K1977="","",VLOOKUP(K1977,'#状态名词'!$J$1:$K$15,2,FALSE)))</f>
        <v/>
      </c>
      <c r="AB1977" s="20">
        <v>21</v>
      </c>
      <c r="AC1977" s="20">
        <v>10</v>
      </c>
      <c r="AD1977" s="20">
        <v>0</v>
      </c>
      <c r="AE1977" s="20">
        <v>1</v>
      </c>
    </row>
    <row r="1978" spans="1:31">
      <c r="A1978" s="20">
        <v>100087</v>
      </c>
      <c r="B1978" s="20" t="s">
        <v>7666</v>
      </c>
      <c r="C1978" s="21" t="s">
        <v>7667</v>
      </c>
      <c r="K1978" s="20">
        <v>6</v>
      </c>
      <c r="W1978" s="20">
        <f>IF(Q1978&lt;&gt;0,3,IF(K1978="","",VLOOKUP(K1978,'#状态名词'!$J$1:$K$15,2,FALSE)))</f>
        <v>3</v>
      </c>
      <c r="AA1978" s="20">
        <v>1</v>
      </c>
      <c r="AB1978" s="20">
        <v>100087</v>
      </c>
      <c r="AC1978" s="20">
        <v>100</v>
      </c>
      <c r="AD1978" s="20">
        <v>1</v>
      </c>
    </row>
    <row r="1979" spans="1:31">
      <c r="A1979" s="20">
        <v>100088</v>
      </c>
      <c r="B1979" s="20" t="s">
        <v>7668</v>
      </c>
      <c r="C1979" s="21" t="s">
        <v>7669</v>
      </c>
      <c r="F1979" s="20" t="s">
        <v>6086</v>
      </c>
      <c r="H1979" s="20">
        <v>20</v>
      </c>
      <c r="K1979" s="20">
        <v>5</v>
      </c>
      <c r="L1979" s="20">
        <v>70</v>
      </c>
      <c r="N1979" s="20">
        <v>4</v>
      </c>
      <c r="O1979" s="20">
        <v>1</v>
      </c>
      <c r="W1979" s="20">
        <f>IF(Q1979&lt;&gt;0,3,IF(K1979="","",VLOOKUP(K1979,'#状态名词'!$J$1:$K$15,2,FALSE)))</f>
        <v>1</v>
      </c>
      <c r="AA1979" s="20">
        <v>1</v>
      </c>
      <c r="AB1979" s="20">
        <v>100088</v>
      </c>
      <c r="AC1979" s="20">
        <v>100</v>
      </c>
      <c r="AD1979" s="20">
        <v>0</v>
      </c>
    </row>
    <row r="1980" spans="1:31">
      <c r="W1980" s="20" t="str">
        <f>IF(Q1980&lt;&gt;0,3,IF(K1980="","",VLOOKUP(K1980,'#状态名词'!$J$1:$K$15,2,FALSE)))</f>
        <v/>
      </c>
      <c r="AB1980" s="20">
        <v>12</v>
      </c>
      <c r="AC1980" s="20">
        <v>50</v>
      </c>
      <c r="AD1980" s="20">
        <v>0</v>
      </c>
      <c r="AE1980" s="20">
        <v>2</v>
      </c>
    </row>
    <row r="1981" spans="1:31">
      <c r="A1981" s="20">
        <v>100089</v>
      </c>
      <c r="B1981" s="20" t="s">
        <v>7670</v>
      </c>
      <c r="C1981" s="21" t="s">
        <v>7671</v>
      </c>
      <c r="K1981" s="20">
        <v>6</v>
      </c>
      <c r="W1981" s="20">
        <f>IF(Q1981&lt;&gt;0,3,IF(K1981="","",VLOOKUP(K1981,'#状态名词'!$J$1:$K$15,2,FALSE)))</f>
        <v>3</v>
      </c>
      <c r="AA1981" s="20">
        <v>1</v>
      </c>
      <c r="AB1981" s="20">
        <v>100089</v>
      </c>
      <c r="AC1981" s="20">
        <v>100</v>
      </c>
      <c r="AD1981" s="20">
        <v>1</v>
      </c>
    </row>
    <row r="1982" spans="1:31">
      <c r="A1982" s="37">
        <v>100201</v>
      </c>
      <c r="B1982" s="20" t="s">
        <v>7651</v>
      </c>
      <c r="C1982" s="21" t="s">
        <v>7856</v>
      </c>
      <c r="F1982" s="20" t="s">
        <v>7862</v>
      </c>
      <c r="H1982" s="20">
        <v>5</v>
      </c>
      <c r="K1982" s="20">
        <v>1</v>
      </c>
      <c r="L1982" s="20">
        <v>100</v>
      </c>
      <c r="O1982" s="20">
        <v>0</v>
      </c>
      <c r="W1982" s="20">
        <f>IF(Q1982&lt;&gt;0,3,IF(K1982="","",VLOOKUP(K1982,'#状态名词'!$J$1:$K$15,2,FALSE)))</f>
        <v>1</v>
      </c>
    </row>
    <row r="1983" spans="1:31">
      <c r="A1983" s="20">
        <v>100202</v>
      </c>
      <c r="B1983" s="20" t="s">
        <v>7653</v>
      </c>
      <c r="C1983" s="21" t="s">
        <v>7857</v>
      </c>
      <c r="F1983" s="20" t="s">
        <v>7863</v>
      </c>
      <c r="H1983" s="20">
        <v>23</v>
      </c>
      <c r="K1983" s="20">
        <v>5</v>
      </c>
      <c r="L1983" s="20">
        <v>100</v>
      </c>
      <c r="N1983" s="20">
        <v>3</v>
      </c>
      <c r="O1983" s="20">
        <v>0</v>
      </c>
      <c r="U1983" s="20">
        <v>40</v>
      </c>
      <c r="W1983" s="20">
        <f>IF(Q1983&lt;&gt;0,3,IF(K1983="","",VLOOKUP(K1983,'#状态名词'!$J$1:$K$15,2,FALSE)))</f>
        <v>1</v>
      </c>
    </row>
    <row r="1984" spans="1:31">
      <c r="A1984" s="20">
        <v>100203</v>
      </c>
      <c r="B1984" s="20" t="s">
        <v>7654</v>
      </c>
      <c r="C1984" s="21" t="s">
        <v>7858</v>
      </c>
      <c r="F1984" s="20" t="s">
        <v>7864</v>
      </c>
      <c r="H1984" s="20">
        <v>35</v>
      </c>
      <c r="K1984" s="20">
        <v>5</v>
      </c>
      <c r="L1984" s="20">
        <v>100</v>
      </c>
      <c r="N1984" s="20">
        <v>1</v>
      </c>
      <c r="O1984" s="20">
        <v>0</v>
      </c>
      <c r="W1984" s="20">
        <f>IF(Q1984&lt;&gt;0,3,IF(K1984="","",VLOOKUP(K1984,'#状态名词'!$J$1:$K$15,2,FALSE)))</f>
        <v>1</v>
      </c>
    </row>
    <row r="1985" spans="1:31">
      <c r="A1985" s="20">
        <v>100204</v>
      </c>
      <c r="B1985" s="20" t="s">
        <v>7652</v>
      </c>
      <c r="C1985" s="21" t="s">
        <v>7859</v>
      </c>
      <c r="F1985" s="20" t="s">
        <v>7865</v>
      </c>
      <c r="H1985" s="20">
        <v>50</v>
      </c>
      <c r="K1985" s="20">
        <v>5</v>
      </c>
      <c r="L1985" s="20">
        <v>100</v>
      </c>
      <c r="N1985" s="20">
        <v>2</v>
      </c>
      <c r="O1985" s="20">
        <v>1</v>
      </c>
      <c r="V1985" s="20">
        <v>60</v>
      </c>
      <c r="W1985" s="20">
        <f>IF(Q1985&lt;&gt;0,3,IF(K1985="","",VLOOKUP(K1985,'#状态名词'!$J$1:$K$15,2,FALSE)))</f>
        <v>1</v>
      </c>
    </row>
    <row r="1986" spans="1:31">
      <c r="A1986" s="20">
        <v>100205</v>
      </c>
      <c r="B1986" s="20" t="s">
        <v>7655</v>
      </c>
      <c r="C1986" s="21" t="s">
        <v>7860</v>
      </c>
      <c r="F1986" s="20" t="s">
        <v>7866</v>
      </c>
      <c r="H1986" s="20">
        <v>35</v>
      </c>
      <c r="K1986" s="20">
        <v>5</v>
      </c>
      <c r="L1986" s="20">
        <v>100</v>
      </c>
      <c r="O1986" s="20">
        <v>1</v>
      </c>
      <c r="W1986" s="20">
        <f>IF(Q1986&lt;&gt;0,3,IF(K1986="","",VLOOKUP(K1986,'#状态名词'!$J$1:$K$15,2,FALSE)))</f>
        <v>1</v>
      </c>
      <c r="AA1986" s="20">
        <v>1</v>
      </c>
      <c r="AB1986" s="20">
        <v>11</v>
      </c>
      <c r="AC1986" s="20">
        <v>100</v>
      </c>
      <c r="AD1986" s="20">
        <v>0</v>
      </c>
      <c r="AE1986" s="20">
        <v>1</v>
      </c>
    </row>
    <row r="1987" spans="1:31">
      <c r="A1987" s="20">
        <v>100206</v>
      </c>
      <c r="B1987" s="20" t="s">
        <v>7656</v>
      </c>
      <c r="C1987" s="21" t="s">
        <v>7861</v>
      </c>
      <c r="F1987" s="20" t="s">
        <v>7867</v>
      </c>
      <c r="H1987" s="20">
        <v>38</v>
      </c>
      <c r="K1987" s="20">
        <v>5</v>
      </c>
      <c r="L1987" s="20">
        <v>100</v>
      </c>
      <c r="O1987" s="20">
        <v>1</v>
      </c>
      <c r="W1987" s="20">
        <f>IF(Q1987&lt;&gt;0,3,IF(K1987="","",VLOOKUP(K1987,'#状态名词'!$J$1:$K$15,2,FALSE)))</f>
        <v>1</v>
      </c>
    </row>
    <row r="1988" spans="1:31">
      <c r="A1988" s="20">
        <v>100207</v>
      </c>
      <c r="B1988" s="20" t="s">
        <v>7686</v>
      </c>
      <c r="C1988" s="21" t="s">
        <v>7833</v>
      </c>
      <c r="W1988" s="20" t="str">
        <f>IF(Q1988&lt;&gt;0,3,IF(K1988="","",VLOOKUP(K1988,'#状态名词'!$J$1:$K$15,2,FALSE)))</f>
        <v/>
      </c>
      <c r="AA1988" s="20">
        <v>1</v>
      </c>
      <c r="AB1988" s="20">
        <v>100207</v>
      </c>
      <c r="AC1988" s="20">
        <v>100</v>
      </c>
      <c r="AD1988" s="20">
        <v>2</v>
      </c>
    </row>
    <row r="1989" spans="1:31">
      <c r="A1989" s="20">
        <v>100208</v>
      </c>
      <c r="B1989" s="20" t="s">
        <v>7687</v>
      </c>
      <c r="C1989" s="21" t="s">
        <v>7835</v>
      </c>
      <c r="W1989" s="20" t="str">
        <f>IF(Q1989&lt;&gt;0,3,IF(K1989="","",VLOOKUP(K1989,'#状态名词'!$J$1:$K$15,2,FALSE)))</f>
        <v/>
      </c>
      <c r="AA1989" s="20">
        <v>1</v>
      </c>
      <c r="AB1989" s="20">
        <v>100208</v>
      </c>
      <c r="AC1989" s="20">
        <v>100</v>
      </c>
      <c r="AD1989" s="20">
        <v>2</v>
      </c>
    </row>
    <row r="1990" spans="1:31">
      <c r="A1990" s="20">
        <v>100209</v>
      </c>
      <c r="B1990" s="20" t="s">
        <v>7688</v>
      </c>
      <c r="C1990" s="21" t="s">
        <v>7836</v>
      </c>
      <c r="W1990" s="20" t="str">
        <f>IF(Q1990&lt;&gt;0,3,IF(K1990="","",VLOOKUP(K1990,'#状态名词'!$J$1:$K$15,2,FALSE)))</f>
        <v/>
      </c>
      <c r="AA1990" s="20">
        <v>1</v>
      </c>
      <c r="AB1990" s="20">
        <v>100209</v>
      </c>
      <c r="AC1990" s="20">
        <v>100</v>
      </c>
      <c r="AD1990" s="20">
        <v>2</v>
      </c>
    </row>
    <row r="1991" spans="1:31">
      <c r="A1991" s="20">
        <v>100210</v>
      </c>
      <c r="B1991" s="20" t="s">
        <v>7689</v>
      </c>
      <c r="C1991" s="21" t="s">
        <v>7838</v>
      </c>
      <c r="W1991" s="20" t="str">
        <f>IF(Q1991&lt;&gt;0,3,IF(K1991="","",VLOOKUP(K1991,'#状态名词'!$J$1:$K$15,2,FALSE)))</f>
        <v/>
      </c>
      <c r="AA1991" s="20">
        <v>1</v>
      </c>
      <c r="AB1991" s="20">
        <v>100210</v>
      </c>
      <c r="AC1991" s="20">
        <v>100</v>
      </c>
      <c r="AD1991" s="20">
        <v>2</v>
      </c>
    </row>
    <row r="1992" spans="1:31">
      <c r="A1992" s="20">
        <v>100211</v>
      </c>
      <c r="B1992" s="20" t="s">
        <v>7690</v>
      </c>
      <c r="C1992" s="21" t="s">
        <v>7840</v>
      </c>
      <c r="W1992" s="20" t="str">
        <f>IF(Q1992&lt;&gt;0,3,IF(K1992="","",VLOOKUP(K1992,'#状态名词'!$J$1:$K$15,2,FALSE)))</f>
        <v/>
      </c>
      <c r="AA1992" s="20">
        <v>1</v>
      </c>
      <c r="AB1992" s="20">
        <v>100211</v>
      </c>
      <c r="AC1992" s="20">
        <v>100</v>
      </c>
      <c r="AD1992" s="20">
        <v>2</v>
      </c>
    </row>
    <row r="1993" spans="1:31">
      <c r="A1993" s="20">
        <v>100212</v>
      </c>
      <c r="B1993" s="20" t="s">
        <v>7691</v>
      </c>
      <c r="C1993" s="21" t="s">
        <v>7842</v>
      </c>
      <c r="W1993" s="20" t="str">
        <f>IF(Q1993&lt;&gt;0,3,IF(K1993="","",VLOOKUP(K1993,'#状态名词'!$J$1:$K$15,2,FALSE)))</f>
        <v/>
      </c>
      <c r="AA1993" s="20">
        <v>1</v>
      </c>
      <c r="AB1993" s="20">
        <v>100212</v>
      </c>
      <c r="AC1993" s="20">
        <v>100</v>
      </c>
      <c r="AD1993" s="20">
        <v>2</v>
      </c>
    </row>
    <row r="1994" spans="1:31">
      <c r="A1994" s="20">
        <v>100213</v>
      </c>
      <c r="B1994" s="20" t="s">
        <v>7692</v>
      </c>
      <c r="C1994" s="21" t="s">
        <v>7844</v>
      </c>
      <c r="W1994" s="20" t="str">
        <f>IF(Q1994&lt;&gt;0,3,IF(K1994="","",VLOOKUP(K1994,'#状态名词'!$J$1:$K$15,2,FALSE)))</f>
        <v/>
      </c>
      <c r="AA1994" s="20">
        <v>1</v>
      </c>
      <c r="AB1994" s="20">
        <v>100213</v>
      </c>
      <c r="AC1994" s="20">
        <v>100</v>
      </c>
      <c r="AD1994" s="20">
        <v>2</v>
      </c>
    </row>
    <row r="1995" spans="1:31">
      <c r="A1995" s="20">
        <v>100214</v>
      </c>
      <c r="B1995" s="20" t="s">
        <v>7693</v>
      </c>
      <c r="C1995" s="21" t="s">
        <v>7846</v>
      </c>
      <c r="W1995" s="20" t="str">
        <f>IF(Q1995&lt;&gt;0,3,IF(K1995="","",VLOOKUP(K1995,'#状态名词'!$J$1:$K$15,2,FALSE)))</f>
        <v/>
      </c>
      <c r="AA1995" s="20">
        <v>1</v>
      </c>
      <c r="AB1995" s="20">
        <v>100214</v>
      </c>
      <c r="AC1995" s="20">
        <v>100</v>
      </c>
      <c r="AD1995" s="20">
        <v>2</v>
      </c>
    </row>
    <row r="1996" spans="1:31">
      <c r="A1996" s="20">
        <v>100215</v>
      </c>
      <c r="B1996" s="20" t="s">
        <v>7694</v>
      </c>
      <c r="C1996" s="21" t="s">
        <v>7848</v>
      </c>
      <c r="W1996" s="20" t="str">
        <f>IF(Q1996&lt;&gt;0,3,IF(K1996="","",VLOOKUP(K1996,'#状态名词'!$J$1:$K$15,2,FALSE)))</f>
        <v/>
      </c>
      <c r="AA1996" s="20">
        <v>1</v>
      </c>
      <c r="AB1996" s="20">
        <v>100215</v>
      </c>
      <c r="AC1996" s="20">
        <v>100</v>
      </c>
      <c r="AD1996" s="20">
        <v>2</v>
      </c>
    </row>
    <row r="1997" spans="1:31">
      <c r="A1997" s="20">
        <v>100216</v>
      </c>
      <c r="B1997" s="20" t="s">
        <v>7695</v>
      </c>
      <c r="C1997" s="21" t="s">
        <v>7849</v>
      </c>
      <c r="W1997" s="20" t="str">
        <f>IF(Q1997&lt;&gt;0,3,IF(K1997="","",VLOOKUP(K1997,'#状态名词'!$J$1:$K$15,2,FALSE)))</f>
        <v/>
      </c>
      <c r="AA1997" s="20">
        <v>1</v>
      </c>
      <c r="AB1997" s="20">
        <v>100216</v>
      </c>
      <c r="AC1997" s="20">
        <v>100</v>
      </c>
      <c r="AD1997" s="20">
        <v>2</v>
      </c>
    </row>
    <row r="1998" spans="1:31">
      <c r="A1998" s="20">
        <v>100217</v>
      </c>
      <c r="B1998" s="20" t="s">
        <v>7696</v>
      </c>
      <c r="C1998" s="21" t="s">
        <v>7851</v>
      </c>
      <c r="W1998" s="20" t="str">
        <f>IF(Q1998&lt;&gt;0,3,IF(K1998="","",VLOOKUP(K1998,'#状态名词'!$J$1:$K$15,2,FALSE)))</f>
        <v/>
      </c>
      <c r="AA1998" s="20">
        <v>1</v>
      </c>
      <c r="AB1998" s="20">
        <v>100217</v>
      </c>
      <c r="AC1998" s="20">
        <v>100</v>
      </c>
      <c r="AD1998" s="20">
        <v>2</v>
      </c>
    </row>
    <row r="1999" spans="1:31">
      <c r="A1999" s="20">
        <v>100218</v>
      </c>
      <c r="B1999" s="20" t="s">
        <v>7697</v>
      </c>
      <c r="C1999" s="21" t="s">
        <v>7853</v>
      </c>
      <c r="W1999" s="20" t="str">
        <f>IF(Q1999&lt;&gt;0,3,IF(K1999="","",VLOOKUP(K1999,'#状态名词'!$J$1:$K$15,2,FALSE)))</f>
        <v/>
      </c>
      <c r="AA1999" s="20">
        <v>1</v>
      </c>
      <c r="AB1999" s="20">
        <v>100218</v>
      </c>
      <c r="AC1999" s="20">
        <v>100</v>
      </c>
      <c r="AD1999" s="20">
        <v>2</v>
      </c>
    </row>
    <row r="2000" spans="1:31">
      <c r="A2000" s="20">
        <v>100219</v>
      </c>
      <c r="B2000" s="20" t="s">
        <v>7698</v>
      </c>
      <c r="C2000" s="21" t="s">
        <v>7855</v>
      </c>
      <c r="W2000" s="20" t="str">
        <f>IF(Q2000&lt;&gt;0,3,IF(K2000="","",VLOOKUP(K2000,'#状态名词'!$J$1:$K$15,2,FALSE)))</f>
        <v/>
      </c>
      <c r="AA2000" s="20">
        <v>1</v>
      </c>
      <c r="AB2000" s="20">
        <v>100219</v>
      </c>
      <c r="AC2000" s="20">
        <v>100</v>
      </c>
      <c r="AD2000" s="20">
        <v>2</v>
      </c>
    </row>
    <row r="2001" spans="1:31">
      <c r="A2001" s="20">
        <v>100220</v>
      </c>
      <c r="B2001" s="20" t="s">
        <v>7699</v>
      </c>
      <c r="C2001" s="21" t="s">
        <v>7700</v>
      </c>
      <c r="W2001" s="20" t="str">
        <f>IF(Q2001&lt;&gt;0,3,IF(K2001="","",VLOOKUP(K2001,'#状态名词'!$J$1:$K$15,2,FALSE)))</f>
        <v/>
      </c>
      <c r="AA2001" s="20">
        <v>1</v>
      </c>
      <c r="AB2001" s="20">
        <v>100220</v>
      </c>
      <c r="AC2001" s="20">
        <v>100</v>
      </c>
      <c r="AD2001" s="20">
        <v>2</v>
      </c>
    </row>
    <row r="2002" spans="1:31" s="19" customFormat="1">
      <c r="A2002" s="19">
        <v>200001</v>
      </c>
      <c r="B2002" s="19" t="s">
        <v>5279</v>
      </c>
      <c r="C2002" s="19" t="s">
        <v>5280</v>
      </c>
      <c r="F2002" s="19" t="s">
        <v>5281</v>
      </c>
      <c r="H2002" s="19">
        <v>25</v>
      </c>
      <c r="J2002" s="19" t="s">
        <v>1528</v>
      </c>
      <c r="K2002" s="19">
        <v>5</v>
      </c>
      <c r="L2002" s="19">
        <v>100</v>
      </c>
      <c r="O2002" s="19">
        <v>0</v>
      </c>
      <c r="W2002" s="20">
        <f>IF(Q2002&lt;&gt;0,3,IF(K2002="","",VLOOKUP(K2002,'#状态名词'!$J$1:$K$15,2,FALSE)))</f>
        <v>1</v>
      </c>
      <c r="AA2002" s="19">
        <v>1</v>
      </c>
      <c r="AB2002" s="19">
        <v>43</v>
      </c>
      <c r="AC2002" s="19">
        <v>100</v>
      </c>
      <c r="AD2002" s="19">
        <v>1</v>
      </c>
      <c r="AE2002" s="19">
        <v>2</v>
      </c>
    </row>
    <row r="2003" spans="1:31" s="19" customFormat="1">
      <c r="W2003" s="20" t="str">
        <f>IF(Q2003&lt;&gt;0,3,IF(K2003="","",VLOOKUP(K2003,'#状态名词'!$J$1:$K$15,2,FALSE)))</f>
        <v/>
      </c>
      <c r="AA2003" s="19">
        <v>1</v>
      </c>
      <c r="AB2003" s="19">
        <v>200001</v>
      </c>
      <c r="AC2003" s="19">
        <v>100</v>
      </c>
      <c r="AD2003" s="19">
        <v>1</v>
      </c>
    </row>
    <row r="2004" spans="1:31" s="19" customFormat="1" ht="14.1" customHeight="1">
      <c r="A2004" s="19">
        <v>200002</v>
      </c>
      <c r="B2004" s="19" t="s">
        <v>5282</v>
      </c>
      <c r="C2004" s="19" t="s">
        <v>5283</v>
      </c>
      <c r="F2004" s="19" t="s">
        <v>5284</v>
      </c>
      <c r="H2004" s="19">
        <v>25</v>
      </c>
      <c r="J2004" s="19" t="s">
        <v>1529</v>
      </c>
      <c r="K2004" s="19">
        <v>5</v>
      </c>
      <c r="L2004" s="19">
        <v>100</v>
      </c>
      <c r="O2004" s="20">
        <v>0</v>
      </c>
      <c r="W2004" s="20">
        <f>IF(Q2004&lt;&gt;0,3,IF(K2004="","",VLOOKUP(K2004,'#状态名词'!$J$1:$K$15,2,FALSE)))</f>
        <v>1</v>
      </c>
      <c r="AA2004" s="19">
        <v>1</v>
      </c>
      <c r="AB2004" s="19">
        <v>43</v>
      </c>
      <c r="AC2004" s="19">
        <v>100</v>
      </c>
      <c r="AD2004" s="19">
        <v>1</v>
      </c>
      <c r="AE2004" s="19">
        <v>2</v>
      </c>
    </row>
    <row r="2005" spans="1:31" s="19" customFormat="1">
      <c r="W2005" s="20" t="str">
        <f>IF(Q2005&lt;&gt;0,3,IF(K2005="","",VLOOKUP(K2005,'#状态名词'!$J$1:$K$15,2,FALSE)))</f>
        <v/>
      </c>
      <c r="AA2005" s="19">
        <v>1</v>
      </c>
      <c r="AB2005" s="19">
        <v>200002</v>
      </c>
      <c r="AC2005" s="19">
        <v>100</v>
      </c>
      <c r="AD2005" s="19">
        <v>1</v>
      </c>
    </row>
    <row r="2006" spans="1:31" s="19" customFormat="1">
      <c r="A2006" s="19">
        <v>200003</v>
      </c>
      <c r="B2006" s="19" t="s">
        <v>5285</v>
      </c>
      <c r="C2006" s="19" t="s">
        <v>5286</v>
      </c>
      <c r="F2006" s="19" t="s">
        <v>7055</v>
      </c>
      <c r="H2006" s="19">
        <v>20</v>
      </c>
      <c r="J2006" s="19" t="s">
        <v>1464</v>
      </c>
      <c r="K2006" s="19">
        <v>5</v>
      </c>
      <c r="L2006" s="19">
        <v>100</v>
      </c>
      <c r="N2006" s="19">
        <v>4</v>
      </c>
      <c r="O2006" s="19">
        <v>0</v>
      </c>
      <c r="W2006" s="20">
        <f>IF(Q2006&lt;&gt;0,3,IF(K2006="","",VLOOKUP(K2006,'#状态名词'!$J$1:$K$15,2,FALSE)))</f>
        <v>1</v>
      </c>
      <c r="AA2006" s="19">
        <v>1</v>
      </c>
      <c r="AB2006" s="19">
        <v>36</v>
      </c>
      <c r="AC2006" s="19">
        <v>100</v>
      </c>
      <c r="AD2006" s="19">
        <v>1</v>
      </c>
      <c r="AE2006" s="19">
        <v>2</v>
      </c>
    </row>
    <row r="2007" spans="1:31" s="19" customFormat="1">
      <c r="A2007" s="19">
        <v>200004</v>
      </c>
      <c r="B2007" s="19" t="s">
        <v>5287</v>
      </c>
      <c r="C2007" s="19" t="s">
        <v>5288</v>
      </c>
      <c r="F2007" s="19" t="s">
        <v>5289</v>
      </c>
      <c r="H2007" s="19">
        <v>20</v>
      </c>
      <c r="J2007" s="19" t="s">
        <v>1483</v>
      </c>
      <c r="K2007" s="19">
        <v>5</v>
      </c>
      <c r="L2007" s="19">
        <v>100</v>
      </c>
      <c r="N2007" s="19">
        <v>4</v>
      </c>
      <c r="O2007" s="19">
        <v>1</v>
      </c>
      <c r="W2007" s="20">
        <f>IF(Q2007&lt;&gt;0,3,IF(K2007="","",VLOOKUP(K2007,'#状态名词'!$J$1:$K$15,2,FALSE)))</f>
        <v>1</v>
      </c>
      <c r="AA2007" s="19">
        <v>1</v>
      </c>
      <c r="AB2007" s="19">
        <v>12</v>
      </c>
      <c r="AC2007" s="19">
        <v>100</v>
      </c>
      <c r="AD2007" s="19">
        <v>0</v>
      </c>
      <c r="AE2007" s="19">
        <v>1</v>
      </c>
    </row>
    <row r="2008" spans="1:31" s="19" customFormat="1">
      <c r="A2008" s="19">
        <v>200005</v>
      </c>
      <c r="B2008" s="19" t="s">
        <v>5290</v>
      </c>
      <c r="C2008" s="19" t="s">
        <v>5291</v>
      </c>
      <c r="F2008" s="19" t="s">
        <v>5281</v>
      </c>
      <c r="H2008" s="19">
        <v>20</v>
      </c>
      <c r="J2008" s="19" t="s">
        <v>1463</v>
      </c>
      <c r="K2008" s="19">
        <v>5</v>
      </c>
      <c r="L2008" s="19">
        <v>33</v>
      </c>
      <c r="O2008" s="19">
        <v>1</v>
      </c>
      <c r="W2008" s="20">
        <f>IF(Q2008&lt;&gt;0,3,IF(K2008="","",VLOOKUP(K2008,'#状态名词'!$J$1:$K$15,2,FALSE)))</f>
        <v>1</v>
      </c>
      <c r="AA2008" s="19">
        <v>1</v>
      </c>
      <c r="AB2008" s="19">
        <v>13</v>
      </c>
      <c r="AC2008" s="19">
        <v>100</v>
      </c>
      <c r="AD2008" s="19">
        <v>0</v>
      </c>
      <c r="AE2008" s="19">
        <v>5</v>
      </c>
    </row>
    <row r="2009" spans="1:31" s="19" customFormat="1">
      <c r="H2009" s="19">
        <v>20</v>
      </c>
      <c r="W2009" s="20" t="str">
        <f>IF(Q2009&lt;&gt;0,3,IF(K2009="","",VLOOKUP(K2009,'#状态名词'!$J$1:$K$15,2,FALSE)))</f>
        <v/>
      </c>
      <c r="AA2009" s="19">
        <v>1</v>
      </c>
      <c r="AB2009" s="19">
        <v>5</v>
      </c>
      <c r="AC2009" s="19">
        <v>100</v>
      </c>
      <c r="AD2009" s="19">
        <v>0</v>
      </c>
      <c r="AE2009" s="19">
        <v>2</v>
      </c>
    </row>
    <row r="2010" spans="1:31" s="19" customFormat="1">
      <c r="A2010" s="19">
        <v>200006</v>
      </c>
      <c r="B2010" s="19" t="s">
        <v>5292</v>
      </c>
      <c r="C2010" s="19" t="s">
        <v>5293</v>
      </c>
      <c r="F2010" s="19" t="s">
        <v>5281</v>
      </c>
      <c r="H2010" s="19">
        <v>20</v>
      </c>
      <c r="J2010" s="19" t="s">
        <v>1515</v>
      </c>
      <c r="K2010" s="19">
        <v>5</v>
      </c>
      <c r="L2010" s="19">
        <v>33</v>
      </c>
      <c r="O2010" s="19">
        <v>1</v>
      </c>
      <c r="W2010" s="20">
        <f>IF(Q2010&lt;&gt;0,3,IF(K2010="","",VLOOKUP(K2010,'#状态名词'!$J$1:$K$15,2,FALSE)))</f>
        <v>1</v>
      </c>
      <c r="AA2010" s="19">
        <v>1</v>
      </c>
      <c r="AB2010" s="19">
        <v>43</v>
      </c>
      <c r="AC2010" s="19">
        <v>100</v>
      </c>
      <c r="AD2010" s="19">
        <v>1</v>
      </c>
      <c r="AE2010" s="19">
        <v>5</v>
      </c>
    </row>
    <row r="2011" spans="1:31" s="19" customFormat="1">
      <c r="A2011" s="19">
        <v>200007</v>
      </c>
      <c r="B2011" s="19" t="s">
        <v>5294</v>
      </c>
      <c r="C2011" s="19" t="s">
        <v>5295</v>
      </c>
      <c r="F2011" s="19" t="s">
        <v>5281</v>
      </c>
      <c r="J2011" s="19" t="s">
        <v>1520</v>
      </c>
      <c r="K2011" s="19">
        <v>5</v>
      </c>
      <c r="L2011" s="19">
        <v>33</v>
      </c>
      <c r="O2011" s="19">
        <v>1</v>
      </c>
      <c r="W2011" s="20">
        <f>IF(Q2011&lt;&gt;0,3,IF(K2011="","",VLOOKUP(K2011,'#状态名词'!$J$1:$K$15,2,FALSE)))</f>
        <v>1</v>
      </c>
      <c r="AA2011" s="19">
        <v>1</v>
      </c>
      <c r="AB2011" s="19">
        <v>12</v>
      </c>
      <c r="AC2011" s="19">
        <v>100</v>
      </c>
      <c r="AD2011" s="19">
        <v>0</v>
      </c>
      <c r="AE2011" s="19">
        <v>2</v>
      </c>
    </row>
    <row r="2012" spans="1:31">
      <c r="A2012" s="20">
        <v>200008</v>
      </c>
      <c r="B2012" s="20" t="s">
        <v>7045</v>
      </c>
      <c r="C2012" s="21" t="s">
        <v>7052</v>
      </c>
      <c r="F2012" s="20" t="s">
        <v>7056</v>
      </c>
      <c r="H2012" s="20">
        <v>20</v>
      </c>
      <c r="K2012" s="20">
        <v>5</v>
      </c>
      <c r="L2012" s="20">
        <v>100</v>
      </c>
      <c r="N2012" s="20">
        <v>2</v>
      </c>
      <c r="O2012" s="20">
        <v>0</v>
      </c>
      <c r="W2012" s="20">
        <f>IF(Q2012&lt;&gt;0,3,IF(K2012="","",VLOOKUP(K2012,'#状态名词'!$J$1:$K$15,2,FALSE)))</f>
        <v>1</v>
      </c>
    </row>
    <row r="2013" spans="1:31">
      <c r="A2013" s="19">
        <v>200009</v>
      </c>
      <c r="B2013" s="20" t="s">
        <v>7046</v>
      </c>
      <c r="C2013" s="21" t="s">
        <v>7053</v>
      </c>
      <c r="F2013" s="20" t="s">
        <v>7057</v>
      </c>
      <c r="H2013" s="20">
        <v>20</v>
      </c>
      <c r="K2013" s="20">
        <v>5</v>
      </c>
      <c r="L2013" s="20">
        <v>100</v>
      </c>
      <c r="N2013" s="20">
        <v>1</v>
      </c>
      <c r="O2013" s="20">
        <v>1</v>
      </c>
      <c r="W2013" s="20">
        <f>IF(Q2013&lt;&gt;0,3,IF(K2013="","",VLOOKUP(K2013,'#状态名词'!$J$1:$K$15,2,FALSE)))</f>
        <v>1</v>
      </c>
    </row>
    <row r="2014" spans="1:31">
      <c r="A2014" s="20">
        <v>200010</v>
      </c>
      <c r="B2014" s="20" t="s">
        <v>7047</v>
      </c>
      <c r="C2014" s="21" t="s">
        <v>7049</v>
      </c>
      <c r="F2014" s="20" t="s">
        <v>7054</v>
      </c>
      <c r="H2014" s="20">
        <v>20</v>
      </c>
      <c r="J2014" s="20" t="s">
        <v>1464</v>
      </c>
      <c r="K2014" s="20">
        <v>5</v>
      </c>
      <c r="L2014" s="20">
        <v>60</v>
      </c>
      <c r="N2014" s="20">
        <v>4</v>
      </c>
      <c r="O2014" s="20">
        <v>0</v>
      </c>
      <c r="W2014" s="20">
        <f>IF(Q2014&lt;&gt;0,3,IF(K2014="","",VLOOKUP(K2014,'#状态名词'!$J$1:$K$15,2,FALSE)))</f>
        <v>1</v>
      </c>
      <c r="AA2014" s="20">
        <v>1</v>
      </c>
      <c r="AB2014" s="20">
        <v>36</v>
      </c>
      <c r="AC2014" s="20">
        <v>100</v>
      </c>
      <c r="AD2014" s="20">
        <v>1</v>
      </c>
      <c r="AE2014" s="20">
        <v>2</v>
      </c>
    </row>
    <row r="2015" spans="1:31">
      <c r="A2015" s="19">
        <v>200011</v>
      </c>
      <c r="B2015" s="20" t="s">
        <v>7048</v>
      </c>
      <c r="C2015" s="21" t="s">
        <v>7050</v>
      </c>
      <c r="F2015" s="20" t="s">
        <v>7051</v>
      </c>
      <c r="H2015" s="20">
        <v>20</v>
      </c>
      <c r="J2015" s="20" t="s">
        <v>1483</v>
      </c>
      <c r="K2015" s="20">
        <v>5</v>
      </c>
      <c r="L2015" s="20">
        <v>60</v>
      </c>
      <c r="N2015" s="20">
        <v>4</v>
      </c>
      <c r="O2015" s="20">
        <v>1</v>
      </c>
      <c r="W2015" s="20">
        <f>IF(Q2015&lt;&gt;0,3,IF(K2015="","",VLOOKUP(K2015,'#状态名词'!$J$1:$K$15,2,FALSE)))</f>
        <v>1</v>
      </c>
      <c r="AA2015" s="20">
        <v>1</v>
      </c>
      <c r="AB2015" s="20">
        <v>12</v>
      </c>
      <c r="AC2015" s="20">
        <v>100</v>
      </c>
      <c r="AD2015" s="20">
        <v>0</v>
      </c>
      <c r="AE2015" s="20">
        <v>1</v>
      </c>
    </row>
  </sheetData>
  <autoFilter ref="K1:K2015"/>
  <sortState ref="A4:AM856">
    <sortCondition ref="A856"/>
  </sortState>
  <phoneticPr fontId="1" type="noConversion"/>
  <conditionalFormatting sqref="L1880 A1844:B1858 L1877:O1879 Y1877:AA1879 AC1877:AE1880 L1844:V1858 D1844:H1858 X1844:XFD1858">
    <cfRule type="containsText" dxfId="170" priority="1409" operator="containsText" text="红水晶">
      <formula>NOT(ISERROR(SEARCH("红水晶",A1844)))</formula>
    </cfRule>
  </conditionalFormatting>
  <conditionalFormatting sqref="F1873:F1874">
    <cfRule type="containsText" dxfId="169" priority="583" operator="containsText" text="红水晶">
      <formula>NOT(ISERROR(SEARCH("红水晶",F1873)))</formula>
    </cfRule>
  </conditionalFormatting>
  <conditionalFormatting sqref="AA1880">
    <cfRule type="containsText" dxfId="168" priority="576" operator="containsText" text="红水晶">
      <formula>NOT(ISERROR(SEARCH("红水晶",AA1880)))</formula>
    </cfRule>
  </conditionalFormatting>
  <conditionalFormatting sqref="K1699:K1708 K1953:K1962 K1808:K1880 K1885:K1946 K612:K789 K2012:K1048576 K1256:K1513 K793:K1206 K1:K548">
    <cfRule type="cellIs" dxfId="167" priority="196" operator="equal">
      <formula>9</formula>
    </cfRule>
    <cfRule type="cellIs" dxfId="166" priority="197" operator="equal">
      <formula>8</formula>
    </cfRule>
    <cfRule type="cellIs" dxfId="165" priority="198" operator="equal">
      <formula>1</formula>
    </cfRule>
    <cfRule type="cellIs" dxfId="164" priority="199" operator="between">
      <formula>2</formula>
      <formula>4</formula>
    </cfRule>
    <cfRule type="cellIs" dxfId="163" priority="200" operator="equal">
      <formula>11</formula>
    </cfRule>
  </conditionalFormatting>
  <conditionalFormatting sqref="K1616:K1618 K1620:K1623 K1514:K1613 K1947:K1952 K2002:K2011">
    <cfRule type="cellIs" dxfId="162" priority="180" operator="equal">
      <formula>1</formula>
    </cfRule>
    <cfRule type="cellIs" dxfId="161" priority="181" operator="between">
      <formula>2</formula>
      <formula>4</formula>
    </cfRule>
    <cfRule type="cellIs" dxfId="160" priority="182" operator="equal">
      <formula>8</formula>
    </cfRule>
    <cfRule type="cellIs" dxfId="159" priority="183" operator="equal">
      <formula>5</formula>
    </cfRule>
  </conditionalFormatting>
  <conditionalFormatting sqref="K1616:K1618 K1620:K1623 K1514:K1613 K1947:K1952 K2002:K2011">
    <cfRule type="cellIs" dxfId="158" priority="179" operator="equal">
      <formula>11</formula>
    </cfRule>
  </conditionalFormatting>
  <conditionalFormatting sqref="K1616:K1618 K1620:K1623 K1514:K1613 K1947:K1952 K2002:K2011">
    <cfRule type="cellIs" dxfId="157" priority="178" operator="equal">
      <formula>12</formula>
    </cfRule>
  </conditionalFormatting>
  <conditionalFormatting sqref="K1614:K1615">
    <cfRule type="cellIs" dxfId="156" priority="168" operator="equal">
      <formula>1</formula>
    </cfRule>
    <cfRule type="cellIs" dxfId="155" priority="169" operator="between">
      <formula>2</formula>
      <formula>4</formula>
    </cfRule>
    <cfRule type="cellIs" dxfId="154" priority="170" operator="equal">
      <formula>8</formula>
    </cfRule>
    <cfRule type="cellIs" dxfId="153" priority="171" operator="equal">
      <formula>5</formula>
    </cfRule>
  </conditionalFormatting>
  <conditionalFormatting sqref="K1614:K1615">
    <cfRule type="cellIs" dxfId="152" priority="167" operator="equal">
      <formula>11</formula>
    </cfRule>
  </conditionalFormatting>
  <conditionalFormatting sqref="K1614:K1615">
    <cfRule type="cellIs" dxfId="151" priority="166" operator="equal">
      <formula>12</formula>
    </cfRule>
  </conditionalFormatting>
  <conditionalFormatting sqref="K1619">
    <cfRule type="cellIs" dxfId="150" priority="162" operator="equal">
      <formula>1</formula>
    </cfRule>
    <cfRule type="cellIs" dxfId="149" priority="163" operator="between">
      <formula>2</formula>
      <formula>4</formula>
    </cfRule>
    <cfRule type="cellIs" dxfId="148" priority="164" operator="equal">
      <formula>8</formula>
    </cfRule>
    <cfRule type="cellIs" dxfId="147" priority="165" operator="equal">
      <formula>5</formula>
    </cfRule>
  </conditionalFormatting>
  <conditionalFormatting sqref="K1619">
    <cfRule type="cellIs" dxfId="146" priority="161" operator="equal">
      <formula>11</formula>
    </cfRule>
  </conditionalFormatting>
  <conditionalFormatting sqref="K1619">
    <cfRule type="cellIs" dxfId="145" priority="160" operator="equal">
      <formula>12</formula>
    </cfRule>
  </conditionalFormatting>
  <conditionalFormatting sqref="I1844:J1858">
    <cfRule type="containsText" dxfId="144" priority="159" operator="containsText" text="红水晶">
      <formula>NOT(ISERROR(SEARCH("红水晶",I1844)))</formula>
    </cfRule>
  </conditionalFormatting>
  <conditionalFormatting sqref="K1624:K1627 K1630:K1673 K1675:K1698">
    <cfRule type="cellIs" dxfId="143" priority="149" operator="equal">
      <formula>1</formula>
    </cfRule>
    <cfRule type="cellIs" dxfId="142" priority="150" operator="between">
      <formula>2</formula>
      <formula>4</formula>
    </cfRule>
    <cfRule type="cellIs" dxfId="141" priority="151" operator="equal">
      <formula>8</formula>
    </cfRule>
    <cfRule type="cellIs" dxfId="140" priority="152" operator="equal">
      <formula>5</formula>
    </cfRule>
  </conditionalFormatting>
  <conditionalFormatting sqref="K1624:K1627 K1630:K1673 K1675:K1698">
    <cfRule type="cellIs" dxfId="139" priority="148" operator="equal">
      <formula>11</formula>
    </cfRule>
  </conditionalFormatting>
  <conditionalFormatting sqref="K1624:K1627 K1630:K1673 K1675:K1698">
    <cfRule type="cellIs" dxfId="138" priority="147" operator="equal">
      <formula>12</formula>
    </cfRule>
  </conditionalFormatting>
  <conditionalFormatting sqref="K1628:K1629">
    <cfRule type="cellIs" dxfId="137" priority="142" operator="equal">
      <formula>9</formula>
    </cfRule>
    <cfRule type="cellIs" dxfId="136" priority="143" operator="equal">
      <formula>8</formula>
    </cfRule>
    <cfRule type="cellIs" dxfId="135" priority="144" operator="equal">
      <formula>1</formula>
    </cfRule>
    <cfRule type="cellIs" dxfId="134" priority="145" operator="between">
      <formula>2</formula>
      <formula>4</formula>
    </cfRule>
    <cfRule type="cellIs" dxfId="133" priority="146" operator="equal">
      <formula>11</formula>
    </cfRule>
  </conditionalFormatting>
  <conditionalFormatting sqref="K1674">
    <cfRule type="cellIs" dxfId="132" priority="138" operator="equal">
      <formula>1</formula>
    </cfRule>
    <cfRule type="cellIs" dxfId="131" priority="139" operator="between">
      <formula>2</formula>
      <formula>4</formula>
    </cfRule>
    <cfRule type="cellIs" dxfId="130" priority="140" operator="equal">
      <formula>8</formula>
    </cfRule>
    <cfRule type="cellIs" dxfId="129" priority="141" operator="equal">
      <formula>5</formula>
    </cfRule>
  </conditionalFormatting>
  <conditionalFormatting sqref="K1674">
    <cfRule type="cellIs" dxfId="128" priority="137" operator="equal">
      <formula>11</formula>
    </cfRule>
  </conditionalFormatting>
  <conditionalFormatting sqref="K1674">
    <cfRule type="cellIs" dxfId="127" priority="136" operator="equal">
      <formula>12</formula>
    </cfRule>
  </conditionalFormatting>
  <conditionalFormatting sqref="C1844:C1858">
    <cfRule type="containsText" dxfId="126" priority="135" operator="containsText" text="红水晶">
      <formula>NOT(ISERROR(SEARCH("红水晶",C1844)))</formula>
    </cfRule>
  </conditionalFormatting>
  <conditionalFormatting sqref="C1871:C1876">
    <cfRule type="containsText" dxfId="125" priority="134" operator="containsText" text="红水晶">
      <formula>NOT(ISERROR(SEARCH("红水晶",C1871)))</formula>
    </cfRule>
  </conditionalFormatting>
  <conditionalFormatting sqref="C1862">
    <cfRule type="containsText" dxfId="124" priority="133" operator="containsText" text="红水晶">
      <formula>NOT(ISERROR(SEARCH("红水晶",C1862)))</formula>
    </cfRule>
  </conditionalFormatting>
  <conditionalFormatting sqref="C1864">
    <cfRule type="containsText" dxfId="123" priority="132" operator="containsText" text="红水晶">
      <formula>NOT(ISERROR(SEARCH("红水晶",C1864)))</formula>
    </cfRule>
  </conditionalFormatting>
  <conditionalFormatting sqref="K790:K792">
    <cfRule type="cellIs" dxfId="122" priority="117" operator="equal">
      <formula>9</formula>
    </cfRule>
    <cfRule type="cellIs" dxfId="121" priority="118" operator="equal">
      <formula>8</formula>
    </cfRule>
    <cfRule type="cellIs" dxfId="120" priority="119" operator="equal">
      <formula>1</formula>
    </cfRule>
    <cfRule type="cellIs" dxfId="119" priority="120" operator="between">
      <formula>2</formula>
      <formula>4</formula>
    </cfRule>
    <cfRule type="cellIs" dxfId="118" priority="121" operator="equal">
      <formula>11</formula>
    </cfRule>
  </conditionalFormatting>
  <conditionalFormatting sqref="K1709:K1718 K1802:K1807">
    <cfRule type="cellIs" dxfId="117" priority="113" operator="equal">
      <formula>1</formula>
    </cfRule>
    <cfRule type="cellIs" dxfId="116" priority="114" operator="between">
      <formula>2</formula>
      <formula>4</formula>
    </cfRule>
    <cfRule type="cellIs" dxfId="115" priority="115" operator="equal">
      <formula>8</formula>
    </cfRule>
    <cfRule type="cellIs" dxfId="114" priority="116" operator="equal">
      <formula>5</formula>
    </cfRule>
  </conditionalFormatting>
  <conditionalFormatting sqref="K1709:K1718 K1802:K1807">
    <cfRule type="cellIs" dxfId="113" priority="112" operator="equal">
      <formula>11</formula>
    </cfRule>
  </conditionalFormatting>
  <conditionalFormatting sqref="K1709:K1718 K1802:K1807">
    <cfRule type="cellIs" dxfId="112" priority="111" operator="equal">
      <formula>12</formula>
    </cfRule>
  </conditionalFormatting>
  <conditionalFormatting sqref="K1963:K1972 K1982:K2001">
    <cfRule type="cellIs" dxfId="111" priority="106" operator="equal">
      <formula>9</formula>
    </cfRule>
    <cfRule type="cellIs" dxfId="110" priority="107" operator="equal">
      <formula>8</formula>
    </cfRule>
    <cfRule type="cellIs" dxfId="109" priority="108" operator="equal">
      <formula>1</formula>
    </cfRule>
    <cfRule type="cellIs" dxfId="108" priority="109" operator="between">
      <formula>2</formula>
      <formula>4</formula>
    </cfRule>
    <cfRule type="cellIs" dxfId="107" priority="110" operator="equal">
      <formula>11</formula>
    </cfRule>
  </conditionalFormatting>
  <conditionalFormatting sqref="K1719:K1730">
    <cfRule type="cellIs" dxfId="106" priority="97" operator="equal">
      <formula>1</formula>
    </cfRule>
    <cfRule type="cellIs" dxfId="105" priority="98" operator="between">
      <formula>2</formula>
      <formula>4</formula>
    </cfRule>
    <cfRule type="cellIs" dxfId="104" priority="99" operator="equal">
      <formula>8</formula>
    </cfRule>
    <cfRule type="cellIs" dxfId="103" priority="100" operator="equal">
      <formula>5</formula>
    </cfRule>
  </conditionalFormatting>
  <conditionalFormatting sqref="K1719:K1730">
    <cfRule type="cellIs" dxfId="102" priority="96" operator="equal">
      <formula>11</formula>
    </cfRule>
  </conditionalFormatting>
  <conditionalFormatting sqref="K1719:K1730">
    <cfRule type="cellIs" dxfId="101" priority="95" operator="equal">
      <formula>12</formula>
    </cfRule>
  </conditionalFormatting>
  <conditionalFormatting sqref="L1881 AC1881:AE1881">
    <cfRule type="containsText" dxfId="100" priority="89" operator="containsText" text="红水晶">
      <formula>NOT(ISERROR(SEARCH("红水晶",L1881)))</formula>
    </cfRule>
  </conditionalFormatting>
  <conditionalFormatting sqref="AA1881">
    <cfRule type="containsText" dxfId="99" priority="88" operator="containsText" text="红水晶">
      <formula>NOT(ISERROR(SEARCH("红水晶",AA1881)))</formula>
    </cfRule>
  </conditionalFormatting>
  <conditionalFormatting sqref="K1881">
    <cfRule type="cellIs" dxfId="98" priority="83" operator="equal">
      <formula>9</formula>
    </cfRule>
    <cfRule type="cellIs" dxfId="97" priority="84" operator="equal">
      <formula>8</formula>
    </cfRule>
    <cfRule type="cellIs" dxfId="96" priority="85" operator="equal">
      <formula>1</formula>
    </cfRule>
    <cfRule type="cellIs" dxfId="95" priority="86" operator="between">
      <formula>2</formula>
      <formula>4</formula>
    </cfRule>
    <cfRule type="cellIs" dxfId="94" priority="87" operator="equal">
      <formula>11</formula>
    </cfRule>
  </conditionalFormatting>
  <conditionalFormatting sqref="K1207:K1255">
    <cfRule type="cellIs" dxfId="93" priority="78" operator="equal">
      <formula>9</formula>
    </cfRule>
    <cfRule type="cellIs" dxfId="92" priority="79" operator="equal">
      <formula>8</formula>
    </cfRule>
    <cfRule type="cellIs" dxfId="91" priority="80" operator="equal">
      <formula>1</formula>
    </cfRule>
    <cfRule type="cellIs" dxfId="90" priority="81" operator="between">
      <formula>2</formula>
      <formula>4</formula>
    </cfRule>
    <cfRule type="cellIs" dxfId="89" priority="82" operator="equal">
      <formula>11</formula>
    </cfRule>
  </conditionalFormatting>
  <conditionalFormatting sqref="K549">
    <cfRule type="cellIs" dxfId="88" priority="73" operator="equal">
      <formula>9</formula>
    </cfRule>
    <cfRule type="cellIs" dxfId="87" priority="74" operator="equal">
      <formula>8</formula>
    </cfRule>
    <cfRule type="cellIs" dxfId="86" priority="75" operator="equal">
      <formula>1</formula>
    </cfRule>
    <cfRule type="cellIs" dxfId="85" priority="76" operator="between">
      <formula>2</formula>
      <formula>4</formula>
    </cfRule>
    <cfRule type="cellIs" dxfId="84" priority="77" operator="equal">
      <formula>11</formula>
    </cfRule>
  </conditionalFormatting>
  <conditionalFormatting sqref="K1731 K1737:K1738 K1745:K1748 K1733:K1734">
    <cfRule type="cellIs" dxfId="83" priority="69" operator="equal">
      <formula>1</formula>
    </cfRule>
    <cfRule type="cellIs" dxfId="82" priority="70" operator="between">
      <formula>2</formula>
      <formula>4</formula>
    </cfRule>
    <cfRule type="cellIs" dxfId="81" priority="71" operator="equal">
      <formula>8</formula>
    </cfRule>
    <cfRule type="cellIs" dxfId="80" priority="72" operator="equal">
      <formula>5</formula>
    </cfRule>
  </conditionalFormatting>
  <conditionalFormatting sqref="K1731 K1737:K1738 K1745:K1748 K1733:K1734">
    <cfRule type="cellIs" dxfId="79" priority="68" operator="equal">
      <formula>11</formula>
    </cfRule>
  </conditionalFormatting>
  <conditionalFormatting sqref="K1731 K1737:K1738 K1745:K1748 K1733:K1734">
    <cfRule type="cellIs" dxfId="78" priority="67" operator="equal">
      <formula>12</formula>
    </cfRule>
  </conditionalFormatting>
  <conditionalFormatting sqref="K1973:K1981">
    <cfRule type="cellIs" dxfId="77" priority="62" operator="equal">
      <formula>9</formula>
    </cfRule>
    <cfRule type="cellIs" dxfId="76" priority="63" operator="equal">
      <formula>8</formula>
    </cfRule>
    <cfRule type="cellIs" dxfId="75" priority="64" operator="equal">
      <formula>1</formula>
    </cfRule>
    <cfRule type="cellIs" dxfId="74" priority="65" operator="between">
      <formula>2</formula>
      <formula>4</formula>
    </cfRule>
    <cfRule type="cellIs" dxfId="73" priority="66" operator="equal">
      <formula>11</formula>
    </cfRule>
  </conditionalFormatting>
  <conditionalFormatting sqref="K1749:K1754">
    <cfRule type="cellIs" dxfId="72" priority="58" operator="equal">
      <formula>1</formula>
    </cfRule>
    <cfRule type="cellIs" dxfId="71" priority="59" operator="between">
      <formula>2</formula>
      <formula>4</formula>
    </cfRule>
    <cfRule type="cellIs" dxfId="70" priority="60" operator="equal">
      <formula>8</formula>
    </cfRule>
    <cfRule type="cellIs" dxfId="69" priority="61" operator="equal">
      <formula>5</formula>
    </cfRule>
  </conditionalFormatting>
  <conditionalFormatting sqref="K1749:K1754">
    <cfRule type="cellIs" dxfId="68" priority="57" operator="equal">
      <formula>11</formula>
    </cfRule>
  </conditionalFormatting>
  <conditionalFormatting sqref="K1749:K1754">
    <cfRule type="cellIs" dxfId="67" priority="56" operator="equal">
      <formula>12</formula>
    </cfRule>
  </conditionalFormatting>
  <conditionalFormatting sqref="K1735:K1736">
    <cfRule type="cellIs" dxfId="66" priority="52" operator="equal">
      <formula>1</formula>
    </cfRule>
    <cfRule type="cellIs" dxfId="65" priority="53" operator="between">
      <formula>2</formula>
      <formula>4</formula>
    </cfRule>
    <cfRule type="cellIs" dxfId="64" priority="54" operator="equal">
      <formula>8</formula>
    </cfRule>
    <cfRule type="cellIs" dxfId="63" priority="55" operator="equal">
      <formula>5</formula>
    </cfRule>
  </conditionalFormatting>
  <conditionalFormatting sqref="K1735:K1736">
    <cfRule type="cellIs" dxfId="62" priority="51" operator="equal">
      <formula>11</formula>
    </cfRule>
  </conditionalFormatting>
  <conditionalFormatting sqref="K1735:K1736">
    <cfRule type="cellIs" dxfId="61" priority="50" operator="equal">
      <formula>12</formula>
    </cfRule>
  </conditionalFormatting>
  <conditionalFormatting sqref="K1739:K1744">
    <cfRule type="cellIs" dxfId="60" priority="46" operator="equal">
      <formula>1</formula>
    </cfRule>
    <cfRule type="cellIs" dxfId="59" priority="47" operator="between">
      <formula>2</formula>
      <formula>4</formula>
    </cfRule>
    <cfRule type="cellIs" dxfId="58" priority="48" operator="equal">
      <formula>8</formula>
    </cfRule>
    <cfRule type="cellIs" dxfId="57" priority="49" operator="equal">
      <formula>5</formula>
    </cfRule>
  </conditionalFormatting>
  <conditionalFormatting sqref="K1739:K1744">
    <cfRule type="cellIs" dxfId="56" priority="45" operator="equal">
      <formula>11</formula>
    </cfRule>
  </conditionalFormatting>
  <conditionalFormatting sqref="K1739:K1744">
    <cfRule type="cellIs" dxfId="55" priority="44" operator="equal">
      <formula>12</formula>
    </cfRule>
  </conditionalFormatting>
  <conditionalFormatting sqref="K1732">
    <cfRule type="cellIs" dxfId="54" priority="40" operator="equal">
      <formula>1</formula>
    </cfRule>
    <cfRule type="cellIs" dxfId="53" priority="41" operator="between">
      <formula>2</formula>
      <formula>4</formula>
    </cfRule>
    <cfRule type="cellIs" dxfId="52" priority="42" operator="equal">
      <formula>8</formula>
    </cfRule>
    <cfRule type="cellIs" dxfId="51" priority="43" operator="equal">
      <formula>5</formula>
    </cfRule>
  </conditionalFormatting>
  <conditionalFormatting sqref="K1732">
    <cfRule type="cellIs" dxfId="50" priority="39" operator="equal">
      <formula>11</formula>
    </cfRule>
  </conditionalFormatting>
  <conditionalFormatting sqref="K1732">
    <cfRule type="cellIs" dxfId="49" priority="38" operator="equal">
      <formula>12</formula>
    </cfRule>
  </conditionalFormatting>
  <conditionalFormatting sqref="L1882 AC1882:AE1882">
    <cfRule type="containsText" dxfId="48" priority="37" operator="containsText" text="红水晶">
      <formula>NOT(ISERROR(SEARCH("红水晶",L1882)))</formula>
    </cfRule>
  </conditionalFormatting>
  <conditionalFormatting sqref="AA1882">
    <cfRule type="containsText" dxfId="47" priority="36" operator="containsText" text="红水晶">
      <formula>NOT(ISERROR(SEARCH("红水晶",AA1882)))</formula>
    </cfRule>
  </conditionalFormatting>
  <conditionalFormatting sqref="K1882">
    <cfRule type="cellIs" dxfId="46" priority="31" operator="equal">
      <formula>9</formula>
    </cfRule>
    <cfRule type="cellIs" dxfId="45" priority="32" operator="equal">
      <formula>8</formula>
    </cfRule>
    <cfRule type="cellIs" dxfId="44" priority="33" operator="equal">
      <formula>1</formula>
    </cfRule>
    <cfRule type="cellIs" dxfId="43" priority="34" operator="between">
      <formula>2</formula>
      <formula>4</formula>
    </cfRule>
    <cfRule type="cellIs" dxfId="42" priority="35" operator="equal">
      <formula>11</formula>
    </cfRule>
  </conditionalFormatting>
  <conditionalFormatting sqref="K1755:K1762">
    <cfRule type="cellIs" dxfId="41" priority="26" operator="equal">
      <formula>9</formula>
    </cfRule>
    <cfRule type="cellIs" dxfId="40" priority="27" operator="equal">
      <formula>8</formula>
    </cfRule>
    <cfRule type="cellIs" dxfId="39" priority="28" operator="equal">
      <formula>1</formula>
    </cfRule>
    <cfRule type="cellIs" dxfId="38" priority="29" operator="between">
      <formula>2</formula>
      <formula>4</formula>
    </cfRule>
    <cfRule type="cellIs" dxfId="37" priority="30" operator="equal">
      <formula>11</formula>
    </cfRule>
  </conditionalFormatting>
  <conditionalFormatting sqref="K1763:K1765">
    <cfRule type="cellIs" dxfId="36" priority="21" operator="equal">
      <formula>9</formula>
    </cfRule>
    <cfRule type="cellIs" dxfId="35" priority="22" operator="equal">
      <formula>8</formula>
    </cfRule>
    <cfRule type="cellIs" dxfId="34" priority="23" operator="equal">
      <formula>1</formula>
    </cfRule>
    <cfRule type="cellIs" dxfId="33" priority="24" operator="between">
      <formula>2</formula>
      <formula>4</formula>
    </cfRule>
    <cfRule type="cellIs" dxfId="32" priority="25" operator="equal">
      <formula>11</formula>
    </cfRule>
  </conditionalFormatting>
  <conditionalFormatting sqref="K1766:K1801">
    <cfRule type="cellIs" dxfId="31" priority="17" operator="equal">
      <formula>1</formula>
    </cfRule>
    <cfRule type="cellIs" dxfId="30" priority="18" operator="between">
      <formula>2</formula>
      <formula>4</formula>
    </cfRule>
    <cfRule type="cellIs" dxfId="29" priority="19" operator="equal">
      <formula>8</formula>
    </cfRule>
    <cfRule type="cellIs" dxfId="28" priority="20" operator="equal">
      <formula>5</formula>
    </cfRule>
  </conditionalFormatting>
  <conditionalFormatting sqref="K1766:K1801">
    <cfRule type="cellIs" dxfId="27" priority="16" operator="equal">
      <formula>11</formula>
    </cfRule>
  </conditionalFormatting>
  <conditionalFormatting sqref="K1766:K1801">
    <cfRule type="cellIs" dxfId="26" priority="15" operator="equal">
      <formula>12</formula>
    </cfRule>
  </conditionalFormatting>
  <conditionalFormatting sqref="L1883 AC1883:AE1883">
    <cfRule type="containsText" dxfId="25" priority="14" operator="containsText" text="红水晶">
      <formula>NOT(ISERROR(SEARCH("红水晶",L1883)))</formula>
    </cfRule>
  </conditionalFormatting>
  <conditionalFormatting sqref="AA1883">
    <cfRule type="containsText" dxfId="24" priority="13" operator="containsText" text="红水晶">
      <formula>NOT(ISERROR(SEARCH("红水晶",AA1883)))</formula>
    </cfRule>
  </conditionalFormatting>
  <conditionalFormatting sqref="K1883">
    <cfRule type="cellIs" dxfId="23" priority="8" operator="equal">
      <formula>9</formula>
    </cfRule>
    <cfRule type="cellIs" dxfId="22" priority="9" operator="equal">
      <formula>8</formula>
    </cfRule>
    <cfRule type="cellIs" dxfId="21" priority="10" operator="equal">
      <formula>1</formula>
    </cfRule>
    <cfRule type="cellIs" dxfId="20" priority="11" operator="between">
      <formula>2</formula>
      <formula>4</formula>
    </cfRule>
    <cfRule type="cellIs" dxfId="19" priority="12" operator="equal">
      <formula>11</formula>
    </cfRule>
  </conditionalFormatting>
  <conditionalFormatting sqref="L1884 AC1884:AE1884">
    <cfRule type="containsText" dxfId="18" priority="7" operator="containsText" text="红水晶">
      <formula>NOT(ISERROR(SEARCH("红水晶",L1884)))</formula>
    </cfRule>
  </conditionalFormatting>
  <conditionalFormatting sqref="AA1884">
    <cfRule type="containsText" dxfId="17" priority="6" operator="containsText" text="红水晶">
      <formula>NOT(ISERROR(SEARCH("红水晶",AA1884)))</formula>
    </cfRule>
  </conditionalFormatting>
  <conditionalFormatting sqref="K1884">
    <cfRule type="cellIs" dxfId="16" priority="1" operator="equal">
      <formula>9</formula>
    </cfRule>
    <cfRule type="cellIs" dxfId="15" priority="2" operator="equal">
      <formula>8</formula>
    </cfRule>
    <cfRule type="cellIs" dxfId="14" priority="3" operator="equal">
      <formula>1</formula>
    </cfRule>
    <cfRule type="cellIs" dxfId="13" priority="4" operator="between">
      <formula>2</formula>
      <formula>4</formula>
    </cfRule>
    <cfRule type="cellIs" dxfId="12" priority="5" operator="equal">
      <formula>11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/>
  </sheetViews>
  <sheetFormatPr defaultColWidth="8.875" defaultRowHeight="15.75"/>
  <cols>
    <col min="1" max="1" width="9" style="1" bestFit="1" customWidth="1"/>
    <col min="2" max="2" width="5.125" style="1" bestFit="1" customWidth="1"/>
    <col min="3" max="3" width="6.5" style="1" bestFit="1" customWidth="1"/>
    <col min="4" max="4" width="19.125" style="1" bestFit="1" customWidth="1"/>
    <col min="5" max="5" width="47.625" style="1" bestFit="1" customWidth="1"/>
    <col min="6" max="6" width="9" style="1" bestFit="1" customWidth="1"/>
    <col min="7" max="7" width="8.875" style="1"/>
    <col min="8" max="8" width="6.5" style="1" bestFit="1" customWidth="1"/>
    <col min="9" max="9" width="16.125" style="1" bestFit="1" customWidth="1"/>
    <col min="10" max="10" width="4" style="1" bestFit="1" customWidth="1"/>
    <col min="11" max="11" width="6.5" style="1" bestFit="1" customWidth="1"/>
    <col min="12" max="12" width="3.875" style="1" bestFit="1" customWidth="1"/>
    <col min="13" max="13" width="5.125" style="1" bestFit="1" customWidth="1"/>
    <col min="14" max="15" width="8.875" style="1"/>
    <col min="16" max="16" width="24.375" style="1" bestFit="1" customWidth="1"/>
    <col min="17" max="17" width="5.625" style="1" bestFit="1" customWidth="1"/>
    <col min="18" max="18" width="13.125" style="1" bestFit="1" customWidth="1"/>
    <col min="19" max="16384" width="8.875" style="1"/>
  </cols>
  <sheetData>
    <row r="1" spans="1:18">
      <c r="F1" s="1" t="s">
        <v>197</v>
      </c>
      <c r="H1" s="1" t="s">
        <v>198</v>
      </c>
      <c r="I1" s="1" t="s">
        <v>199</v>
      </c>
      <c r="J1" s="1" t="s">
        <v>200</v>
      </c>
      <c r="K1" s="1" t="s">
        <v>201</v>
      </c>
      <c r="L1" s="1" t="s">
        <v>202</v>
      </c>
      <c r="M1" s="1" t="s">
        <v>203</v>
      </c>
      <c r="N1" s="1" t="s">
        <v>204</v>
      </c>
      <c r="O1" s="1" t="s">
        <v>205</v>
      </c>
      <c r="P1" s="1" t="s">
        <v>206</v>
      </c>
      <c r="Q1" s="1" t="s">
        <v>207</v>
      </c>
      <c r="R1" s="1" t="s">
        <v>208</v>
      </c>
    </row>
    <row r="2" spans="1:18">
      <c r="H2" s="1">
        <v>0.2</v>
      </c>
      <c r="I2" s="1">
        <v>1</v>
      </c>
      <c r="J2" s="1">
        <v>1</v>
      </c>
      <c r="K2" s="1">
        <v>0.66700000000000004</v>
      </c>
      <c r="L2" s="1">
        <v>1</v>
      </c>
      <c r="M2" s="1">
        <v>1</v>
      </c>
      <c r="N2" s="1">
        <v>1.5</v>
      </c>
      <c r="O2" s="1">
        <v>0.5</v>
      </c>
      <c r="P2" s="1">
        <v>1</v>
      </c>
      <c r="Q2" s="1">
        <v>1</v>
      </c>
      <c r="R2" s="1">
        <v>1</v>
      </c>
    </row>
    <row r="4" spans="1:18">
      <c r="A4" s="1" t="s">
        <v>209</v>
      </c>
    </row>
    <row r="5" spans="1:18">
      <c r="A5" s="1" t="s">
        <v>210</v>
      </c>
      <c r="B5" s="1" t="s">
        <v>195</v>
      </c>
      <c r="C5" s="1">
        <v>4.4999999999999998E-2</v>
      </c>
    </row>
    <row r="6" spans="1:18">
      <c r="B6" s="1" t="s">
        <v>194</v>
      </c>
      <c r="C6" s="1">
        <v>0.05</v>
      </c>
    </row>
    <row r="7" spans="1:18">
      <c r="B7" s="1" t="s">
        <v>211</v>
      </c>
      <c r="C7" s="1">
        <v>0.06</v>
      </c>
      <c r="D7" s="1" t="s">
        <v>193</v>
      </c>
      <c r="M7" s="4"/>
      <c r="N7" s="88" t="s">
        <v>313</v>
      </c>
      <c r="O7" s="4" t="s">
        <v>314</v>
      </c>
      <c r="P7" s="4" t="s">
        <v>315</v>
      </c>
      <c r="Q7" s="4"/>
      <c r="R7" s="4"/>
    </row>
    <row r="8" spans="1:18">
      <c r="D8" s="1" t="s">
        <v>212</v>
      </c>
      <c r="M8" s="4"/>
      <c r="N8" s="88"/>
      <c r="O8" s="4" t="s">
        <v>316</v>
      </c>
      <c r="P8" s="4" t="s">
        <v>317</v>
      </c>
      <c r="Q8" s="4">
        <v>50</v>
      </c>
      <c r="R8" s="4"/>
    </row>
    <row r="9" spans="1:18">
      <c r="M9" s="4"/>
      <c r="N9" s="88"/>
      <c r="O9" s="4" t="s">
        <v>318</v>
      </c>
      <c r="P9" s="4" t="s">
        <v>319</v>
      </c>
      <c r="Q9" s="4">
        <v>50</v>
      </c>
      <c r="R9" s="4"/>
    </row>
    <row r="10" spans="1:18">
      <c r="D10" s="1" t="s">
        <v>213</v>
      </c>
      <c r="M10" s="4"/>
      <c r="N10" s="88"/>
      <c r="O10" s="4" t="s">
        <v>320</v>
      </c>
      <c r="P10" s="4" t="s">
        <v>321</v>
      </c>
      <c r="Q10" s="4">
        <v>50</v>
      </c>
      <c r="R10" s="4"/>
    </row>
    <row r="11" spans="1:18">
      <c r="M11" s="4"/>
      <c r="N11" s="88"/>
      <c r="O11" s="4" t="s">
        <v>322</v>
      </c>
      <c r="P11" s="4" t="s">
        <v>323</v>
      </c>
      <c r="Q11" s="4">
        <v>50</v>
      </c>
      <c r="R11" s="4"/>
    </row>
    <row r="12" spans="1:18">
      <c r="D12" s="1" t="s">
        <v>196</v>
      </c>
      <c r="E12" s="1" t="s">
        <v>214</v>
      </c>
      <c r="I12" s="1" t="s">
        <v>217</v>
      </c>
      <c r="M12" s="4"/>
      <c r="N12" s="4"/>
      <c r="O12" s="4"/>
      <c r="P12" s="4"/>
      <c r="Q12" s="4"/>
      <c r="R12" s="4"/>
    </row>
    <row r="13" spans="1:18">
      <c r="D13" s="1" t="s">
        <v>215</v>
      </c>
      <c r="E13" s="1" t="s">
        <v>216</v>
      </c>
      <c r="I13" s="1" t="s">
        <v>218</v>
      </c>
      <c r="M13" s="4" t="s">
        <v>324</v>
      </c>
      <c r="N13" s="4"/>
      <c r="O13" s="4"/>
      <c r="P13" s="4"/>
      <c r="Q13" s="4"/>
      <c r="R13" s="4"/>
    </row>
    <row r="14" spans="1:18">
      <c r="D14" s="1" t="s">
        <v>219</v>
      </c>
      <c r="E14" s="1" t="s">
        <v>220</v>
      </c>
      <c r="I14" s="1" t="s">
        <v>218</v>
      </c>
      <c r="M14" s="4"/>
      <c r="N14" s="88" t="s">
        <v>325</v>
      </c>
      <c r="O14" s="4" t="s">
        <v>326</v>
      </c>
      <c r="P14" s="4" t="s">
        <v>327</v>
      </c>
      <c r="Q14" s="4">
        <v>5</v>
      </c>
      <c r="R14" s="4"/>
    </row>
    <row r="15" spans="1:18">
      <c r="D15" s="1" t="s">
        <v>221</v>
      </c>
      <c r="E15" s="1" t="s">
        <v>222</v>
      </c>
      <c r="M15" s="4"/>
      <c r="N15" s="88"/>
      <c r="O15" s="4" t="s">
        <v>328</v>
      </c>
      <c r="P15" s="4" t="s">
        <v>329</v>
      </c>
      <c r="Q15" s="4"/>
      <c r="R15" s="4"/>
    </row>
    <row r="16" spans="1:18">
      <c r="M16" s="4"/>
      <c r="N16" s="88"/>
      <c r="O16" s="4" t="s">
        <v>330</v>
      </c>
      <c r="P16" s="4" t="s">
        <v>331</v>
      </c>
      <c r="Q16" s="4"/>
      <c r="R16" s="4"/>
    </row>
    <row r="17" spans="4:18">
      <c r="M17" s="4"/>
      <c r="N17" s="5"/>
      <c r="O17" s="4"/>
      <c r="P17" s="4"/>
      <c r="Q17" s="4"/>
      <c r="R17" s="4"/>
    </row>
    <row r="18" spans="4:18">
      <c r="D18" s="1" t="s">
        <v>223</v>
      </c>
      <c r="E18" s="1" t="s">
        <v>224</v>
      </c>
      <c r="M18" s="4"/>
      <c r="N18" s="88" t="s">
        <v>332</v>
      </c>
      <c r="O18" s="4" t="s">
        <v>333</v>
      </c>
      <c r="P18" s="4" t="s">
        <v>334</v>
      </c>
      <c r="Q18" s="4">
        <v>50</v>
      </c>
      <c r="R18" s="4"/>
    </row>
    <row r="19" spans="4:18">
      <c r="M19" s="4"/>
      <c r="N19" s="88"/>
      <c r="O19" s="4" t="s">
        <v>335</v>
      </c>
      <c r="P19" s="4" t="s">
        <v>336</v>
      </c>
      <c r="Q19" s="4">
        <v>50</v>
      </c>
      <c r="R19" s="4"/>
    </row>
    <row r="20" spans="4:18">
      <c r="M20" s="4"/>
      <c r="N20" s="88"/>
      <c r="O20" s="4" t="s">
        <v>337</v>
      </c>
      <c r="P20" s="4" t="s">
        <v>338</v>
      </c>
      <c r="Q20" s="4">
        <v>50</v>
      </c>
      <c r="R20" s="4"/>
    </row>
    <row r="21" spans="4:18">
      <c r="M21" s="4"/>
      <c r="N21" s="88"/>
      <c r="O21" s="4" t="s">
        <v>339</v>
      </c>
      <c r="P21" s="4" t="s">
        <v>340</v>
      </c>
      <c r="Q21" s="4">
        <v>50</v>
      </c>
      <c r="R21" s="4"/>
    </row>
    <row r="22" spans="4:18">
      <c r="M22" s="4"/>
      <c r="N22" s="5"/>
      <c r="O22" s="4"/>
      <c r="P22" s="4"/>
      <c r="Q22" s="4"/>
      <c r="R22" s="4"/>
    </row>
    <row r="23" spans="4:18">
      <c r="M23" s="4"/>
      <c r="N23" s="5"/>
      <c r="O23" s="4"/>
      <c r="P23" s="4"/>
      <c r="Q23" s="4"/>
      <c r="R23" s="4"/>
    </row>
    <row r="24" spans="4:18">
      <c r="M24" s="4" t="s">
        <v>341</v>
      </c>
      <c r="N24" s="88" t="s">
        <v>342</v>
      </c>
      <c r="O24" s="4" t="s">
        <v>343</v>
      </c>
      <c r="P24" s="4" t="s">
        <v>344</v>
      </c>
      <c r="Q24" s="4">
        <v>10</v>
      </c>
      <c r="R24" s="4" t="s">
        <v>345</v>
      </c>
    </row>
    <row r="25" spans="4:18">
      <c r="M25" s="4"/>
      <c r="N25" s="88"/>
      <c r="O25" s="4" t="s">
        <v>346</v>
      </c>
      <c r="P25" s="4"/>
      <c r="Q25" s="4">
        <v>10</v>
      </c>
      <c r="R25" s="4" t="s">
        <v>347</v>
      </c>
    </row>
    <row r="26" spans="4:18">
      <c r="M26" s="4"/>
      <c r="N26" s="88"/>
      <c r="O26" s="4" t="s">
        <v>348</v>
      </c>
      <c r="P26" s="4"/>
      <c r="Q26" s="4">
        <v>10</v>
      </c>
      <c r="R26" s="4" t="s">
        <v>349</v>
      </c>
    </row>
    <row r="27" spans="4:18">
      <c r="M27" s="4"/>
      <c r="N27" s="88"/>
      <c r="O27" s="4" t="s">
        <v>350</v>
      </c>
      <c r="P27" s="4"/>
      <c r="Q27" s="4">
        <v>10</v>
      </c>
      <c r="R27" s="4" t="s">
        <v>351</v>
      </c>
    </row>
    <row r="28" spans="4:18">
      <c r="M28" s="4"/>
      <c r="N28" s="4"/>
      <c r="O28" s="4"/>
      <c r="P28" s="4"/>
      <c r="Q28" s="4"/>
      <c r="R28" s="4"/>
    </row>
    <row r="29" spans="4:18">
      <c r="M29" s="4"/>
      <c r="N29" s="4"/>
      <c r="O29" s="4"/>
      <c r="P29" s="4"/>
      <c r="Q29" s="4"/>
      <c r="R29" s="4" t="s">
        <v>352</v>
      </c>
    </row>
    <row r="30" spans="4:18">
      <c r="M30" s="4" t="s">
        <v>353</v>
      </c>
      <c r="N30" s="88" t="s">
        <v>354</v>
      </c>
      <c r="O30" s="4" t="s">
        <v>355</v>
      </c>
      <c r="P30" s="4" t="s">
        <v>356</v>
      </c>
      <c r="Q30" s="4">
        <v>30</v>
      </c>
      <c r="R30" s="6">
        <v>0.01</v>
      </c>
    </row>
    <row r="31" spans="4:18">
      <c r="M31" s="4"/>
      <c r="N31" s="88"/>
      <c r="O31" s="4" t="s">
        <v>357</v>
      </c>
      <c r="P31" s="4" t="s">
        <v>358</v>
      </c>
      <c r="Q31" s="4">
        <v>30</v>
      </c>
      <c r="R31" s="6">
        <v>0.01</v>
      </c>
    </row>
    <row r="32" spans="4:18">
      <c r="M32" s="4"/>
      <c r="N32" s="88"/>
      <c r="O32" s="4" t="s">
        <v>359</v>
      </c>
      <c r="P32" s="4" t="s">
        <v>360</v>
      </c>
      <c r="Q32" s="4">
        <v>50</v>
      </c>
      <c r="R32" s="6">
        <v>0.01</v>
      </c>
    </row>
    <row r="33" spans="13:18">
      <c r="M33" s="4"/>
      <c r="N33" s="4"/>
      <c r="O33" s="4"/>
      <c r="P33" s="4"/>
      <c r="Q33" s="4"/>
      <c r="R33" s="4"/>
    </row>
    <row r="34" spans="13:18">
      <c r="M34" s="4"/>
      <c r="N34" s="88" t="s">
        <v>361</v>
      </c>
      <c r="O34" s="4" t="s">
        <v>362</v>
      </c>
      <c r="P34" s="4" t="s">
        <v>363</v>
      </c>
      <c r="Q34" s="4">
        <v>5</v>
      </c>
      <c r="R34" s="4"/>
    </row>
    <row r="35" spans="13:18">
      <c r="M35" s="4" t="s">
        <v>364</v>
      </c>
      <c r="N35" s="88"/>
      <c r="O35" s="4" t="s">
        <v>365</v>
      </c>
      <c r="P35" s="4" t="s">
        <v>366</v>
      </c>
      <c r="Q35" s="4">
        <v>30</v>
      </c>
      <c r="R35" s="6">
        <v>0.02</v>
      </c>
    </row>
    <row r="36" spans="13:18">
      <c r="M36" s="4"/>
      <c r="N36" s="88"/>
      <c r="O36" s="4" t="s">
        <v>367</v>
      </c>
      <c r="P36" s="4" t="s">
        <v>368</v>
      </c>
      <c r="Q36" s="4">
        <v>1</v>
      </c>
      <c r="R36" s="4"/>
    </row>
  </sheetData>
  <mergeCells count="6">
    <mergeCell ref="N34:N36"/>
    <mergeCell ref="N7:N11"/>
    <mergeCell ref="N14:N16"/>
    <mergeCell ref="N18:N21"/>
    <mergeCell ref="N24:N27"/>
    <mergeCell ref="N30:N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00"/>
  <sheetViews>
    <sheetView workbookViewId="0">
      <selection activeCell="E24" sqref="E24"/>
    </sheetView>
  </sheetViews>
  <sheetFormatPr defaultColWidth="8.875" defaultRowHeight="13.5"/>
  <sheetData>
    <row r="1" spans="1:18" ht="81">
      <c r="A1">
        <v>1</v>
      </c>
      <c r="B1">
        <v>2</v>
      </c>
      <c r="C1" t="s">
        <v>6050</v>
      </c>
      <c r="D1" s="10" t="s">
        <v>6051</v>
      </c>
      <c r="E1">
        <v>1</v>
      </c>
      <c r="F1">
        <v>40001</v>
      </c>
      <c r="G1" s="29">
        <v>114</v>
      </c>
      <c r="H1" s="29">
        <v>11</v>
      </c>
      <c r="I1" s="29">
        <v>14</v>
      </c>
      <c r="J1" s="29">
        <v>14</v>
      </c>
      <c r="K1" s="29">
        <v>11</v>
      </c>
      <c r="L1" s="29">
        <v>114</v>
      </c>
      <c r="M1" s="29">
        <v>107</v>
      </c>
      <c r="N1" s="29">
        <v>53</v>
      </c>
      <c r="O1" s="29">
        <v>53</v>
      </c>
      <c r="P1">
        <v>1</v>
      </c>
      <c r="Q1" s="7">
        <v>40101</v>
      </c>
      <c r="R1" s="7"/>
    </row>
    <row r="2" spans="1:18">
      <c r="D2" s="28"/>
      <c r="P2">
        <v>2</v>
      </c>
      <c r="Q2" s="7">
        <v>40102</v>
      </c>
      <c r="R2" s="7">
        <v>40103</v>
      </c>
    </row>
    <row r="3" spans="1:18">
      <c r="D3" s="28"/>
      <c r="P3">
        <v>3</v>
      </c>
      <c r="Q3" s="7">
        <v>40104</v>
      </c>
      <c r="R3" s="7">
        <v>40106</v>
      </c>
    </row>
    <row r="4" spans="1:18">
      <c r="D4" s="28"/>
      <c r="P4">
        <v>4</v>
      </c>
      <c r="Q4" s="7">
        <v>40105</v>
      </c>
      <c r="R4" s="7">
        <v>40107</v>
      </c>
    </row>
    <row r="5" spans="1:18">
      <c r="D5" s="28"/>
      <c r="P5">
        <v>5</v>
      </c>
      <c r="Q5" s="7">
        <v>40109</v>
      </c>
      <c r="R5" s="7">
        <v>40108</v>
      </c>
    </row>
    <row r="6" spans="1:18">
      <c r="D6" s="28"/>
      <c r="P6">
        <v>6</v>
      </c>
      <c r="Q6" s="7">
        <v>40110</v>
      </c>
      <c r="R6" s="7">
        <v>40111</v>
      </c>
    </row>
    <row r="7" spans="1:18">
      <c r="D7" s="28"/>
      <c r="P7">
        <v>7</v>
      </c>
      <c r="Q7" s="7">
        <v>40112</v>
      </c>
      <c r="R7" s="7">
        <v>40113</v>
      </c>
    </row>
    <row r="8" spans="1:18">
      <c r="D8" s="28"/>
      <c r="P8">
        <v>8</v>
      </c>
      <c r="Q8" s="7">
        <v>40115</v>
      </c>
      <c r="R8" s="7">
        <v>40114</v>
      </c>
    </row>
    <row r="9" spans="1:18">
      <c r="D9" s="28"/>
      <c r="P9">
        <v>9</v>
      </c>
      <c r="Q9" s="7">
        <v>40116</v>
      </c>
      <c r="R9" s="7">
        <v>40118</v>
      </c>
    </row>
    <row r="10" spans="1:18">
      <c r="D10" s="28"/>
      <c r="P10">
        <v>10</v>
      </c>
      <c r="Q10" s="7">
        <v>40117</v>
      </c>
      <c r="R10" s="7"/>
    </row>
    <row r="11" spans="1:18" ht="121.5">
      <c r="A11">
        <v>2</v>
      </c>
      <c r="B11">
        <v>3</v>
      </c>
      <c r="C11" t="s">
        <v>6052</v>
      </c>
      <c r="D11" s="28" t="s">
        <v>6053</v>
      </c>
      <c r="E11">
        <v>2</v>
      </c>
      <c r="F11">
        <v>40002</v>
      </c>
      <c r="G11" s="29">
        <v>107</v>
      </c>
      <c r="H11" s="29">
        <v>11</v>
      </c>
      <c r="I11" s="29">
        <v>14</v>
      </c>
      <c r="J11" s="29">
        <v>14</v>
      </c>
      <c r="K11" s="29">
        <v>11</v>
      </c>
      <c r="L11" s="29">
        <v>121</v>
      </c>
      <c r="M11" s="29">
        <v>107</v>
      </c>
      <c r="N11" s="29">
        <v>53</v>
      </c>
      <c r="O11" s="29">
        <v>53</v>
      </c>
      <c r="P11">
        <v>1</v>
      </c>
      <c r="Q11" s="7">
        <v>40201</v>
      </c>
      <c r="R11" s="7"/>
    </row>
    <row r="12" spans="1:18">
      <c r="D12" s="28"/>
      <c r="P12">
        <v>2</v>
      </c>
      <c r="Q12" s="7">
        <v>40203</v>
      </c>
      <c r="R12" s="7">
        <v>40202</v>
      </c>
    </row>
    <row r="13" spans="1:18">
      <c r="D13" s="28"/>
      <c r="P13">
        <v>3</v>
      </c>
      <c r="Q13" s="7">
        <v>40204</v>
      </c>
      <c r="R13" s="7">
        <v>40206</v>
      </c>
    </row>
    <row r="14" spans="1:18">
      <c r="D14" s="28"/>
      <c r="P14">
        <v>4</v>
      </c>
      <c r="Q14" s="7">
        <v>40207</v>
      </c>
      <c r="R14" s="7">
        <v>40205</v>
      </c>
    </row>
    <row r="15" spans="1:18">
      <c r="D15" s="28"/>
      <c r="P15">
        <v>5</v>
      </c>
      <c r="Q15" s="7">
        <v>40211</v>
      </c>
      <c r="R15" s="7">
        <v>40208</v>
      </c>
    </row>
    <row r="16" spans="1:18">
      <c r="D16" s="28"/>
      <c r="P16">
        <v>6</v>
      </c>
      <c r="Q16" s="7">
        <v>40212</v>
      </c>
      <c r="R16" s="7">
        <v>40209</v>
      </c>
    </row>
    <row r="17" spans="1:18">
      <c r="D17" s="28"/>
      <c r="P17">
        <v>7</v>
      </c>
      <c r="Q17" s="7">
        <v>40213</v>
      </c>
      <c r="R17" s="7">
        <v>40210</v>
      </c>
    </row>
    <row r="18" spans="1:18">
      <c r="D18" s="28"/>
      <c r="P18">
        <v>8</v>
      </c>
      <c r="Q18" s="7">
        <v>40215</v>
      </c>
      <c r="R18" s="7">
        <v>40214</v>
      </c>
    </row>
    <row r="19" spans="1:18">
      <c r="D19" s="28"/>
      <c r="P19">
        <v>9</v>
      </c>
      <c r="Q19" s="7">
        <v>40218</v>
      </c>
      <c r="R19" s="7">
        <v>40216</v>
      </c>
    </row>
    <row r="20" spans="1:18">
      <c r="D20" s="28"/>
      <c r="P20">
        <v>10</v>
      </c>
      <c r="Q20" s="7">
        <v>40217</v>
      </c>
      <c r="R20" s="7"/>
    </row>
    <row r="21" spans="1:18" ht="94.5">
      <c r="A21">
        <v>3</v>
      </c>
      <c r="B21">
        <v>4</v>
      </c>
      <c r="C21" t="s">
        <v>6054</v>
      </c>
      <c r="D21" s="28" t="s">
        <v>6055</v>
      </c>
      <c r="E21">
        <v>5</v>
      </c>
      <c r="F21">
        <v>40003</v>
      </c>
      <c r="G21" s="29">
        <v>107</v>
      </c>
      <c r="H21" s="29">
        <v>11</v>
      </c>
      <c r="I21" s="29">
        <v>12</v>
      </c>
      <c r="J21" s="29">
        <v>12</v>
      </c>
      <c r="K21" s="29">
        <v>11</v>
      </c>
      <c r="L21" s="29">
        <v>107</v>
      </c>
      <c r="M21" s="29">
        <v>121</v>
      </c>
      <c r="N21" s="29">
        <v>53</v>
      </c>
      <c r="O21" s="29">
        <v>56</v>
      </c>
      <c r="P21">
        <v>1</v>
      </c>
      <c r="Q21" s="7">
        <v>40301</v>
      </c>
      <c r="R21" s="7"/>
    </row>
    <row r="22" spans="1:18">
      <c r="D22" s="28"/>
      <c r="P22">
        <v>2</v>
      </c>
      <c r="Q22" s="7">
        <v>40303</v>
      </c>
      <c r="R22" s="7">
        <v>40302</v>
      </c>
    </row>
    <row r="23" spans="1:18">
      <c r="D23" s="28"/>
      <c r="P23">
        <v>3</v>
      </c>
      <c r="Q23" s="7">
        <v>40305</v>
      </c>
      <c r="R23" s="7">
        <v>40304</v>
      </c>
    </row>
    <row r="24" spans="1:18">
      <c r="D24" s="28"/>
      <c r="P24">
        <v>4</v>
      </c>
      <c r="Q24" s="7">
        <v>40306</v>
      </c>
      <c r="R24" s="7">
        <v>40307</v>
      </c>
    </row>
    <row r="25" spans="1:18">
      <c r="D25" s="28"/>
      <c r="P25">
        <v>5</v>
      </c>
      <c r="Q25" s="7">
        <v>40311</v>
      </c>
      <c r="R25" s="7">
        <v>40308</v>
      </c>
    </row>
    <row r="26" spans="1:18">
      <c r="D26" s="28"/>
      <c r="P26">
        <v>6</v>
      </c>
      <c r="Q26" s="7">
        <v>40312</v>
      </c>
      <c r="R26" s="7">
        <v>40309</v>
      </c>
    </row>
    <row r="27" spans="1:18">
      <c r="D27" s="28"/>
      <c r="P27">
        <v>7</v>
      </c>
      <c r="Q27" s="7">
        <v>40313</v>
      </c>
      <c r="R27" s="7">
        <v>40310</v>
      </c>
    </row>
    <row r="28" spans="1:18">
      <c r="D28" s="28"/>
      <c r="P28">
        <v>8</v>
      </c>
      <c r="Q28" s="7">
        <v>40314</v>
      </c>
      <c r="R28" s="7">
        <v>40315</v>
      </c>
    </row>
    <row r="29" spans="1:18">
      <c r="D29" s="28"/>
      <c r="P29">
        <v>9</v>
      </c>
      <c r="Q29" s="7">
        <v>40318</v>
      </c>
      <c r="R29" s="7">
        <v>40316</v>
      </c>
    </row>
    <row r="30" spans="1:18">
      <c r="D30" s="28"/>
      <c r="P30">
        <v>10</v>
      </c>
      <c r="Q30" s="7">
        <v>40316</v>
      </c>
      <c r="R30" s="7"/>
    </row>
    <row r="31" spans="1:18" ht="27">
      <c r="A31">
        <v>4</v>
      </c>
      <c r="B31">
        <v>9</v>
      </c>
      <c r="C31" t="s">
        <v>6056</v>
      </c>
      <c r="D31" s="28" t="s">
        <v>6057</v>
      </c>
      <c r="E31">
        <v>3</v>
      </c>
      <c r="F31">
        <v>40004</v>
      </c>
      <c r="G31" s="29">
        <v>121</v>
      </c>
      <c r="H31" s="29">
        <v>11</v>
      </c>
      <c r="I31" s="29">
        <v>11</v>
      </c>
      <c r="J31" s="29">
        <v>11</v>
      </c>
      <c r="K31" s="29">
        <v>11</v>
      </c>
      <c r="L31" s="29">
        <v>107</v>
      </c>
      <c r="M31" s="29">
        <v>107</v>
      </c>
      <c r="N31" s="29">
        <v>56</v>
      </c>
      <c r="O31" s="29">
        <v>56</v>
      </c>
      <c r="P31">
        <v>1</v>
      </c>
      <c r="Q31" s="7">
        <v>40401</v>
      </c>
      <c r="R31" s="7"/>
    </row>
    <row r="32" spans="1:18">
      <c r="D32" s="28"/>
      <c r="P32">
        <v>2</v>
      </c>
      <c r="Q32" s="7">
        <v>40402</v>
      </c>
      <c r="R32" s="7">
        <v>40403</v>
      </c>
    </row>
    <row r="33" spans="1:18">
      <c r="D33" s="28"/>
      <c r="P33">
        <v>3</v>
      </c>
      <c r="Q33" s="7">
        <v>40405</v>
      </c>
      <c r="R33" s="7">
        <v>40406</v>
      </c>
    </row>
    <row r="34" spans="1:18">
      <c r="D34" s="28"/>
      <c r="P34">
        <v>4</v>
      </c>
      <c r="Q34" s="7">
        <v>40413</v>
      </c>
      <c r="R34" s="7">
        <v>40409</v>
      </c>
    </row>
    <row r="35" spans="1:18">
      <c r="D35" s="28"/>
      <c r="P35">
        <v>5</v>
      </c>
      <c r="Q35" s="7">
        <v>40404</v>
      </c>
      <c r="R35" s="7">
        <v>40407</v>
      </c>
    </row>
    <row r="36" spans="1:18">
      <c r="D36" s="28"/>
      <c r="P36">
        <v>6</v>
      </c>
      <c r="Q36" s="7">
        <v>40411</v>
      </c>
      <c r="R36" s="7">
        <v>40412</v>
      </c>
    </row>
    <row r="37" spans="1:18">
      <c r="D37" s="28"/>
      <c r="P37">
        <v>7</v>
      </c>
      <c r="Q37" s="7">
        <v>40418</v>
      </c>
      <c r="R37" s="7">
        <v>40414</v>
      </c>
    </row>
    <row r="38" spans="1:18">
      <c r="D38" s="28"/>
      <c r="P38">
        <v>8</v>
      </c>
      <c r="Q38" s="7">
        <v>40416</v>
      </c>
      <c r="R38" s="7">
        <v>40415</v>
      </c>
    </row>
    <row r="39" spans="1:18">
      <c r="D39" s="28"/>
      <c r="P39">
        <v>9</v>
      </c>
      <c r="Q39" s="7">
        <v>40410</v>
      </c>
      <c r="R39" s="7">
        <v>40417</v>
      </c>
    </row>
    <row r="40" spans="1:18">
      <c r="D40" s="28"/>
      <c r="P40">
        <v>10</v>
      </c>
      <c r="Q40" s="7">
        <v>40408</v>
      </c>
      <c r="R40" s="7"/>
    </row>
    <row r="41" spans="1:18" ht="27">
      <c r="A41">
        <v>5</v>
      </c>
      <c r="B41">
        <v>7</v>
      </c>
      <c r="C41" t="s">
        <v>6058</v>
      </c>
      <c r="D41" s="28" t="s">
        <v>6059</v>
      </c>
      <c r="E41">
        <v>4</v>
      </c>
      <c r="F41">
        <v>40005</v>
      </c>
      <c r="G41" s="29">
        <v>107</v>
      </c>
      <c r="H41" s="29">
        <v>11</v>
      </c>
      <c r="I41" s="29">
        <v>14</v>
      </c>
      <c r="J41" s="29">
        <v>14</v>
      </c>
      <c r="K41" s="29">
        <v>11</v>
      </c>
      <c r="L41" s="29">
        <v>114</v>
      </c>
      <c r="M41" s="29">
        <v>114</v>
      </c>
      <c r="N41" s="29">
        <v>53</v>
      </c>
      <c r="O41" s="29">
        <v>53</v>
      </c>
      <c r="P41">
        <v>1</v>
      </c>
      <c r="Q41" s="7">
        <v>40503</v>
      </c>
      <c r="R41" s="7"/>
    </row>
    <row r="42" spans="1:18">
      <c r="D42" s="28"/>
      <c r="P42">
        <v>2</v>
      </c>
      <c r="Q42" s="7">
        <v>40501</v>
      </c>
      <c r="R42" s="7">
        <v>40502</v>
      </c>
    </row>
    <row r="43" spans="1:18">
      <c r="D43" s="28"/>
      <c r="P43">
        <v>3</v>
      </c>
      <c r="Q43" s="7">
        <v>40504</v>
      </c>
      <c r="R43" s="7">
        <v>40505</v>
      </c>
    </row>
    <row r="44" spans="1:18">
      <c r="D44" s="28"/>
      <c r="P44">
        <v>4</v>
      </c>
      <c r="Q44" s="7">
        <v>40507</v>
      </c>
      <c r="R44" s="7">
        <v>40509</v>
      </c>
    </row>
    <row r="45" spans="1:18">
      <c r="D45" s="28"/>
      <c r="P45">
        <v>5</v>
      </c>
      <c r="Q45" s="7">
        <v>40510</v>
      </c>
      <c r="R45" s="7">
        <v>40512</v>
      </c>
    </row>
    <row r="46" spans="1:18">
      <c r="D46" s="28"/>
      <c r="P46">
        <v>6</v>
      </c>
      <c r="Q46" s="7">
        <v>40513</v>
      </c>
      <c r="R46" s="7">
        <v>40515</v>
      </c>
    </row>
    <row r="47" spans="1:18">
      <c r="D47" s="28"/>
      <c r="P47">
        <v>7</v>
      </c>
      <c r="Q47" s="7">
        <v>40516</v>
      </c>
      <c r="R47" s="7">
        <v>40506</v>
      </c>
    </row>
    <row r="48" spans="1:18">
      <c r="D48" s="28"/>
      <c r="P48">
        <v>8</v>
      </c>
      <c r="Q48" s="7">
        <v>40508</v>
      </c>
      <c r="R48" s="7">
        <v>40511</v>
      </c>
    </row>
    <row r="49" spans="1:18">
      <c r="D49" s="28"/>
      <c r="P49">
        <v>9</v>
      </c>
      <c r="Q49" s="7">
        <v>40514</v>
      </c>
      <c r="R49" s="7">
        <v>40517</v>
      </c>
    </row>
    <row r="50" spans="1:18">
      <c r="D50" s="28"/>
      <c r="P50">
        <v>10</v>
      </c>
      <c r="Q50" s="7">
        <v>40518</v>
      </c>
      <c r="R50" s="7"/>
    </row>
    <row r="51" spans="1:18" ht="108">
      <c r="A51">
        <v>6</v>
      </c>
      <c r="B51">
        <v>1</v>
      </c>
      <c r="C51" t="s">
        <v>6060</v>
      </c>
      <c r="D51" s="28" t="s">
        <v>6061</v>
      </c>
      <c r="E51">
        <v>0</v>
      </c>
      <c r="F51">
        <v>40006</v>
      </c>
      <c r="G51" s="29">
        <v>114</v>
      </c>
      <c r="H51" s="29">
        <v>12</v>
      </c>
      <c r="I51" s="29">
        <v>12</v>
      </c>
      <c r="J51" s="29">
        <v>12</v>
      </c>
      <c r="K51" s="29">
        <v>12</v>
      </c>
      <c r="L51" s="29">
        <v>107</v>
      </c>
      <c r="M51" s="29">
        <v>107</v>
      </c>
      <c r="N51" s="29">
        <v>53</v>
      </c>
      <c r="O51" s="29">
        <v>53</v>
      </c>
      <c r="P51">
        <v>1</v>
      </c>
      <c r="Q51" s="7">
        <v>40601</v>
      </c>
      <c r="R51" s="7"/>
    </row>
    <row r="52" spans="1:18">
      <c r="D52" s="28"/>
      <c r="P52">
        <v>2</v>
      </c>
      <c r="Q52" s="7">
        <v>40602</v>
      </c>
      <c r="R52" s="7">
        <v>40605</v>
      </c>
    </row>
    <row r="53" spans="1:18">
      <c r="D53" s="28"/>
      <c r="P53">
        <v>3</v>
      </c>
      <c r="Q53" s="7">
        <v>40603</v>
      </c>
      <c r="R53" s="7">
        <v>40607</v>
      </c>
    </row>
    <row r="54" spans="1:18">
      <c r="D54" s="28"/>
      <c r="P54">
        <v>4</v>
      </c>
      <c r="Q54" s="7">
        <v>40604</v>
      </c>
      <c r="R54" s="7">
        <v>40609</v>
      </c>
    </row>
    <row r="55" spans="1:18">
      <c r="D55" s="28"/>
      <c r="P55">
        <v>5</v>
      </c>
      <c r="Q55" s="7">
        <v>40606</v>
      </c>
      <c r="R55" s="7">
        <v>40610</v>
      </c>
    </row>
    <row r="56" spans="1:18">
      <c r="D56" s="28"/>
      <c r="P56">
        <v>6</v>
      </c>
      <c r="Q56" s="7">
        <v>40608</v>
      </c>
      <c r="R56" s="7">
        <v>40612</v>
      </c>
    </row>
    <row r="57" spans="1:18">
      <c r="D57" s="28"/>
      <c r="P57">
        <v>7</v>
      </c>
      <c r="Q57" s="7">
        <v>40611</v>
      </c>
      <c r="R57" s="7">
        <v>40613</v>
      </c>
    </row>
    <row r="58" spans="1:18">
      <c r="D58" s="28"/>
      <c r="P58">
        <v>8</v>
      </c>
      <c r="Q58" s="7">
        <v>40615</v>
      </c>
      <c r="R58" s="7">
        <v>40614</v>
      </c>
    </row>
    <row r="59" spans="1:18">
      <c r="D59" s="28"/>
      <c r="P59">
        <v>9</v>
      </c>
      <c r="Q59" s="7">
        <v>40616</v>
      </c>
      <c r="R59" s="7">
        <v>40618</v>
      </c>
    </row>
    <row r="60" spans="1:18">
      <c r="D60" s="28"/>
      <c r="P60">
        <v>10</v>
      </c>
      <c r="Q60" s="7">
        <v>40617</v>
      </c>
      <c r="R60" s="7"/>
    </row>
    <row r="61" spans="1:18" ht="40.5">
      <c r="A61">
        <v>7</v>
      </c>
      <c r="B61">
        <v>8</v>
      </c>
      <c r="C61" t="s">
        <v>6062</v>
      </c>
      <c r="D61" s="28" t="s">
        <v>6063</v>
      </c>
      <c r="E61">
        <v>5</v>
      </c>
      <c r="F61">
        <v>40007</v>
      </c>
      <c r="G61" s="29">
        <v>114</v>
      </c>
      <c r="H61" s="29">
        <v>11</v>
      </c>
      <c r="I61" s="29">
        <v>12</v>
      </c>
      <c r="J61" s="29">
        <v>12</v>
      </c>
      <c r="K61" s="29">
        <v>12</v>
      </c>
      <c r="L61" s="29">
        <v>107</v>
      </c>
      <c r="M61" s="29">
        <v>114</v>
      </c>
      <c r="N61" s="29">
        <v>53</v>
      </c>
      <c r="O61" s="29">
        <v>53</v>
      </c>
      <c r="P61">
        <v>1</v>
      </c>
      <c r="Q61" s="7">
        <v>40705</v>
      </c>
    </row>
    <row r="62" spans="1:18">
      <c r="D62" s="28"/>
      <c r="P62">
        <v>2</v>
      </c>
      <c r="Q62" s="7">
        <v>40702</v>
      </c>
      <c r="R62" s="7">
        <v>40706</v>
      </c>
    </row>
    <row r="63" spans="1:18">
      <c r="D63" s="28"/>
      <c r="P63">
        <v>3</v>
      </c>
      <c r="Q63" s="7">
        <v>40707</v>
      </c>
      <c r="R63" s="7">
        <v>40708</v>
      </c>
    </row>
    <row r="64" spans="1:18">
      <c r="D64" s="28"/>
      <c r="P64">
        <v>4</v>
      </c>
      <c r="Q64" s="7">
        <v>40718</v>
      </c>
      <c r="R64" s="7">
        <v>40711</v>
      </c>
    </row>
    <row r="65" spans="1:18">
      <c r="D65" s="28"/>
      <c r="P65">
        <v>5</v>
      </c>
      <c r="Q65" s="7">
        <v>40714</v>
      </c>
      <c r="R65" s="7">
        <v>40715</v>
      </c>
    </row>
    <row r="66" spans="1:18">
      <c r="D66" s="28"/>
      <c r="P66">
        <v>6</v>
      </c>
      <c r="Q66" s="7">
        <v>40701</v>
      </c>
      <c r="R66" s="7">
        <v>40704</v>
      </c>
    </row>
    <row r="67" spans="1:18">
      <c r="D67" s="28"/>
      <c r="P67">
        <v>7</v>
      </c>
      <c r="Q67" s="7">
        <v>40710</v>
      </c>
      <c r="R67" s="7">
        <v>40717</v>
      </c>
    </row>
    <row r="68" spans="1:18">
      <c r="D68" s="28"/>
      <c r="P68">
        <v>8</v>
      </c>
      <c r="Q68" s="7">
        <v>40713</v>
      </c>
      <c r="R68" s="7">
        <v>40716</v>
      </c>
    </row>
    <row r="69" spans="1:18">
      <c r="D69" s="28"/>
      <c r="P69">
        <v>9</v>
      </c>
      <c r="Q69" s="7">
        <v>40709</v>
      </c>
      <c r="R69" s="7">
        <v>40712</v>
      </c>
    </row>
    <row r="70" spans="1:18">
      <c r="D70" s="28"/>
      <c r="P70">
        <v>10</v>
      </c>
      <c r="Q70" s="7">
        <v>40703</v>
      </c>
      <c r="R70" s="7"/>
    </row>
    <row r="71" spans="1:18" ht="54">
      <c r="A71">
        <v>8</v>
      </c>
      <c r="B71">
        <v>6</v>
      </c>
      <c r="C71" t="s">
        <v>6064</v>
      </c>
      <c r="D71" s="28" t="s">
        <v>6065</v>
      </c>
      <c r="E71">
        <v>6</v>
      </c>
      <c r="F71">
        <v>40008</v>
      </c>
      <c r="G71" s="29">
        <v>107</v>
      </c>
      <c r="H71" s="29">
        <v>14</v>
      </c>
      <c r="I71" s="29">
        <v>12</v>
      </c>
      <c r="J71" s="29">
        <v>12</v>
      </c>
      <c r="K71" s="29">
        <v>12</v>
      </c>
      <c r="L71" s="29">
        <v>107</v>
      </c>
      <c r="M71" s="29">
        <v>107</v>
      </c>
      <c r="N71" s="29">
        <v>53</v>
      </c>
      <c r="O71" s="29">
        <v>53</v>
      </c>
      <c r="P71">
        <v>1</v>
      </c>
      <c r="Q71" s="7">
        <v>40803</v>
      </c>
    </row>
    <row r="72" spans="1:18">
      <c r="D72" s="28"/>
      <c r="P72">
        <v>2</v>
      </c>
      <c r="Q72" s="7">
        <v>40801</v>
      </c>
      <c r="R72" s="7">
        <v>40802</v>
      </c>
    </row>
    <row r="73" spans="1:18">
      <c r="D73" s="28"/>
      <c r="P73">
        <v>3</v>
      </c>
      <c r="Q73" s="7">
        <v>40804</v>
      </c>
      <c r="R73" s="7">
        <v>40805</v>
      </c>
    </row>
    <row r="74" spans="1:18">
      <c r="D74" s="28"/>
      <c r="P74">
        <v>4</v>
      </c>
      <c r="Q74" s="7">
        <v>40806</v>
      </c>
      <c r="R74" s="7">
        <v>40817</v>
      </c>
    </row>
    <row r="75" spans="1:18">
      <c r="D75" s="28"/>
      <c r="P75">
        <v>5</v>
      </c>
      <c r="Q75" s="7">
        <v>40807</v>
      </c>
      <c r="R75" s="7">
        <v>40809</v>
      </c>
    </row>
    <row r="76" spans="1:18">
      <c r="D76" s="28"/>
      <c r="P76">
        <v>6</v>
      </c>
      <c r="Q76" s="7">
        <v>40808</v>
      </c>
      <c r="R76" s="7">
        <v>40811</v>
      </c>
    </row>
    <row r="77" spans="1:18">
      <c r="D77" s="28"/>
      <c r="P77">
        <v>7</v>
      </c>
      <c r="Q77" s="7">
        <v>40810</v>
      </c>
      <c r="R77" s="7">
        <v>40814</v>
      </c>
    </row>
    <row r="78" spans="1:18">
      <c r="D78" s="28"/>
      <c r="P78">
        <v>8</v>
      </c>
      <c r="Q78" s="7">
        <v>40813</v>
      </c>
      <c r="R78" s="7">
        <v>40812</v>
      </c>
    </row>
    <row r="79" spans="1:18">
      <c r="D79" s="28"/>
      <c r="P79">
        <v>9</v>
      </c>
      <c r="Q79" s="7">
        <v>40816</v>
      </c>
      <c r="R79" s="7">
        <v>40815</v>
      </c>
    </row>
    <row r="80" spans="1:18">
      <c r="D80" s="28"/>
      <c r="P80">
        <v>10</v>
      </c>
      <c r="Q80" s="7">
        <v>40818</v>
      </c>
      <c r="R80" s="7"/>
    </row>
    <row r="81" spans="1:18" ht="40.5">
      <c r="A81">
        <v>9</v>
      </c>
      <c r="B81">
        <v>5</v>
      </c>
      <c r="C81" t="s">
        <v>6066</v>
      </c>
      <c r="D81" s="28" t="s">
        <v>6067</v>
      </c>
      <c r="E81">
        <v>6</v>
      </c>
      <c r="F81">
        <v>40009</v>
      </c>
      <c r="G81" s="29">
        <v>114</v>
      </c>
      <c r="H81" s="29">
        <v>12</v>
      </c>
      <c r="I81" s="29">
        <v>12</v>
      </c>
      <c r="J81" s="29">
        <v>12</v>
      </c>
      <c r="K81" s="29">
        <v>11</v>
      </c>
      <c r="L81" s="29">
        <v>107</v>
      </c>
      <c r="M81" s="29">
        <v>107</v>
      </c>
      <c r="N81" s="29">
        <v>56</v>
      </c>
      <c r="O81" s="29">
        <v>56</v>
      </c>
      <c r="P81">
        <v>1</v>
      </c>
      <c r="Q81" s="7">
        <v>40901</v>
      </c>
      <c r="R81" s="7"/>
    </row>
    <row r="82" spans="1:18">
      <c r="D82" s="28"/>
      <c r="P82">
        <v>2</v>
      </c>
      <c r="Q82" s="7">
        <v>40902</v>
      </c>
      <c r="R82" s="7">
        <v>40905</v>
      </c>
    </row>
    <row r="83" spans="1:18">
      <c r="D83" s="28"/>
      <c r="P83">
        <v>3</v>
      </c>
      <c r="Q83" s="7">
        <v>40903</v>
      </c>
      <c r="R83" s="7">
        <v>40906</v>
      </c>
    </row>
    <row r="84" spans="1:18">
      <c r="D84" s="28"/>
      <c r="P84">
        <v>4</v>
      </c>
      <c r="Q84" s="7">
        <v>40904</v>
      </c>
      <c r="R84" s="7">
        <v>40908</v>
      </c>
    </row>
    <row r="85" spans="1:18">
      <c r="D85" s="28"/>
      <c r="P85">
        <v>5</v>
      </c>
      <c r="Q85" s="7">
        <v>40907</v>
      </c>
      <c r="R85" s="7">
        <v>40909</v>
      </c>
    </row>
    <row r="86" spans="1:18">
      <c r="D86" s="28"/>
      <c r="P86">
        <v>6</v>
      </c>
      <c r="Q86" s="7">
        <v>40910</v>
      </c>
      <c r="R86" s="7">
        <v>40911</v>
      </c>
    </row>
    <row r="87" spans="1:18">
      <c r="D87" s="28"/>
      <c r="P87">
        <v>7</v>
      </c>
      <c r="Q87" s="7">
        <v>40913</v>
      </c>
      <c r="R87" s="7">
        <v>40916</v>
      </c>
    </row>
    <row r="88" spans="1:18">
      <c r="D88" s="28"/>
      <c r="P88">
        <v>8</v>
      </c>
      <c r="Q88" s="7">
        <v>40914</v>
      </c>
      <c r="R88" s="7">
        <v>40917</v>
      </c>
    </row>
    <row r="89" spans="1:18">
      <c r="D89" s="28"/>
      <c r="P89">
        <v>9</v>
      </c>
      <c r="Q89" s="7">
        <v>40915</v>
      </c>
      <c r="R89" s="7">
        <v>40918</v>
      </c>
    </row>
    <row r="90" spans="1:18">
      <c r="D90" s="28"/>
      <c r="P90">
        <v>10</v>
      </c>
      <c r="Q90" s="7">
        <v>40912</v>
      </c>
      <c r="R90" s="7"/>
    </row>
    <row r="91" spans="1:18" ht="40.5">
      <c r="A91">
        <v>10</v>
      </c>
      <c r="B91">
        <v>0</v>
      </c>
      <c r="C91" t="s">
        <v>6068</v>
      </c>
      <c r="D91" s="28" t="s">
        <v>6069</v>
      </c>
      <c r="E91">
        <v>6</v>
      </c>
      <c r="F91">
        <v>40010</v>
      </c>
      <c r="G91" s="29">
        <v>107</v>
      </c>
      <c r="H91" s="29">
        <v>11</v>
      </c>
      <c r="I91" s="29">
        <v>11</v>
      </c>
      <c r="J91" s="29">
        <v>11</v>
      </c>
      <c r="K91" s="29">
        <v>11</v>
      </c>
      <c r="L91" s="29">
        <v>107</v>
      </c>
      <c r="M91" s="29">
        <v>107</v>
      </c>
      <c r="N91" s="29">
        <v>60</v>
      </c>
      <c r="O91" s="29">
        <v>60</v>
      </c>
      <c r="P91">
        <v>1</v>
      </c>
      <c r="Q91" s="7">
        <v>41003</v>
      </c>
    </row>
    <row r="92" spans="1:18">
      <c r="D92" s="28"/>
      <c r="P92">
        <v>2</v>
      </c>
      <c r="Q92" s="7">
        <v>41001</v>
      </c>
      <c r="R92" s="7">
        <v>41002</v>
      </c>
    </row>
    <row r="93" spans="1:18">
      <c r="D93" s="28"/>
      <c r="P93">
        <v>3</v>
      </c>
      <c r="Q93" s="7">
        <v>41004</v>
      </c>
      <c r="R93" s="7">
        <v>41005</v>
      </c>
    </row>
    <row r="94" spans="1:18">
      <c r="D94" s="28"/>
      <c r="P94">
        <v>4</v>
      </c>
      <c r="Q94" s="7">
        <v>41007</v>
      </c>
      <c r="R94" s="7">
        <v>41006</v>
      </c>
    </row>
    <row r="95" spans="1:18">
      <c r="D95" s="28"/>
      <c r="P95">
        <v>5</v>
      </c>
      <c r="Q95" s="7">
        <v>41008</v>
      </c>
      <c r="R95" s="7">
        <v>41009</v>
      </c>
    </row>
    <row r="96" spans="1:18">
      <c r="D96" s="28"/>
      <c r="P96">
        <v>6</v>
      </c>
      <c r="Q96" s="7">
        <v>41010</v>
      </c>
      <c r="R96" s="7">
        <v>41011</v>
      </c>
    </row>
    <row r="97" spans="4:18">
      <c r="D97" s="28"/>
      <c r="P97">
        <v>7</v>
      </c>
      <c r="Q97" s="7">
        <v>41013</v>
      </c>
      <c r="R97" s="7">
        <v>41012</v>
      </c>
    </row>
    <row r="98" spans="4:18">
      <c r="D98" s="28"/>
      <c r="P98">
        <v>8</v>
      </c>
      <c r="Q98" s="7">
        <v>41016</v>
      </c>
      <c r="R98" s="7">
        <v>41018</v>
      </c>
    </row>
    <row r="99" spans="4:18">
      <c r="D99" s="28"/>
      <c r="P99">
        <v>9</v>
      </c>
      <c r="Q99" s="7">
        <v>41014</v>
      </c>
      <c r="R99" s="7">
        <v>41015</v>
      </c>
    </row>
    <row r="100" spans="4:18">
      <c r="D100" s="28"/>
      <c r="P100">
        <v>10</v>
      </c>
      <c r="Q100" s="7">
        <v>41017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17"/>
  <sheetViews>
    <sheetView tabSelected="1" zoomScaleNormal="100" workbookViewId="0">
      <pane xSplit="3" ySplit="2" topLeftCell="D771" activePane="bottomRight" state="frozenSplit"/>
      <selection pane="topRight" activeCell="D1" sqref="D1"/>
      <selection pane="bottomLeft" activeCell="A3" sqref="A3"/>
      <selection pane="bottomRight" activeCell="K787" sqref="K787"/>
    </sheetView>
  </sheetViews>
  <sheetFormatPr defaultColWidth="8.875" defaultRowHeight="13.5"/>
  <cols>
    <col min="1" max="1" width="9.125" style="27" bestFit="1" customWidth="1"/>
    <col min="2" max="2" width="17.5" style="27" bestFit="1" customWidth="1"/>
    <col min="3" max="3" width="50.5" style="27" customWidth="1"/>
    <col min="4" max="4" width="12.625" style="27" customWidth="1"/>
    <col min="5" max="5" width="7.125" style="27" bestFit="1" customWidth="1"/>
    <col min="6" max="7" width="9.125" style="27" bestFit="1" customWidth="1"/>
    <col min="8" max="8" width="8.125" style="27" bestFit="1" customWidth="1"/>
    <col min="9" max="9" width="14.625" style="27" customWidth="1"/>
    <col min="10" max="10" width="26.625" style="27" bestFit="1" customWidth="1"/>
    <col min="11" max="11" width="44.125" style="26" customWidth="1"/>
    <col min="12" max="12" width="27.625" style="27" bestFit="1" customWidth="1"/>
    <col min="13" max="16384" width="8.875" style="27"/>
  </cols>
  <sheetData>
    <row r="1" spans="1:12">
      <c r="A1" s="27" t="s">
        <v>1604</v>
      </c>
      <c r="B1" s="27" t="s">
        <v>1605</v>
      </c>
      <c r="C1" s="27" t="s">
        <v>1606</v>
      </c>
      <c r="D1" s="27" t="s">
        <v>1607</v>
      </c>
      <c r="E1" s="27" t="s">
        <v>7</v>
      </c>
      <c r="F1" s="27" t="s">
        <v>6</v>
      </c>
      <c r="G1" s="27" t="s">
        <v>82</v>
      </c>
      <c r="I1" s="27" t="s">
        <v>872</v>
      </c>
      <c r="K1" s="26" t="s">
        <v>873</v>
      </c>
      <c r="L1" s="27" t="s">
        <v>873</v>
      </c>
    </row>
    <row r="2" spans="1:12">
      <c r="A2" s="27" t="s">
        <v>1609</v>
      </c>
      <c r="B2" s="27" t="s">
        <v>3</v>
      </c>
      <c r="C2" s="27" t="s">
        <v>1569</v>
      </c>
      <c r="D2" s="27" t="s">
        <v>87</v>
      </c>
      <c r="E2" s="27" t="s">
        <v>5</v>
      </c>
      <c r="F2" s="27" t="s">
        <v>1626</v>
      </c>
      <c r="G2" s="27" t="s">
        <v>1592</v>
      </c>
      <c r="H2" s="27" t="s">
        <v>1610</v>
      </c>
      <c r="I2" s="27" t="s">
        <v>1611</v>
      </c>
      <c r="K2" s="26" t="s">
        <v>1612</v>
      </c>
      <c r="L2" s="27" t="s">
        <v>1613</v>
      </c>
    </row>
    <row r="3" spans="1:12">
      <c r="A3" s="27">
        <v>1</v>
      </c>
      <c r="B3" s="27" t="s">
        <v>874</v>
      </c>
      <c r="C3" s="27" t="s">
        <v>875</v>
      </c>
      <c r="E3" s="27">
        <v>0</v>
      </c>
      <c r="F3" s="27">
        <v>0</v>
      </c>
    </row>
    <row r="4" spans="1:12">
      <c r="A4" s="27">
        <v>2</v>
      </c>
      <c r="B4" s="27" t="s">
        <v>286</v>
      </c>
      <c r="C4" s="27" t="s">
        <v>9049</v>
      </c>
      <c r="D4" s="27" t="s">
        <v>6997</v>
      </c>
      <c r="E4" s="27">
        <v>100</v>
      </c>
      <c r="F4" s="27">
        <v>3</v>
      </c>
      <c r="H4" s="27">
        <v>43</v>
      </c>
      <c r="I4" s="27" t="str">
        <f>IF(H4="","",VLOOKUP(H4,'#状态名词'!$A$2:$C$99,2))</f>
        <v>turn_damage</v>
      </c>
      <c r="J4" s="27" t="str">
        <f>IF(H4="","",VLOOKUP(H4,'#状态名词'!$A$2:$C$99,3))</f>
        <v>回合伤害</v>
      </c>
      <c r="K4" s="26" t="s">
        <v>9053</v>
      </c>
    </row>
    <row r="5" spans="1:12">
      <c r="A5" s="27">
        <v>3</v>
      </c>
      <c r="B5" s="27" t="s">
        <v>876</v>
      </c>
      <c r="C5" s="27" t="s">
        <v>9048</v>
      </c>
      <c r="D5" s="27" t="s">
        <v>6998</v>
      </c>
      <c r="E5" s="27">
        <v>100</v>
      </c>
      <c r="F5" s="27">
        <v>3</v>
      </c>
      <c r="H5" s="27">
        <v>43</v>
      </c>
      <c r="I5" s="27" t="str">
        <f>IF(H5="","",VLOOKUP(H5,'#状态名词'!$A$2:$C$99,2))</f>
        <v>turn_damage</v>
      </c>
      <c r="J5" s="27" t="str">
        <f>IF(H5="","",VLOOKUP(H5,'#状态名词'!$A$2:$C$99,3))</f>
        <v>回合伤害</v>
      </c>
      <c r="K5" s="26" t="s">
        <v>9052</v>
      </c>
    </row>
    <row r="6" spans="1:12">
      <c r="A6" s="27">
        <v>4</v>
      </c>
      <c r="B6" s="27" t="s">
        <v>877</v>
      </c>
      <c r="C6" s="27" t="s">
        <v>9050</v>
      </c>
      <c r="D6" s="27" t="s">
        <v>7002</v>
      </c>
      <c r="E6" s="27">
        <v>100</v>
      </c>
      <c r="F6" s="27">
        <v>3</v>
      </c>
      <c r="H6" s="27">
        <v>43</v>
      </c>
      <c r="I6" s="27" t="str">
        <f>IF(H6="","",VLOOKUP(H6,'#状态名词'!$A$2:$C$99,2))</f>
        <v>turn_damage</v>
      </c>
      <c r="J6" s="27" t="str">
        <f>IF(H6="","",VLOOKUP(H6,'#状态名词'!$A$2:$C$99,3))</f>
        <v>回合伤害</v>
      </c>
      <c r="K6" s="26" t="s">
        <v>9054</v>
      </c>
    </row>
    <row r="7" spans="1:12">
      <c r="A7" s="27">
        <v>5</v>
      </c>
      <c r="B7" s="27" t="s">
        <v>288</v>
      </c>
      <c r="C7" s="27" t="s">
        <v>9051</v>
      </c>
      <c r="D7" s="27" t="s">
        <v>7008</v>
      </c>
      <c r="E7" s="27">
        <v>100</v>
      </c>
      <c r="F7" s="27">
        <v>3</v>
      </c>
      <c r="H7" s="27">
        <v>37</v>
      </c>
      <c r="I7" s="27" t="str">
        <f>IF(H7="","",VLOOKUP(H7,'#状态名词'!$A$2:$C$99,2))</f>
        <v>action_hurt</v>
      </c>
      <c r="J7" s="27" t="str">
        <f>IF(H7="","",VLOOKUP(H7,'#状态名词'!$A$2:$C$99,3))</f>
        <v>行动时自身受到伤害</v>
      </c>
      <c r="K7" s="26" t="s">
        <v>9055</v>
      </c>
    </row>
    <row r="8" spans="1:12">
      <c r="A8" s="27">
        <v>11</v>
      </c>
      <c r="B8" s="27" t="s">
        <v>878</v>
      </c>
      <c r="C8" s="27" t="s">
        <v>293</v>
      </c>
      <c r="D8" s="27" t="s">
        <v>7000</v>
      </c>
      <c r="E8" s="27">
        <v>30</v>
      </c>
      <c r="F8" s="27">
        <v>5</v>
      </c>
      <c r="H8" s="27">
        <v>14</v>
      </c>
      <c r="I8" s="27" t="str">
        <f>IF(H8="","",VLOOKUP(H8,'#状态名词'!$A$2:$C$99,2))</f>
        <v>arm_per</v>
      </c>
      <c r="J8" s="27" t="str">
        <f>IF(H8="","",VLOOKUP(H8,'#状态名词'!$A$2:$C$99,3))</f>
        <v>护甲百分比</v>
      </c>
      <c r="K8" s="26">
        <v>-1</v>
      </c>
    </row>
    <row r="9" spans="1:12">
      <c r="H9" s="27">
        <v>16</v>
      </c>
      <c r="I9" s="27" t="str">
        <f>IF(H9="","",VLOOKUP(H9,'#状态名词'!$A$2:$C$99,2))</f>
        <v>mr_per</v>
      </c>
      <c r="J9" s="27" t="str">
        <f>IF(H9="","",VLOOKUP(H9,'#状态名词'!$A$2:$C$99,3))</f>
        <v>魔抗百分比</v>
      </c>
      <c r="K9" s="26">
        <v>-1</v>
      </c>
    </row>
    <row r="10" spans="1:12">
      <c r="A10" s="27">
        <v>12</v>
      </c>
      <c r="B10" s="27" t="s">
        <v>879</v>
      </c>
      <c r="C10" s="27" t="s">
        <v>880</v>
      </c>
      <c r="D10" s="27" t="s">
        <v>7001</v>
      </c>
      <c r="E10" s="27">
        <v>30</v>
      </c>
      <c r="F10" s="27">
        <v>5</v>
      </c>
      <c r="H10" s="27">
        <v>2</v>
      </c>
      <c r="I10" s="27" t="str">
        <f>IF(H10="","",VLOOKUP(H10,'#状态名词'!$A$2:$C$99,2))</f>
        <v>damaup</v>
      </c>
      <c r="J10" s="27" t="str">
        <f>IF(H10="","",VLOOKUP(H10,'#状态名词'!$A$2:$C$99,3))</f>
        <v>伤害提升A类增伤</v>
      </c>
      <c r="K10" s="26">
        <v>-1</v>
      </c>
    </row>
    <row r="11" spans="1:12">
      <c r="A11" s="27">
        <v>13</v>
      </c>
      <c r="B11" s="27" t="s">
        <v>881</v>
      </c>
      <c r="C11" s="27" t="s">
        <v>294</v>
      </c>
      <c r="D11" s="27" t="s">
        <v>7009</v>
      </c>
      <c r="E11" s="27">
        <v>50</v>
      </c>
      <c r="F11" s="27">
        <v>5</v>
      </c>
      <c r="H11" s="27">
        <v>24</v>
      </c>
      <c r="I11" s="27" t="str">
        <f>IF(H11="","",VLOOKUP(H11,'#状态名词'!$A$2:$C$99,2))</f>
        <v>heal</v>
      </c>
      <c r="J11" s="27" t="str">
        <f>IF(H11="","",VLOOKUP(H11,'#状态名词'!$A$2:$C$99,3))</f>
        <v>治疗效果+</v>
      </c>
      <c r="K11" s="26">
        <v>-100</v>
      </c>
    </row>
    <row r="12" spans="1:12">
      <c r="A12" s="27">
        <v>21</v>
      </c>
      <c r="B12" s="27" t="s">
        <v>882</v>
      </c>
      <c r="C12" s="27" t="s">
        <v>295</v>
      </c>
      <c r="D12" s="27" t="s">
        <v>7003</v>
      </c>
      <c r="E12" s="27">
        <v>5</v>
      </c>
      <c r="F12" s="27">
        <v>1</v>
      </c>
      <c r="G12" s="27">
        <v>21</v>
      </c>
      <c r="H12" s="27" t="s">
        <v>84</v>
      </c>
      <c r="I12" s="27" t="str">
        <f>IF(H12="","",VLOOKUP(H12,'#状态名词'!$A$2:$C$99,2))</f>
        <v/>
      </c>
      <c r="J12" s="27" t="str">
        <f>IF(H12="","",VLOOKUP(H12,'#状态名词'!$A$2:$C$99,3))</f>
        <v/>
      </c>
    </row>
    <row r="13" spans="1:12">
      <c r="A13" s="27">
        <v>22</v>
      </c>
      <c r="B13" s="27" t="s">
        <v>296</v>
      </c>
      <c r="C13" s="27" t="s">
        <v>811</v>
      </c>
      <c r="D13" s="27" t="s">
        <v>7004</v>
      </c>
      <c r="E13" s="27">
        <v>40</v>
      </c>
      <c r="F13" s="27">
        <v>5</v>
      </c>
      <c r="H13" s="27">
        <v>21</v>
      </c>
      <c r="I13" s="27" t="str">
        <f>IF(H13="","",VLOOKUP(H13,'#状态名词'!$A$2:$C$99,2))</f>
        <v>speed</v>
      </c>
      <c r="J13" s="27" t="str">
        <f>IF(H13="","",VLOOKUP(H13,'#状态名词'!$A$2:$C$99,3))</f>
        <v>速度+</v>
      </c>
      <c r="K13" s="26" t="s">
        <v>7156</v>
      </c>
    </row>
    <row r="14" spans="1:12">
      <c r="A14" s="27">
        <v>23</v>
      </c>
      <c r="B14" s="27" t="s">
        <v>367</v>
      </c>
      <c r="C14" s="27" t="s">
        <v>883</v>
      </c>
      <c r="D14" s="27" t="s">
        <v>6999</v>
      </c>
      <c r="E14" s="27">
        <v>1</v>
      </c>
      <c r="F14" s="27">
        <v>1</v>
      </c>
      <c r="G14" s="27">
        <v>23</v>
      </c>
      <c r="H14" s="27" t="s">
        <v>84</v>
      </c>
      <c r="I14" s="27" t="str">
        <f>IF(H14="","",VLOOKUP(H14,'#状态名词'!$A$2:$C$99,2))</f>
        <v/>
      </c>
      <c r="J14" s="27" t="str">
        <f>IF(H14="","",VLOOKUP(H14,'#状态名词'!$A$2:$C$99,3))</f>
        <v/>
      </c>
    </row>
    <row r="15" spans="1:12">
      <c r="A15" s="27">
        <v>31</v>
      </c>
      <c r="B15" s="27" t="s">
        <v>314</v>
      </c>
      <c r="C15" s="27" t="s">
        <v>884</v>
      </c>
      <c r="D15" s="27" t="s">
        <v>7005</v>
      </c>
      <c r="E15" s="27">
        <v>100</v>
      </c>
      <c r="F15" s="27">
        <v>5</v>
      </c>
      <c r="H15" s="27">
        <v>2</v>
      </c>
      <c r="I15" s="27" t="str">
        <f>IF(H15="","",VLOOKUP(H15,'#状态名词'!$A$2:$C$99,2))</f>
        <v>damaup</v>
      </c>
      <c r="J15" s="27" t="str">
        <f>IF(H15="","",VLOOKUP(H15,'#状态名词'!$A$2:$C$99,3))</f>
        <v>伤害提升A类增伤</v>
      </c>
      <c r="K15" s="26">
        <v>1</v>
      </c>
    </row>
    <row r="16" spans="1:12">
      <c r="A16" s="27">
        <v>32</v>
      </c>
      <c r="B16" s="27" t="s">
        <v>885</v>
      </c>
      <c r="C16" s="27" t="s">
        <v>886</v>
      </c>
      <c r="D16" s="27" t="s">
        <v>7006</v>
      </c>
      <c r="E16" s="27">
        <v>20</v>
      </c>
      <c r="F16" s="27">
        <v>5</v>
      </c>
      <c r="H16" s="27">
        <v>61</v>
      </c>
      <c r="I16" s="27" t="str">
        <f>IF(H16="","",VLOOKUP(H16,'#状态名词'!$A$2:$C$99,2))</f>
        <v>team_ad</v>
      </c>
      <c r="J16" s="27" t="str">
        <f>IF(H16="","",VLOOKUP(H16,'#状态名词'!$A$2:$C$99,3))</f>
        <v>队伍AD</v>
      </c>
      <c r="K16" s="26" t="s">
        <v>887</v>
      </c>
    </row>
    <row r="17" spans="1:11">
      <c r="A17" s="27">
        <v>33</v>
      </c>
      <c r="B17" s="27" t="s">
        <v>888</v>
      </c>
      <c r="C17" s="27" t="s">
        <v>889</v>
      </c>
      <c r="D17" s="27" t="s">
        <v>7007</v>
      </c>
      <c r="E17" s="27">
        <v>20</v>
      </c>
      <c r="F17" s="27">
        <v>5</v>
      </c>
      <c r="H17" s="27">
        <v>62</v>
      </c>
      <c r="I17" s="27" t="str">
        <f>IF(H17="","",VLOOKUP(H17,'#状态名词'!$A$2:$C$99,2))</f>
        <v>team_ap</v>
      </c>
      <c r="J17" s="27" t="str">
        <f>IF(H17="","",VLOOKUP(H17,'#状态名词'!$A$2:$C$99,3))</f>
        <v>队伍AP</v>
      </c>
      <c r="K17" s="26" t="s">
        <v>824</v>
      </c>
    </row>
    <row r="18" spans="1:11">
      <c r="A18" s="27">
        <v>34</v>
      </c>
      <c r="B18" s="27" t="s">
        <v>299</v>
      </c>
      <c r="C18" s="27" t="s">
        <v>890</v>
      </c>
      <c r="D18" s="27" t="s">
        <v>7010</v>
      </c>
      <c r="E18" s="27">
        <v>100</v>
      </c>
      <c r="F18" s="27">
        <v>5</v>
      </c>
      <c r="H18" s="27">
        <v>19</v>
      </c>
      <c r="I18" s="27" t="str">
        <f>IF(H18="","",VLOOKUP(H18,'#状态名词'!$A$2:$C$99,2))</f>
        <v>rating</v>
      </c>
      <c r="J18" s="27" t="str">
        <f>IF(H18="","",VLOOKUP(H18,'#状态名词'!$A$2:$C$99,3))</f>
        <v>暴击+</v>
      </c>
      <c r="K18" s="26">
        <v>100</v>
      </c>
    </row>
    <row r="19" spans="1:11">
      <c r="A19" s="27">
        <v>35</v>
      </c>
      <c r="B19" s="27" t="s">
        <v>322</v>
      </c>
      <c r="C19" s="27" t="s">
        <v>300</v>
      </c>
      <c r="D19" s="27" t="s">
        <v>7011</v>
      </c>
      <c r="E19" s="27">
        <v>100</v>
      </c>
      <c r="F19" s="27">
        <v>5</v>
      </c>
      <c r="H19" s="27">
        <v>30</v>
      </c>
      <c r="I19" s="27" t="str">
        <f>IF(H19="","",VLOOKUP(H19,'#状态名词'!$A$2:$C$99,2))</f>
        <v>elementup</v>
      </c>
      <c r="J19" s="27" t="str">
        <f>IF(H19="","",VLOOKUP(H19,'#状态名词'!$A$2:$C$99,3))</f>
        <v>全属性强化</v>
      </c>
      <c r="K19" s="26">
        <v>2</v>
      </c>
    </row>
    <row r="20" spans="1:11">
      <c r="A20" s="27">
        <v>36</v>
      </c>
      <c r="B20" s="27" t="s">
        <v>891</v>
      </c>
      <c r="C20" s="27" t="s">
        <v>2037</v>
      </c>
      <c r="D20" s="27" t="s">
        <v>7012</v>
      </c>
      <c r="E20" s="27">
        <v>100</v>
      </c>
      <c r="F20" s="27">
        <v>5</v>
      </c>
      <c r="H20" s="27">
        <v>65</v>
      </c>
      <c r="I20" s="27" t="str">
        <f>IF(H20="","",VLOOKUP(H20,'#状态名词'!$A$2:$C$99,2))</f>
        <v>str</v>
      </c>
      <c r="J20" s="27" t="str">
        <f>IF(H20="","",VLOOKUP(H20,'#状态名词'!$A$2:$C$99,3))</f>
        <v>力量</v>
      </c>
      <c r="K20" s="26">
        <v>30</v>
      </c>
    </row>
    <row r="21" spans="1:11">
      <c r="H21" s="27">
        <v>67</v>
      </c>
      <c r="I21" s="27" t="str">
        <f>IF(H21="","",VLOOKUP(H21,'#状态名词'!$A$2:$C$99,2))</f>
        <v>inte</v>
      </c>
      <c r="J21" s="27" t="str">
        <f>IF(H21="","",VLOOKUP(H21,'#状态名词'!$A$2:$C$99,3))</f>
        <v>智力</v>
      </c>
      <c r="K21" s="26">
        <v>30</v>
      </c>
    </row>
    <row r="22" spans="1:11">
      <c r="A22" s="27">
        <v>41</v>
      </c>
      <c r="B22" s="27" t="s">
        <v>892</v>
      </c>
      <c r="C22" s="27" t="s">
        <v>2110</v>
      </c>
      <c r="D22" s="27" t="s">
        <v>7013</v>
      </c>
      <c r="E22" s="27">
        <v>100</v>
      </c>
      <c r="F22" s="27">
        <v>5</v>
      </c>
      <c r="H22" s="27">
        <v>54</v>
      </c>
      <c r="I22" s="27" t="str">
        <f>IF(H22="","",VLOOKUP(H22,'#状态名词'!$A$2:$C$99,2))</f>
        <v>spi</v>
      </c>
      <c r="J22" s="27" t="str">
        <f>IF(H22="","",VLOOKUP(H22,'#状态名词'!$A$2:$C$99,3))</f>
        <v>精神</v>
      </c>
      <c r="K22" s="26">
        <v>20</v>
      </c>
    </row>
    <row r="23" spans="1:11">
      <c r="A23" s="27">
        <v>42</v>
      </c>
      <c r="B23" s="27" t="s">
        <v>301</v>
      </c>
      <c r="C23" s="27" t="s">
        <v>302</v>
      </c>
      <c r="D23" s="27" t="s">
        <v>7016</v>
      </c>
      <c r="E23" s="27">
        <v>100</v>
      </c>
      <c r="F23" s="27">
        <v>5</v>
      </c>
      <c r="H23" s="27">
        <v>23</v>
      </c>
      <c r="I23" s="27" t="str">
        <f>IF(H23="","",VLOOKUP(H23,'#状态名词'!$A$2:$C$99,2))</f>
        <v>steal</v>
      </c>
      <c r="J23" s="27" t="str">
        <f>IF(H23="","",VLOOKUP(H23,'#状态名词'!$A$2:$C$99,3))</f>
        <v>生命偷取</v>
      </c>
      <c r="K23" s="26">
        <v>100</v>
      </c>
    </row>
    <row r="24" spans="1:11">
      <c r="A24" s="27">
        <v>43</v>
      </c>
      <c r="B24" s="27" t="s">
        <v>893</v>
      </c>
      <c r="C24" s="27" t="s">
        <v>894</v>
      </c>
      <c r="D24" s="27" t="s">
        <v>7015</v>
      </c>
      <c r="E24" s="27">
        <v>100</v>
      </c>
      <c r="F24" s="27">
        <v>3</v>
      </c>
      <c r="H24" s="27">
        <v>42</v>
      </c>
      <c r="I24" s="27" t="str">
        <f>IF(H24="","",VLOOKUP(H24,'#状态名词'!$A$2:$C$99,2))</f>
        <v>turn_heal</v>
      </c>
      <c r="J24" s="27" t="str">
        <f>IF(H24="","",VLOOKUP(H24,'#状态名词'!$A$2:$C$99,3))</f>
        <v>回合回复</v>
      </c>
      <c r="K24" s="26" t="s">
        <v>895</v>
      </c>
    </row>
    <row r="25" spans="1:11">
      <c r="A25" s="27">
        <v>44</v>
      </c>
      <c r="B25" s="27" t="s">
        <v>35</v>
      </c>
      <c r="C25" s="27" t="s">
        <v>896</v>
      </c>
      <c r="D25" s="27" t="s">
        <v>7014</v>
      </c>
      <c r="E25" s="27">
        <v>100</v>
      </c>
      <c r="F25" s="27">
        <v>5</v>
      </c>
      <c r="H25" s="27">
        <v>21</v>
      </c>
      <c r="I25" s="27" t="str">
        <f>IF(H25="","",VLOOKUP(H25,'#状态名词'!$A$2:$C$99,2))</f>
        <v>speed</v>
      </c>
      <c r="J25" s="27" t="str">
        <f>IF(H25="","",VLOOKUP(H25,'#状态名词'!$A$2:$C$99,3))</f>
        <v>速度+</v>
      </c>
      <c r="K25" s="26" t="s">
        <v>7157</v>
      </c>
    </row>
    <row r="26" spans="1:11">
      <c r="A26" s="27">
        <v>50</v>
      </c>
      <c r="B26" s="27" t="s">
        <v>897</v>
      </c>
      <c r="C26" s="27" t="s">
        <v>898</v>
      </c>
      <c r="D26" s="27" t="s">
        <v>7017</v>
      </c>
      <c r="E26" s="27">
        <v>5</v>
      </c>
      <c r="F26" s="27">
        <v>3</v>
      </c>
      <c r="G26" s="27">
        <v>50</v>
      </c>
      <c r="H26" s="27" t="s">
        <v>84</v>
      </c>
      <c r="I26" s="27" t="str">
        <f>IF(H26="","",VLOOKUP(H26,'#状态名词'!$A$2:$C$99,2))</f>
        <v/>
      </c>
      <c r="J26" s="27" t="str">
        <f>IF(H26="","",VLOOKUP(H26,'#状态名词'!$A$2:$C$99,3))</f>
        <v/>
      </c>
    </row>
    <row r="27" spans="1:11">
      <c r="A27" s="27">
        <v>51</v>
      </c>
      <c r="B27" s="27" t="s">
        <v>899</v>
      </c>
      <c r="C27" s="27" t="s">
        <v>7100</v>
      </c>
      <c r="D27" s="27" t="s">
        <v>7019</v>
      </c>
      <c r="E27" s="27">
        <v>50</v>
      </c>
      <c r="F27" s="27">
        <v>3</v>
      </c>
      <c r="H27" s="27">
        <v>38</v>
      </c>
      <c r="I27" s="27" t="str">
        <f>IF(H27="","",VLOOKUP(H27,'#状态名词'!$A$2:$C$99,2))</f>
        <v>hurt_damage</v>
      </c>
      <c r="J27" s="27" t="str">
        <f>IF(H27="","",VLOOKUP(H27,'#状态名词'!$A$2:$C$99,3))</f>
        <v>被攻击造成伤害</v>
      </c>
      <c r="K27" s="26" t="s">
        <v>7102</v>
      </c>
    </row>
    <row r="28" spans="1:11">
      <c r="A28" s="27">
        <v>52</v>
      </c>
      <c r="B28" s="27" t="s">
        <v>900</v>
      </c>
      <c r="C28" s="27" t="s">
        <v>7101</v>
      </c>
      <c r="D28" s="27" t="s">
        <v>7018</v>
      </c>
      <c r="E28" s="27">
        <v>50</v>
      </c>
      <c r="F28" s="27">
        <v>3</v>
      </c>
      <c r="H28" s="27">
        <v>38</v>
      </c>
      <c r="I28" s="27" t="str">
        <f>IF(H28="","",VLOOKUP(H28,'#状态名词'!$A$2:$C$99,2))</f>
        <v>hurt_damage</v>
      </c>
      <c r="J28" s="27" t="str">
        <f>IF(H28="","",VLOOKUP(H28,'#状态名词'!$A$2:$C$99,3))</f>
        <v>被攻击造成伤害</v>
      </c>
      <c r="K28" s="26" t="s">
        <v>7103</v>
      </c>
    </row>
    <row r="29" spans="1:11">
      <c r="A29" s="27">
        <v>61</v>
      </c>
      <c r="B29" s="27" t="s">
        <v>308</v>
      </c>
      <c r="C29" s="27" t="s">
        <v>901</v>
      </c>
      <c r="D29" s="27" t="s">
        <v>7020</v>
      </c>
      <c r="E29" s="27">
        <v>999</v>
      </c>
      <c r="F29" s="27">
        <v>-1</v>
      </c>
      <c r="G29" s="27">
        <v>61</v>
      </c>
      <c r="H29" s="27">
        <v>2</v>
      </c>
      <c r="I29" s="27" t="str">
        <f>IF(H29="","",VLOOKUP(H29,'#状态名词'!$A$2:$C$99,2))</f>
        <v>damaup</v>
      </c>
      <c r="J29" s="27" t="str">
        <f>IF(H29="","",VLOOKUP(H29,'#状态名词'!$A$2:$C$99,3))</f>
        <v>伤害提升A类增伤</v>
      </c>
      <c r="K29" s="26">
        <v>1</v>
      </c>
    </row>
    <row r="30" spans="1:11">
      <c r="A30" s="27">
        <v>90</v>
      </c>
      <c r="B30" s="27" t="s">
        <v>902</v>
      </c>
      <c r="C30" s="27" t="s">
        <v>903</v>
      </c>
      <c r="D30" s="27" t="s">
        <v>7023</v>
      </c>
      <c r="E30" s="27">
        <v>-1</v>
      </c>
      <c r="F30" s="27">
        <v>-1</v>
      </c>
      <c r="H30" s="27">
        <v>51</v>
      </c>
      <c r="I30" s="27" t="str">
        <f>IF(H30="","",VLOOKUP(H30,'#状态名词'!$A$2:$C$99,2))</f>
        <v>rageupper</v>
      </c>
      <c r="J30" s="27" t="str">
        <f>IF(H30="","",VLOOKUP(H30,'#状态名词'!$A$2:$C$99,3))</f>
        <v>怒气上限</v>
      </c>
      <c r="K30" s="26" t="s">
        <v>904</v>
      </c>
    </row>
    <row r="31" spans="1:11">
      <c r="A31" s="27">
        <v>91</v>
      </c>
      <c r="B31" s="27" t="s">
        <v>905</v>
      </c>
      <c r="C31" s="27" t="s">
        <v>906</v>
      </c>
      <c r="D31" s="27" t="s">
        <v>7024</v>
      </c>
      <c r="E31" s="27">
        <v>-1</v>
      </c>
      <c r="F31" s="27">
        <v>-1</v>
      </c>
      <c r="H31" s="27">
        <v>52</v>
      </c>
      <c r="I31" s="27" t="str">
        <f>IF(H31="","",VLOOKUP(H31,'#状态名词'!$A$2:$C$99,2))</f>
        <v>energyupper</v>
      </c>
      <c r="J31" s="27" t="str">
        <f>IF(H31="","",VLOOKUP(H31,'#状态名词'!$A$2:$C$99,3))</f>
        <v>能量上限</v>
      </c>
      <c r="K31" s="26" t="s">
        <v>784</v>
      </c>
    </row>
    <row r="32" spans="1:11">
      <c r="A32" s="27">
        <v>92</v>
      </c>
      <c r="B32" s="27" t="s">
        <v>907</v>
      </c>
      <c r="C32" s="27" t="s">
        <v>908</v>
      </c>
      <c r="D32" s="27" t="s">
        <v>7025</v>
      </c>
      <c r="E32" s="27">
        <v>-1</v>
      </c>
      <c r="F32" s="27">
        <v>-1</v>
      </c>
      <c r="H32" s="27">
        <v>53</v>
      </c>
      <c r="I32" s="27" t="str">
        <f>IF(H32="","",VLOOKUP(H32,'#状态名词'!$A$2:$C$99,2))</f>
        <v>manaupper</v>
      </c>
      <c r="J32" s="27" t="str">
        <f>IF(H32="","",VLOOKUP(H32,'#状态名词'!$A$2:$C$99,3))</f>
        <v>法力上限</v>
      </c>
      <c r="K32" s="26" t="s">
        <v>784</v>
      </c>
    </row>
    <row r="33" spans="1:12">
      <c r="A33" s="27">
        <v>93</v>
      </c>
      <c r="B33" s="27" t="s">
        <v>909</v>
      </c>
      <c r="C33" s="27" t="s">
        <v>910</v>
      </c>
      <c r="D33" s="27" t="s">
        <v>7022</v>
      </c>
      <c r="E33" s="27">
        <v>1</v>
      </c>
      <c r="F33" s="27">
        <v>3</v>
      </c>
      <c r="G33" s="27">
        <v>93</v>
      </c>
      <c r="I33" s="27" t="str">
        <f>IF(H33="","",VLOOKUP(H33,'#状态名词'!$A$2:$C$99,2))</f>
        <v/>
      </c>
      <c r="J33" s="27" t="str">
        <f>IF(H33="","",VLOOKUP(H33,'#状态名词'!$A$2:$C$99,3))</f>
        <v/>
      </c>
    </row>
    <row r="34" spans="1:12">
      <c r="A34" s="27">
        <v>100</v>
      </c>
      <c r="B34" s="27" t="s">
        <v>658</v>
      </c>
      <c r="C34" s="27" t="s">
        <v>911</v>
      </c>
      <c r="D34" s="27" t="s">
        <v>7021</v>
      </c>
      <c r="E34" s="27">
        <v>1</v>
      </c>
      <c r="F34" s="27">
        <v>3</v>
      </c>
      <c r="G34" s="27">
        <v>100</v>
      </c>
      <c r="I34" s="27" t="str">
        <f>IF(H34="","",VLOOKUP(H34,'#状态名词'!$A$2:$C$99,2))</f>
        <v/>
      </c>
      <c r="J34" s="27" t="str">
        <f>IF(H34="","",VLOOKUP(H34,'#状态名词'!$A$2:$C$99,3))</f>
        <v/>
      </c>
    </row>
    <row r="35" spans="1:12">
      <c r="A35" s="27">
        <v>101</v>
      </c>
      <c r="B35" s="27" t="s">
        <v>3836</v>
      </c>
      <c r="E35" s="27">
        <v>1</v>
      </c>
      <c r="F35" s="27">
        <v>-1</v>
      </c>
      <c r="H35" s="27">
        <v>19</v>
      </c>
      <c r="I35" s="27" t="str">
        <f>IF(H35="","",VLOOKUP(H35,'#状态名词'!$A$2:$C$99,2))</f>
        <v>rating</v>
      </c>
      <c r="J35" s="27" t="str">
        <f>IF(H35="","",VLOOKUP(H35,'#状态名词'!$A$2:$C$99,3))</f>
        <v>暴击+</v>
      </c>
      <c r="K35" s="26" t="s">
        <v>912</v>
      </c>
      <c r="L35" s="27">
        <v>101</v>
      </c>
    </row>
    <row r="36" spans="1:12">
      <c r="A36" s="27">
        <v>105</v>
      </c>
      <c r="B36" s="27" t="s">
        <v>3841</v>
      </c>
      <c r="C36" s="27" t="s">
        <v>913</v>
      </c>
      <c r="E36" s="27">
        <v>-1</v>
      </c>
      <c r="F36" s="27">
        <v>-1</v>
      </c>
      <c r="H36" s="27">
        <v>23</v>
      </c>
      <c r="I36" s="27" t="str">
        <f>IF(H36="","",VLOOKUP(H36,'#状态名词'!$A$2:$C$99,2))</f>
        <v>steal</v>
      </c>
      <c r="J36" s="27" t="str">
        <f>IF(H36="","",VLOOKUP(H36,'#状态名词'!$A$2:$C$99,3))</f>
        <v>生命偷取</v>
      </c>
      <c r="K36" s="26" t="s">
        <v>914</v>
      </c>
    </row>
    <row r="37" spans="1:12">
      <c r="A37" s="27">
        <v>106</v>
      </c>
      <c r="B37" s="27" t="s">
        <v>3842</v>
      </c>
      <c r="C37" s="27" t="s">
        <v>915</v>
      </c>
      <c r="E37" s="27">
        <v>1</v>
      </c>
      <c r="F37" s="27">
        <v>-1</v>
      </c>
      <c r="H37" s="27">
        <v>20</v>
      </c>
      <c r="I37" s="27" t="str">
        <f>IF(H37="","",VLOOKUP(H37,'#状态名词'!$A$2:$C$99,2))</f>
        <v>ratingdamage</v>
      </c>
      <c r="J37" s="27" t="str">
        <f>IF(H37="","",VLOOKUP(H37,'#状态名词'!$A$2:$C$99,3))</f>
        <v>暴伤+</v>
      </c>
      <c r="K37" s="26" t="s">
        <v>916</v>
      </c>
      <c r="L37" s="27">
        <v>106</v>
      </c>
    </row>
    <row r="38" spans="1:12">
      <c r="A38" s="27">
        <v>201</v>
      </c>
      <c r="B38" s="27" t="s">
        <v>3845</v>
      </c>
      <c r="C38" s="21" t="s">
        <v>7183</v>
      </c>
      <c r="E38" s="27">
        <v>-1</v>
      </c>
      <c r="F38" s="27">
        <v>-1</v>
      </c>
      <c r="H38" s="27">
        <v>29</v>
      </c>
      <c r="I38" s="27" t="str">
        <f>IF(H38="","",VLOOKUP(H38,'#状态名词'!$A$2:$C$99,2))</f>
        <v>darkup</v>
      </c>
      <c r="J38" s="27" t="str">
        <f>IF(H38="","",VLOOKUP(H38,'#状态名词'!$A$2:$C$99,3))</f>
        <v>暗属性强化</v>
      </c>
      <c r="K38" s="26" t="s">
        <v>4198</v>
      </c>
    </row>
    <row r="39" spans="1:12">
      <c r="B39" s="27" t="s">
        <v>84</v>
      </c>
      <c r="C39" s="21"/>
      <c r="H39" s="27">
        <v>1</v>
      </c>
      <c r="I39" s="27" t="str">
        <f>IF(H39="","",VLOOKUP(H39,'#状态名词'!$A$2:$C$99,2))</f>
        <v>skilldama</v>
      </c>
      <c r="J39" s="27" t="str">
        <f>IF(H39="","",VLOOKUP(H39,'#状态名词'!$A$2:$C$99,3))</f>
        <v>技能伤害和治疗效果提升B类</v>
      </c>
      <c r="K39" s="26" t="s">
        <v>7194</v>
      </c>
      <c r="L39" s="27">
        <v>101</v>
      </c>
    </row>
    <row r="40" spans="1:12">
      <c r="A40" s="27">
        <v>202</v>
      </c>
      <c r="B40" s="27" t="s">
        <v>3847</v>
      </c>
      <c r="C40" s="21" t="s">
        <v>7192</v>
      </c>
      <c r="E40" s="27">
        <v>-1</v>
      </c>
      <c r="F40" s="27">
        <v>-1</v>
      </c>
      <c r="H40" s="27">
        <v>24</v>
      </c>
      <c r="I40" s="27" t="str">
        <f>IF(H40="","",VLOOKUP(H40,'#状态名词'!$A$2:$C$99,2))</f>
        <v>heal</v>
      </c>
      <c r="J40" s="27" t="str">
        <f>IF(H40="","",VLOOKUP(H40,'#状态名词'!$A$2:$C$99,3))</f>
        <v>治疗效果+</v>
      </c>
      <c r="K40" s="26" t="s">
        <v>7195</v>
      </c>
    </row>
    <row r="41" spans="1:12">
      <c r="A41" s="27">
        <v>204</v>
      </c>
      <c r="B41" s="27" t="s">
        <v>7357</v>
      </c>
      <c r="C41" s="21" t="s">
        <v>7182</v>
      </c>
      <c r="E41" s="27">
        <v>-1</v>
      </c>
      <c r="F41" s="27">
        <v>-1</v>
      </c>
      <c r="H41" s="27">
        <v>32</v>
      </c>
      <c r="I41" s="27" t="str">
        <f>IF(H41="","",VLOOKUP(H41,'#状态名词'!$A$2:$C$99,2))</f>
        <v>reice</v>
      </c>
      <c r="J41" s="27" t="str">
        <f>IF(H41="","",VLOOKUP(H41,'#状态名词'!$A$2:$C$99,3))</f>
        <v>冰属性抗性</v>
      </c>
      <c r="K41" s="26" t="s">
        <v>9059</v>
      </c>
    </row>
    <row r="42" spans="1:12">
      <c r="B42" s="27" t="s">
        <v>84</v>
      </c>
      <c r="H42" s="27">
        <v>33</v>
      </c>
      <c r="I42" s="27" t="str">
        <f>IF(H42="","",VLOOKUP(H42,'#状态名词'!$A$2:$C$99,2))</f>
        <v>relight</v>
      </c>
      <c r="J42" s="27" t="str">
        <f>IF(H42="","",VLOOKUP(H42,'#状态名词'!$A$2:$C$99,3))</f>
        <v>光属性抗性</v>
      </c>
      <c r="K42" s="26" t="s">
        <v>9059</v>
      </c>
    </row>
    <row r="43" spans="1:12">
      <c r="A43" s="27">
        <v>205</v>
      </c>
      <c r="B43" s="27" t="s">
        <v>3848</v>
      </c>
      <c r="C43" s="21" t="s">
        <v>7797</v>
      </c>
      <c r="E43" s="27">
        <v>-1</v>
      </c>
      <c r="F43" s="27">
        <v>1</v>
      </c>
      <c r="H43" s="27">
        <v>21</v>
      </c>
      <c r="I43" s="27" t="str">
        <f>IF(H43="","",VLOOKUP(H43,'#状态名词'!$A$2:$C$99,2))</f>
        <v>speed</v>
      </c>
      <c r="J43" s="27" t="str">
        <f>IF(H43="","",VLOOKUP(H43,'#状态名词'!$A$2:$C$99,3))</f>
        <v>速度+</v>
      </c>
      <c r="K43" s="26" t="s">
        <v>7798</v>
      </c>
    </row>
    <row r="44" spans="1:12">
      <c r="A44" s="27">
        <v>302</v>
      </c>
      <c r="B44" s="27" t="s">
        <v>3852</v>
      </c>
      <c r="C44" s="27" t="s">
        <v>305</v>
      </c>
      <c r="E44" s="27">
        <v>1</v>
      </c>
      <c r="F44" s="27">
        <v>3</v>
      </c>
      <c r="H44" s="27">
        <v>22</v>
      </c>
      <c r="I44" s="27" t="str">
        <f>IF(H44="","",VLOOKUP(H44,'#状态名词'!$A$2:$C$99,2))</f>
        <v>speed_per</v>
      </c>
      <c r="J44" s="27" t="str">
        <f>IF(H44="","",VLOOKUP(H44,'#状态名词'!$A$2:$C$99,3))</f>
        <v>速度百分比</v>
      </c>
      <c r="K44" s="26" t="s">
        <v>917</v>
      </c>
    </row>
    <row r="45" spans="1:12">
      <c r="B45" s="27" t="s">
        <v>84</v>
      </c>
      <c r="H45" s="27">
        <v>23</v>
      </c>
      <c r="I45" s="27" t="str">
        <f>IF(H45="","",VLOOKUP(H45,'#状态名词'!$A$2:$C$99,2))</f>
        <v>steal</v>
      </c>
      <c r="J45" s="27" t="str">
        <f>IF(H45="","",VLOOKUP(H45,'#状态名词'!$A$2:$C$99,3))</f>
        <v>生命偷取</v>
      </c>
      <c r="K45" s="26" t="s">
        <v>918</v>
      </c>
    </row>
    <row r="46" spans="1:12">
      <c r="A46" s="27">
        <v>303</v>
      </c>
      <c r="B46" s="27" t="s">
        <v>3853</v>
      </c>
      <c r="C46" s="27" t="s">
        <v>306</v>
      </c>
      <c r="E46" s="27">
        <v>-1</v>
      </c>
      <c r="F46" s="27">
        <v>-1</v>
      </c>
      <c r="H46" s="27">
        <v>44</v>
      </c>
      <c r="I46" s="27" t="str">
        <f>IF(H46="","",VLOOKUP(H46,'#状态名词'!$A$2:$C$99,2))</f>
        <v>dotup</v>
      </c>
      <c r="J46" s="27" t="str">
        <f>IF(H46="","",VLOOKUP(H46,'#状态名词'!$A$2:$C$99,3))</f>
        <v>持续伤害强化</v>
      </c>
      <c r="K46" s="26" t="s">
        <v>919</v>
      </c>
    </row>
    <row r="47" spans="1:12">
      <c r="A47" s="27">
        <v>304</v>
      </c>
      <c r="B47" s="27" t="s">
        <v>3854</v>
      </c>
      <c r="C47" s="27" t="s">
        <v>920</v>
      </c>
      <c r="E47" s="27">
        <v>5</v>
      </c>
      <c r="F47" s="27">
        <v>-1</v>
      </c>
      <c r="H47" s="27">
        <v>2</v>
      </c>
      <c r="I47" s="27" t="str">
        <f>IF(H47="","",VLOOKUP(H47,'#状态名词'!$A$2:$C$99,2))</f>
        <v>damaup</v>
      </c>
      <c r="J47" s="27" t="str">
        <f>IF(H47="","",VLOOKUP(H47,'#状态名词'!$A$2:$C$99,3))</f>
        <v>伤害提升A类增伤</v>
      </c>
      <c r="K47" s="26" t="s">
        <v>1080</v>
      </c>
    </row>
    <row r="48" spans="1:12">
      <c r="B48" s="27" t="s">
        <v>84</v>
      </c>
      <c r="H48" s="27">
        <v>54</v>
      </c>
      <c r="I48" s="27" t="str">
        <f>IF(H48="","",VLOOKUP(H48,'#状态名词'!$A$2:$C$99,2))</f>
        <v>spi</v>
      </c>
      <c r="J48" s="27" t="str">
        <f>IF(H48="","",VLOOKUP(H48,'#状态名词'!$A$2:$C$99,3))</f>
        <v>精神</v>
      </c>
      <c r="K48" s="26" t="s">
        <v>8993</v>
      </c>
    </row>
    <row r="49" spans="1:12">
      <c r="A49" s="27">
        <v>305</v>
      </c>
      <c r="B49" s="27" t="s">
        <v>3855</v>
      </c>
      <c r="C49" s="27" t="s">
        <v>921</v>
      </c>
      <c r="E49" s="27">
        <v>-1</v>
      </c>
      <c r="F49" s="27">
        <v>-1</v>
      </c>
      <c r="H49" s="27">
        <v>54</v>
      </c>
      <c r="I49" s="27" t="str">
        <f>IF(H49="","",VLOOKUP(H49,'#状态名词'!$A$2:$C$99,2))</f>
        <v>spi</v>
      </c>
      <c r="J49" s="27" t="str">
        <f>IF(H49="","",VLOOKUP(H49,'#状态名词'!$A$2:$C$99,3))</f>
        <v>精神</v>
      </c>
      <c r="K49" s="26" t="s">
        <v>749</v>
      </c>
    </row>
    <row r="50" spans="1:12">
      <c r="B50" s="27" t="s">
        <v>84</v>
      </c>
      <c r="H50" s="27">
        <v>32</v>
      </c>
      <c r="I50" s="27" t="str">
        <f>IF(H50="","",VLOOKUP(H50,'#状态名词'!$A$2:$C$99,2))</f>
        <v>reice</v>
      </c>
      <c r="J50" s="27" t="str">
        <f>IF(H50="","",VLOOKUP(H50,'#状态名词'!$A$2:$C$99,3))</f>
        <v>冰属性抗性</v>
      </c>
      <c r="K50" s="26" t="s">
        <v>833</v>
      </c>
    </row>
    <row r="51" spans="1:12">
      <c r="B51" s="27" t="s">
        <v>84</v>
      </c>
      <c r="H51" s="27">
        <v>31</v>
      </c>
      <c r="I51" s="27" t="str">
        <f>IF(H51="","",VLOOKUP(H51,'#状态名词'!$A$2:$C$99,2))</f>
        <v>refire</v>
      </c>
      <c r="J51" s="27" t="str">
        <f>IF(H51="","",VLOOKUP(H51,'#状态名词'!$A$2:$C$99,3))</f>
        <v>火属性抗性</v>
      </c>
      <c r="K51" s="26" t="s">
        <v>833</v>
      </c>
    </row>
    <row r="52" spans="1:12">
      <c r="A52" s="27">
        <v>403</v>
      </c>
      <c r="B52" s="27" t="s">
        <v>3860</v>
      </c>
      <c r="C52" s="27" t="s">
        <v>923</v>
      </c>
      <c r="E52" s="27">
        <v>-1</v>
      </c>
      <c r="F52" s="27">
        <v>-1</v>
      </c>
      <c r="G52" s="27">
        <v>403</v>
      </c>
      <c r="H52" s="27" t="s">
        <v>84</v>
      </c>
      <c r="I52" s="27" t="str">
        <f>IF(H52="","",VLOOKUP(H52,'#状态名词'!$A$2:$C$99,2))</f>
        <v/>
      </c>
      <c r="J52" s="27" t="str">
        <f>IF(H52="","",VLOOKUP(H52,'#状态名词'!$A$2:$C$99,3))</f>
        <v/>
      </c>
    </row>
    <row r="53" spans="1:12">
      <c r="A53" s="27">
        <v>404</v>
      </c>
      <c r="B53" s="27" t="s">
        <v>3861</v>
      </c>
      <c r="C53" s="27" t="s">
        <v>924</v>
      </c>
      <c r="E53" s="27">
        <v>-1</v>
      </c>
      <c r="F53" s="27">
        <v>-1</v>
      </c>
      <c r="H53" s="27">
        <v>23</v>
      </c>
      <c r="I53" s="27" t="str">
        <f>IF(H53="","",VLOOKUP(H53,'#状态名词'!$A$2:$C$99,2))</f>
        <v>steal</v>
      </c>
      <c r="J53" s="27" t="str">
        <f>IF(H53="","",VLOOKUP(H53,'#状态名词'!$A$2:$C$99,3))</f>
        <v>生命偷取</v>
      </c>
      <c r="K53" s="26" t="s">
        <v>925</v>
      </c>
    </row>
    <row r="54" spans="1:12">
      <c r="B54" s="27" t="s">
        <v>84</v>
      </c>
      <c r="H54" s="27">
        <v>13</v>
      </c>
      <c r="I54" s="27" t="str">
        <f>IF(H54="","",VLOOKUP(H54,'#状态名词'!$A$2:$C$99,2))</f>
        <v>arm</v>
      </c>
      <c r="J54" s="27" t="str">
        <f>IF(H54="","",VLOOKUP(H54,'#状态名词'!$A$2:$C$99,3))</f>
        <v>ARM+</v>
      </c>
      <c r="K54" s="26" t="s">
        <v>925</v>
      </c>
    </row>
    <row r="55" spans="1:12">
      <c r="A55" s="27">
        <v>405</v>
      </c>
      <c r="B55" s="27" t="s">
        <v>3862</v>
      </c>
      <c r="C55" s="27" t="s">
        <v>926</v>
      </c>
      <c r="E55" s="27">
        <v>1</v>
      </c>
      <c r="F55" s="27">
        <v>-1</v>
      </c>
      <c r="H55" s="27">
        <v>1</v>
      </c>
      <c r="I55" s="27" t="str">
        <f>IF(H55="","",VLOOKUP(H55,'#状态名词'!$A$2:$C$99,2))</f>
        <v>skilldama</v>
      </c>
      <c r="J55" s="27" t="str">
        <f>IF(H55="","",VLOOKUP(H55,'#状态名词'!$A$2:$C$99,3))</f>
        <v>技能伤害和治疗效果提升B类</v>
      </c>
      <c r="K55" s="26" t="s">
        <v>927</v>
      </c>
    </row>
    <row r="56" spans="1:12">
      <c r="A56" s="27">
        <v>601</v>
      </c>
      <c r="B56" s="27" t="s">
        <v>3867</v>
      </c>
      <c r="C56" s="27" t="s">
        <v>928</v>
      </c>
      <c r="E56" s="27">
        <v>-1</v>
      </c>
      <c r="F56" s="27">
        <v>-1</v>
      </c>
      <c r="H56" s="27">
        <v>61</v>
      </c>
      <c r="I56" s="27" t="str">
        <f>IF(H56="","",VLOOKUP(H56,'#状态名词'!$A$2:$C$99,2))</f>
        <v>team_ad</v>
      </c>
      <c r="J56" s="27" t="str">
        <f>IF(H56="","",VLOOKUP(H56,'#状态名词'!$A$2:$C$99,3))</f>
        <v>队伍AD</v>
      </c>
      <c r="K56" s="26" t="s">
        <v>9027</v>
      </c>
    </row>
    <row r="57" spans="1:12">
      <c r="B57" s="27" t="s">
        <v>84</v>
      </c>
      <c r="H57" s="27">
        <v>62</v>
      </c>
      <c r="I57" s="27" t="str">
        <f>IF(H57="","",VLOOKUP(H57,'#状态名词'!$A$2:$C$99,2))</f>
        <v>team_ap</v>
      </c>
      <c r="J57" s="27" t="str">
        <f>IF(H57="","",VLOOKUP(H57,'#状态名词'!$A$2:$C$99,3))</f>
        <v>队伍AP</v>
      </c>
      <c r="K57" s="26" t="s">
        <v>9027</v>
      </c>
    </row>
    <row r="58" spans="1:12">
      <c r="A58" s="27">
        <v>602</v>
      </c>
      <c r="B58" s="27" t="s">
        <v>7470</v>
      </c>
      <c r="C58" s="27" t="s">
        <v>930</v>
      </c>
      <c r="E58" s="27">
        <v>-1</v>
      </c>
      <c r="F58" s="27">
        <v>-1</v>
      </c>
      <c r="H58" s="27">
        <v>36</v>
      </c>
      <c r="I58" s="27" t="str">
        <f>IF(H58="","",VLOOKUP(H58,'#状态名词'!$A$2:$C$99,2))</f>
        <v>atk_damage</v>
      </c>
      <c r="J58" s="27" t="str">
        <f>IF(H58="","",VLOOKUP(H58,'#状态名词'!$A$2:$C$99,3))</f>
        <v>攻击附加伤害</v>
      </c>
      <c r="K58" s="26" t="s">
        <v>931</v>
      </c>
      <c r="L58" s="27">
        <v>1</v>
      </c>
    </row>
    <row r="59" spans="1:12">
      <c r="A59" s="27">
        <v>604</v>
      </c>
      <c r="B59" s="27" t="s">
        <v>3873</v>
      </c>
      <c r="C59" s="27" t="s">
        <v>932</v>
      </c>
      <c r="E59" s="27">
        <v>-1</v>
      </c>
      <c r="F59" s="27">
        <v>-1</v>
      </c>
      <c r="H59" s="27">
        <v>21</v>
      </c>
      <c r="I59" s="27" t="str">
        <f>IF(H59="","",VLOOKUP(H59,'#状态名词'!$A$2:$C$99,2))</f>
        <v>speed</v>
      </c>
      <c r="J59" s="27" t="str">
        <f>IF(H59="","",VLOOKUP(H59,'#状态名词'!$A$2:$C$99,3))</f>
        <v>速度+</v>
      </c>
      <c r="K59" s="26" t="s">
        <v>786</v>
      </c>
    </row>
    <row r="60" spans="1:12">
      <c r="B60" s="27" t="s">
        <v>84</v>
      </c>
      <c r="H60" s="27">
        <v>61</v>
      </c>
      <c r="I60" s="27" t="str">
        <f>IF(H60="","",VLOOKUP(H60,'#状态名词'!$A$2:$C$99,2))</f>
        <v>team_ad</v>
      </c>
      <c r="J60" s="27" t="str">
        <f>IF(H60="","",VLOOKUP(H60,'#状态名词'!$A$2:$C$99,3))</f>
        <v>队伍AD</v>
      </c>
      <c r="K60" s="26" t="s">
        <v>651</v>
      </c>
    </row>
    <row r="61" spans="1:12">
      <c r="A61" s="27">
        <v>605</v>
      </c>
      <c r="B61" s="27" t="s">
        <v>3874</v>
      </c>
      <c r="C61" s="27" t="s">
        <v>601</v>
      </c>
      <c r="E61" s="27">
        <v>-1</v>
      </c>
      <c r="F61" s="27">
        <v>-1</v>
      </c>
      <c r="H61" s="27">
        <v>36</v>
      </c>
      <c r="I61" s="27" t="str">
        <f>IF(H61="","",VLOOKUP(H61,'#状态名词'!$A$2:$C$99,2))</f>
        <v>atk_damage</v>
      </c>
      <c r="J61" s="27" t="str">
        <f>IF(H61="","",VLOOKUP(H61,'#状态名词'!$A$2:$C$99,3))</f>
        <v>攻击附加伤害</v>
      </c>
      <c r="K61" s="26" t="s">
        <v>933</v>
      </c>
      <c r="L61" s="27">
        <v>1</v>
      </c>
    </row>
    <row r="62" spans="1:12">
      <c r="A62" s="27">
        <v>701</v>
      </c>
      <c r="B62" s="27" t="s">
        <v>3875</v>
      </c>
      <c r="C62" s="27" t="s">
        <v>934</v>
      </c>
      <c r="E62" s="27">
        <v>-1</v>
      </c>
      <c r="F62" s="27">
        <v>-1</v>
      </c>
      <c r="H62" s="27">
        <v>62</v>
      </c>
      <c r="I62" s="27" t="str">
        <f>IF(H62="","",VLOOKUP(H62,'#状态名词'!$A$2:$C$99,2))</f>
        <v>team_ap</v>
      </c>
      <c r="J62" s="27" t="str">
        <f>IF(H62="","",VLOOKUP(H62,'#状态名词'!$A$2:$C$99,3))</f>
        <v>队伍AP</v>
      </c>
      <c r="K62" s="26" t="s">
        <v>652</v>
      </c>
    </row>
    <row r="63" spans="1:12">
      <c r="B63" s="27" t="s">
        <v>84</v>
      </c>
      <c r="H63" s="27">
        <v>21</v>
      </c>
      <c r="I63" s="27" t="str">
        <f>IF(H63="","",VLOOKUP(H63,'#状态名词'!$A$2:$C$99,2))</f>
        <v>speed</v>
      </c>
      <c r="J63" s="27" t="str">
        <f>IF(H63="","",VLOOKUP(H63,'#状态名词'!$A$2:$C$99,3))</f>
        <v>速度+</v>
      </c>
      <c r="K63" s="26" t="s">
        <v>935</v>
      </c>
    </row>
    <row r="64" spans="1:12">
      <c r="A64" s="27">
        <v>704</v>
      </c>
      <c r="B64" s="27" t="s">
        <v>468</v>
      </c>
      <c r="C64" s="27" t="s">
        <v>936</v>
      </c>
      <c r="E64" s="27">
        <v>1</v>
      </c>
      <c r="F64" s="27">
        <v>-1</v>
      </c>
      <c r="H64" s="27">
        <v>36</v>
      </c>
      <c r="I64" s="27" t="str">
        <f>IF(H64="","",VLOOKUP(H64,'#状态名词'!$A$2:$C$99,2))</f>
        <v>atk_damage</v>
      </c>
      <c r="J64" s="27" t="str">
        <f>IF(H64="","",VLOOKUP(H64,'#状态名词'!$A$2:$C$99,3))</f>
        <v>攻击附加伤害</v>
      </c>
      <c r="K64" s="26" t="s">
        <v>937</v>
      </c>
      <c r="L64" s="27">
        <v>703</v>
      </c>
    </row>
    <row r="65" spans="1:12">
      <c r="A65" s="27">
        <v>705</v>
      </c>
      <c r="B65" s="27" t="s">
        <v>3883</v>
      </c>
      <c r="C65" s="27" t="s">
        <v>787</v>
      </c>
      <c r="E65" s="27">
        <v>-1</v>
      </c>
      <c r="F65" s="27">
        <v>6</v>
      </c>
      <c r="H65" s="27">
        <v>2</v>
      </c>
      <c r="I65" s="27" t="str">
        <f>IF(H65="","",VLOOKUP(H65,'#状态名词'!$A$2:$C$99,2))</f>
        <v>damaup</v>
      </c>
      <c r="J65" s="27" t="str">
        <f>IF(H65="","",VLOOKUP(H65,'#状态名词'!$A$2:$C$99,3))</f>
        <v>伤害提升A类增伤</v>
      </c>
      <c r="K65" s="26" t="s">
        <v>8050</v>
      </c>
    </row>
    <row r="66" spans="1:12">
      <c r="A66" s="27">
        <v>802</v>
      </c>
      <c r="B66" s="27" t="s">
        <v>3887</v>
      </c>
      <c r="C66" s="27" t="s">
        <v>938</v>
      </c>
      <c r="E66" s="27">
        <v>-1</v>
      </c>
      <c r="F66" s="27">
        <v>-1</v>
      </c>
      <c r="H66" s="27">
        <v>1</v>
      </c>
      <c r="I66" s="27" t="str">
        <f>IF(H66="","",VLOOKUP(H66,'#状态名词'!$A$2:$C$99,2))</f>
        <v>skilldama</v>
      </c>
      <c r="J66" s="27" t="str">
        <f>IF(H66="","",VLOOKUP(H66,'#状态名词'!$A$2:$C$99,3))</f>
        <v>技能伤害和治疗效果提升B类</v>
      </c>
      <c r="K66" s="26" t="s">
        <v>939</v>
      </c>
      <c r="L66" s="27">
        <v>801</v>
      </c>
    </row>
    <row r="67" spans="1:12">
      <c r="A67" s="27">
        <v>804</v>
      </c>
      <c r="B67" s="27" t="s">
        <v>3891</v>
      </c>
      <c r="C67" s="27" t="s">
        <v>756</v>
      </c>
      <c r="E67" s="27">
        <v>-1</v>
      </c>
      <c r="F67" s="27">
        <v>-1</v>
      </c>
      <c r="H67" s="27">
        <v>8</v>
      </c>
      <c r="I67" s="27" t="str">
        <f>IF(H67="","",VLOOKUP(H67,'#状态名词'!$A$2:$C$99,2))</f>
        <v>jianshang_per</v>
      </c>
      <c r="J67" s="27" t="str">
        <f>IF(H67="","",VLOOKUP(H67,'#状态名词'!$A$2:$C$99,3))</f>
        <v>减伤</v>
      </c>
      <c r="K67" s="26" t="s">
        <v>940</v>
      </c>
    </row>
    <row r="68" spans="1:12">
      <c r="A68" s="27">
        <v>805</v>
      </c>
      <c r="B68" s="67" t="s">
        <v>3892</v>
      </c>
      <c r="C68" s="27" t="s">
        <v>941</v>
      </c>
      <c r="E68" s="27">
        <v>-1</v>
      </c>
      <c r="F68" s="27">
        <v>-1</v>
      </c>
      <c r="H68" s="27">
        <v>36</v>
      </c>
      <c r="I68" s="27" t="str">
        <f>IF(H68="","",VLOOKUP(H68,'#状态名词'!$A$2:$C$99,2))</f>
        <v>atk_damage</v>
      </c>
      <c r="J68" s="27" t="str">
        <f>IF(H68="","",VLOOKUP(H68,'#状态名词'!$A$2:$C$99,3))</f>
        <v>攻击附加伤害</v>
      </c>
      <c r="K68" s="26" t="s">
        <v>7766</v>
      </c>
    </row>
    <row r="69" spans="1:12">
      <c r="A69" s="27">
        <v>902</v>
      </c>
      <c r="B69" s="27" t="s">
        <v>3897</v>
      </c>
      <c r="C69" s="27" t="s">
        <v>942</v>
      </c>
      <c r="E69" s="27">
        <v>-1</v>
      </c>
      <c r="F69" s="27">
        <v>-1</v>
      </c>
      <c r="H69" s="27">
        <v>21</v>
      </c>
      <c r="I69" s="27" t="str">
        <f>IF(H69="","",VLOOKUP(H69,'#状态名词'!$A$2:$C$99,2))</f>
        <v>speed</v>
      </c>
      <c r="J69" s="27" t="str">
        <f>IF(H69="","",VLOOKUP(H69,'#状态名词'!$A$2:$C$99,3))</f>
        <v>速度+</v>
      </c>
      <c r="K69" s="26" t="s">
        <v>943</v>
      </c>
    </row>
    <row r="70" spans="1:12">
      <c r="A70" s="27">
        <v>903</v>
      </c>
      <c r="B70" s="27" t="s">
        <v>3898</v>
      </c>
      <c r="C70" s="27" t="s">
        <v>944</v>
      </c>
      <c r="E70" s="27">
        <v>1</v>
      </c>
      <c r="F70" s="27">
        <v>-1</v>
      </c>
      <c r="H70" s="27">
        <v>1</v>
      </c>
      <c r="I70" s="27" t="str">
        <f>IF(H70="","",VLOOKUP(H70,'#状态名词'!$A$2:$C$99,2))</f>
        <v>skilldama</v>
      </c>
      <c r="J70" s="27" t="str">
        <f>IF(H70="","",VLOOKUP(H70,'#状态名词'!$A$2:$C$99,3))</f>
        <v>技能伤害和治疗效果提升B类</v>
      </c>
      <c r="K70" s="26" t="s">
        <v>945</v>
      </c>
      <c r="L70" s="27">
        <v>901</v>
      </c>
    </row>
    <row r="71" spans="1:12">
      <c r="A71" s="27">
        <v>904</v>
      </c>
      <c r="B71" s="27" t="s">
        <v>3899</v>
      </c>
      <c r="C71" s="27" t="s">
        <v>757</v>
      </c>
      <c r="E71" s="27">
        <v>-1</v>
      </c>
      <c r="F71" s="27">
        <v>-1</v>
      </c>
      <c r="H71" s="27">
        <v>19</v>
      </c>
      <c r="I71" s="27" t="str">
        <f>IF(H71="","",VLOOKUP(H71,'#状态名词'!$A$2:$C$99,2))</f>
        <v>rating</v>
      </c>
      <c r="J71" s="27" t="str">
        <f>IF(H71="","",VLOOKUP(H71,'#状态名词'!$A$2:$C$99,3))</f>
        <v>暴击+</v>
      </c>
      <c r="K71" s="26" t="s">
        <v>946</v>
      </c>
    </row>
    <row r="72" spans="1:12">
      <c r="A72" s="27">
        <v>905</v>
      </c>
      <c r="B72" s="27" t="s">
        <v>3900</v>
      </c>
      <c r="C72" s="27" t="s">
        <v>947</v>
      </c>
      <c r="E72" s="27">
        <v>-1</v>
      </c>
      <c r="F72" s="27">
        <v>-1</v>
      </c>
      <c r="H72" s="27">
        <v>23</v>
      </c>
      <c r="I72" s="27" t="str">
        <f>IF(H72="","",VLOOKUP(H72,'#状态名词'!$A$2:$C$99,2))</f>
        <v>steal</v>
      </c>
      <c r="J72" s="27" t="str">
        <f>IF(H72="","",VLOOKUP(H72,'#状态名词'!$A$2:$C$99,3))</f>
        <v>生命偷取</v>
      </c>
      <c r="K72" s="26" t="s">
        <v>948</v>
      </c>
    </row>
    <row r="73" spans="1:12">
      <c r="A73" s="27">
        <v>1001</v>
      </c>
      <c r="B73" s="27" t="s">
        <v>3901</v>
      </c>
      <c r="C73" s="27" t="s">
        <v>949</v>
      </c>
      <c r="E73" s="27">
        <v>-1</v>
      </c>
      <c r="F73" s="27">
        <v>-1</v>
      </c>
      <c r="H73" s="27">
        <v>19</v>
      </c>
      <c r="I73" s="27" t="str">
        <f>IF(H73="","",VLOOKUP(H73,'#状态名词'!$A$2:$C$99,2))</f>
        <v>rating</v>
      </c>
      <c r="J73" s="27" t="str">
        <f>IF(H73="","",VLOOKUP(H73,'#状态名词'!$A$2:$C$99,3))</f>
        <v>暴击+</v>
      </c>
      <c r="K73" s="26" t="s">
        <v>950</v>
      </c>
    </row>
    <row r="74" spans="1:12">
      <c r="A74" s="27">
        <v>1003</v>
      </c>
      <c r="B74" s="27" t="s">
        <v>3905</v>
      </c>
      <c r="C74" s="27" t="s">
        <v>951</v>
      </c>
      <c r="E74" s="27">
        <v>-1</v>
      </c>
      <c r="F74" s="27">
        <v>-1</v>
      </c>
      <c r="H74" s="27">
        <v>61</v>
      </c>
      <c r="I74" s="27" t="str">
        <f>IF(H74="","",VLOOKUP(H74,'#状态名词'!$A$2:$C$99,2))</f>
        <v>team_ad</v>
      </c>
      <c r="J74" s="27" t="str">
        <f>IF(H74="","",VLOOKUP(H74,'#状态名词'!$A$2:$C$99,3))</f>
        <v>队伍AD</v>
      </c>
      <c r="K74" s="26" t="s">
        <v>952</v>
      </c>
    </row>
    <row r="75" spans="1:12">
      <c r="A75" s="27">
        <v>1004</v>
      </c>
      <c r="B75" s="27" t="s">
        <v>3906</v>
      </c>
      <c r="C75" s="27" t="s">
        <v>953</v>
      </c>
      <c r="E75" s="27">
        <v>-1</v>
      </c>
      <c r="F75" s="27">
        <v>-1</v>
      </c>
      <c r="H75" s="27">
        <v>17</v>
      </c>
      <c r="I75" s="27" t="str">
        <f>IF(H75="","",VLOOKUP(H75,'#状态名词'!$A$2:$C$99,2))</f>
        <v>adi</v>
      </c>
      <c r="J75" s="27" t="str">
        <f>IF(H75="","",VLOOKUP(H75,'#状态名词'!$A$2:$C$99,3))</f>
        <v>物穿</v>
      </c>
      <c r="K75" s="26" t="s">
        <v>954</v>
      </c>
    </row>
    <row r="76" spans="1:12">
      <c r="A76" s="27">
        <v>1005</v>
      </c>
      <c r="B76" s="27" t="s">
        <v>3907</v>
      </c>
      <c r="C76" s="27" t="s">
        <v>955</v>
      </c>
      <c r="E76" s="27">
        <v>1</v>
      </c>
      <c r="F76" s="27">
        <v>-1</v>
      </c>
      <c r="H76" s="27">
        <v>1</v>
      </c>
      <c r="I76" s="27" t="str">
        <f>IF(H76="","",VLOOKUP(H76,'#状态名词'!$A$2:$C$99,2))</f>
        <v>skilldama</v>
      </c>
      <c r="J76" s="27" t="str">
        <f>IF(H76="","",VLOOKUP(H76,'#状态名词'!$A$2:$C$99,3))</f>
        <v>技能伤害和治疗效果提升B类</v>
      </c>
      <c r="K76" s="26" t="s">
        <v>956</v>
      </c>
    </row>
    <row r="77" spans="1:12">
      <c r="A77" s="27">
        <v>1007</v>
      </c>
      <c r="B77" s="27" t="s">
        <v>3909</v>
      </c>
      <c r="C77" s="27" t="s">
        <v>957</v>
      </c>
      <c r="E77" s="27">
        <v>1</v>
      </c>
      <c r="F77" s="27">
        <v>-1</v>
      </c>
      <c r="H77" s="27">
        <v>25</v>
      </c>
      <c r="I77" s="27" t="str">
        <f>IF(H77="","",VLOOKUP(H77,'#状态名词'!$A$2:$C$99,2))</f>
        <v>duochong</v>
      </c>
      <c r="J77" s="27" t="str">
        <f>IF(H77="","",VLOOKUP(H77,'#状态名词'!$A$2:$C$99,3))</f>
        <v>多重施法</v>
      </c>
      <c r="K77" s="26">
        <v>1000</v>
      </c>
    </row>
    <row r="78" spans="1:12">
      <c r="A78" s="27">
        <v>1101</v>
      </c>
      <c r="B78" s="27" t="s">
        <v>3911</v>
      </c>
      <c r="C78" s="27" t="s">
        <v>958</v>
      </c>
      <c r="E78" s="27">
        <v>-1</v>
      </c>
      <c r="F78" s="27">
        <v>0</v>
      </c>
      <c r="H78" s="27">
        <v>50</v>
      </c>
      <c r="I78" s="27" t="str">
        <f>IF(H78="","",VLOOKUP(H78,'#状态名词'!$A$2:$C$99,2))</f>
        <v>manataken</v>
      </c>
      <c r="J78" s="27" t="str">
        <f>IF(H78="","",VLOOKUP(H78,'#状态名词'!$A$2:$C$99,3))</f>
        <v>行动消耗对方法力</v>
      </c>
      <c r="K78" s="26">
        <v>3</v>
      </c>
    </row>
    <row r="79" spans="1:12">
      <c r="A79" s="27">
        <v>1102</v>
      </c>
      <c r="B79" s="27" t="s">
        <v>3913</v>
      </c>
      <c r="C79" s="27" t="s">
        <v>959</v>
      </c>
      <c r="E79" s="27">
        <v>-1</v>
      </c>
      <c r="F79" s="27">
        <v>0</v>
      </c>
      <c r="H79" s="27">
        <v>46</v>
      </c>
      <c r="I79" s="27" t="str">
        <f>IF(H79="","",VLOOKUP(H79,'#状态名词'!$A$2:$C$99,2))</f>
        <v>energyup</v>
      </c>
      <c r="J79" s="27" t="str">
        <f>IF(H79="","",VLOOKUP(H79,'#状态名词'!$A$2:$C$99,3))</f>
        <v>行动回能量</v>
      </c>
      <c r="K79" s="26">
        <v>3</v>
      </c>
      <c r="L79" s="27">
        <v>100</v>
      </c>
    </row>
    <row r="80" spans="1:12">
      <c r="A80" s="27">
        <v>1104</v>
      </c>
      <c r="B80" s="27" t="s">
        <v>3915</v>
      </c>
      <c r="E80" s="27">
        <v>1</v>
      </c>
      <c r="F80" s="27">
        <v>-1</v>
      </c>
      <c r="H80" s="27">
        <v>19</v>
      </c>
      <c r="I80" s="27" t="str">
        <f>IF(H80="","",VLOOKUP(H80,'#状态名词'!$A$2:$C$99,2))</f>
        <v>rating</v>
      </c>
      <c r="J80" s="27" t="str">
        <f>IF(H80="","",VLOOKUP(H80,'#状态名词'!$A$2:$C$99,3))</f>
        <v>暴击+</v>
      </c>
      <c r="K80" s="26">
        <v>10000</v>
      </c>
      <c r="L80" s="27">
        <v>1104</v>
      </c>
    </row>
    <row r="81" spans="1:12">
      <c r="A81" s="27">
        <v>1105</v>
      </c>
      <c r="B81" s="27" t="s">
        <v>3917</v>
      </c>
      <c r="E81" s="27">
        <v>1</v>
      </c>
      <c r="F81" s="27">
        <v>-1</v>
      </c>
      <c r="H81" s="27">
        <v>1</v>
      </c>
      <c r="I81" s="27" t="str">
        <f>IF(H81="","",VLOOKUP(H81,'#状态名词'!$A$2:$C$99,2))</f>
        <v>skilldama</v>
      </c>
      <c r="J81" s="27" t="str">
        <f>IF(H81="","",VLOOKUP(H81,'#状态名词'!$A$2:$C$99,3))</f>
        <v>技能伤害和治疗效果提升B类</v>
      </c>
      <c r="K81" s="26" t="s">
        <v>960</v>
      </c>
      <c r="L81" s="27">
        <v>1104</v>
      </c>
    </row>
    <row r="82" spans="1:12">
      <c r="A82" s="27">
        <v>1106</v>
      </c>
      <c r="B82" s="27" t="s">
        <v>3914</v>
      </c>
      <c r="C82" s="27" t="s">
        <v>961</v>
      </c>
      <c r="E82" s="27">
        <v>3</v>
      </c>
      <c r="F82" s="27">
        <v>-1</v>
      </c>
      <c r="H82" s="27">
        <v>61</v>
      </c>
      <c r="I82" s="27" t="str">
        <f>IF(H82="","",VLOOKUP(H82,'#状态名词'!$A$2:$C$99,2))</f>
        <v>team_ad</v>
      </c>
      <c r="J82" s="27" t="str">
        <f>IF(H82="","",VLOOKUP(H82,'#状态名词'!$A$2:$C$99,3))</f>
        <v>队伍AD</v>
      </c>
      <c r="K82" s="26" t="s">
        <v>840</v>
      </c>
    </row>
    <row r="83" spans="1:12">
      <c r="A83" s="27">
        <v>1107</v>
      </c>
      <c r="B83" s="27" t="s">
        <v>710</v>
      </c>
      <c r="C83" s="27" t="s">
        <v>788</v>
      </c>
      <c r="E83" s="27">
        <v>-1</v>
      </c>
      <c r="F83" s="27">
        <v>-1</v>
      </c>
      <c r="G83" s="27">
        <v>1107</v>
      </c>
      <c r="I83" s="27" t="str">
        <f>IF(H83="","",VLOOKUP(H83,'#状态名词'!$A$2:$C$99,2))</f>
        <v/>
      </c>
      <c r="J83" s="27" t="str">
        <f>IF(H83="","",VLOOKUP(H83,'#状态名词'!$A$2:$C$99,3))</f>
        <v/>
      </c>
    </row>
    <row r="84" spans="1:12">
      <c r="A84" s="27">
        <v>1201</v>
      </c>
      <c r="B84" s="27" t="s">
        <v>3918</v>
      </c>
      <c r="C84" s="27" t="s">
        <v>962</v>
      </c>
      <c r="E84" s="27">
        <v>-1</v>
      </c>
      <c r="F84" s="27">
        <v>-1</v>
      </c>
      <c r="H84" s="27">
        <v>18</v>
      </c>
      <c r="I84" s="27" t="str">
        <f>IF(H84="","",VLOOKUP(H84,'#状态名词'!$A$2:$C$99,2))</f>
        <v>api</v>
      </c>
      <c r="J84" s="27" t="str">
        <f>IF(H84="","",VLOOKUP(H84,'#状态名词'!$A$2:$C$99,3))</f>
        <v>法穿</v>
      </c>
      <c r="K84" s="26" t="s">
        <v>963</v>
      </c>
    </row>
    <row r="85" spans="1:12">
      <c r="A85" s="27">
        <v>1202</v>
      </c>
      <c r="B85" s="27" t="s">
        <v>3919</v>
      </c>
      <c r="C85" s="27" t="s">
        <v>758</v>
      </c>
      <c r="E85" s="27">
        <v>-1</v>
      </c>
      <c r="F85" s="27">
        <v>-1</v>
      </c>
      <c r="H85" s="27">
        <v>62</v>
      </c>
      <c r="I85" s="27" t="str">
        <f>IF(H85="","",VLOOKUP(H85,'#状态名词'!$A$2:$C$99,2))</f>
        <v>team_ap</v>
      </c>
      <c r="J85" s="27" t="str">
        <f>IF(H85="","",VLOOKUP(H85,'#状态名词'!$A$2:$C$99,3))</f>
        <v>队伍AP</v>
      </c>
      <c r="K85" s="26" t="s">
        <v>964</v>
      </c>
    </row>
    <row r="86" spans="1:12">
      <c r="B86" s="27" t="s">
        <v>84</v>
      </c>
      <c r="H86" s="27">
        <v>18</v>
      </c>
      <c r="I86" s="27" t="str">
        <f>IF(H86="","",VLOOKUP(H86,'#状态名词'!$A$2:$C$99,2))</f>
        <v>api</v>
      </c>
      <c r="J86" s="27" t="str">
        <f>IF(H86="","",VLOOKUP(H86,'#状态名词'!$A$2:$C$99,3))</f>
        <v>法穿</v>
      </c>
      <c r="K86" s="26" t="s">
        <v>964</v>
      </c>
    </row>
    <row r="87" spans="1:12">
      <c r="A87" s="27">
        <v>1203</v>
      </c>
      <c r="B87" s="27" t="s">
        <v>3920</v>
      </c>
      <c r="C87" s="27" t="s">
        <v>965</v>
      </c>
      <c r="E87" s="27">
        <v>-1</v>
      </c>
      <c r="F87" s="27">
        <v>-1</v>
      </c>
      <c r="H87" s="27">
        <v>27</v>
      </c>
      <c r="I87" s="27" t="str">
        <f>IF(H87="","",VLOOKUP(H87,'#状态名词'!$A$2:$C$99,2))</f>
        <v>iceup</v>
      </c>
      <c r="J87" s="27" t="str">
        <f>IF(H87="","",VLOOKUP(H87,'#状态名词'!$A$2:$C$99,3))</f>
        <v>冰属性强化</v>
      </c>
      <c r="K87" s="26" t="s">
        <v>647</v>
      </c>
    </row>
    <row r="88" spans="1:12">
      <c r="A88" s="27">
        <v>1205</v>
      </c>
      <c r="B88" s="27" t="s">
        <v>3923</v>
      </c>
      <c r="C88" s="27" t="s">
        <v>966</v>
      </c>
      <c r="E88" s="27">
        <v>-1</v>
      </c>
      <c r="F88" s="27">
        <v>-1</v>
      </c>
      <c r="H88" s="27">
        <v>1</v>
      </c>
      <c r="I88" s="27" t="str">
        <f>IF(H88="","",VLOOKUP(H88,'#状态名词'!$A$2:$C$99,2))</f>
        <v>skilldama</v>
      </c>
      <c r="J88" s="27" t="str">
        <f>IF(H88="","",VLOOKUP(H88,'#状态名词'!$A$2:$C$99,3))</f>
        <v>技能伤害和治疗效果提升B类</v>
      </c>
      <c r="K88" s="26" t="s">
        <v>967</v>
      </c>
      <c r="L88" s="27">
        <v>1204</v>
      </c>
    </row>
    <row r="89" spans="1:12">
      <c r="A89" s="27">
        <v>1302</v>
      </c>
      <c r="B89" s="27" t="s">
        <v>3927</v>
      </c>
      <c r="C89" s="27" t="s">
        <v>968</v>
      </c>
      <c r="E89" s="27">
        <v>-1</v>
      </c>
      <c r="F89" s="27">
        <v>3</v>
      </c>
      <c r="H89" s="27">
        <v>19</v>
      </c>
      <c r="I89" s="27" t="str">
        <f>IF(H89="","",VLOOKUP(H89,'#状态名词'!$A$2:$C$99,2))</f>
        <v>rating</v>
      </c>
      <c r="J89" s="27" t="str">
        <f>IF(H89="","",VLOOKUP(H89,'#状态名词'!$A$2:$C$99,3))</f>
        <v>暴击+</v>
      </c>
      <c r="K89" s="26" t="s">
        <v>969</v>
      </c>
    </row>
    <row r="90" spans="1:12">
      <c r="A90" s="27">
        <v>1304</v>
      </c>
      <c r="B90" s="27" t="s">
        <v>3931</v>
      </c>
      <c r="C90" s="27" t="s">
        <v>970</v>
      </c>
      <c r="E90" s="27">
        <v>-1</v>
      </c>
      <c r="F90" s="27">
        <v>-1</v>
      </c>
      <c r="H90" s="27">
        <v>19</v>
      </c>
      <c r="I90" s="27" t="str">
        <f>IF(H90="","",VLOOKUP(H90,'#状态名词'!$A$2:$C$99,2))</f>
        <v>rating</v>
      </c>
      <c r="J90" s="27" t="str">
        <f>IF(H90="","",VLOOKUP(H90,'#状态名词'!$A$2:$C$99,3))</f>
        <v>暴击+</v>
      </c>
      <c r="K90" s="26" t="s">
        <v>971</v>
      </c>
      <c r="L90" s="27">
        <v>1301</v>
      </c>
    </row>
    <row r="91" spans="1:12">
      <c r="B91" s="27" t="s">
        <v>84</v>
      </c>
      <c r="H91" s="27">
        <v>19</v>
      </c>
      <c r="I91" s="27" t="str">
        <f>IF(H91="","",VLOOKUP(H91,'#状态名词'!$A$2:$C$99,2))</f>
        <v>rating</v>
      </c>
      <c r="J91" s="27" t="str">
        <f>IF(H91="","",VLOOKUP(H91,'#状态名词'!$A$2:$C$99,3))</f>
        <v>暴击+</v>
      </c>
      <c r="K91" s="26" t="s">
        <v>971</v>
      </c>
      <c r="L91" s="27">
        <v>1303</v>
      </c>
    </row>
    <row r="92" spans="1:12">
      <c r="A92" s="27">
        <v>1305</v>
      </c>
      <c r="B92" s="27" t="s">
        <v>7471</v>
      </c>
      <c r="C92" s="27" t="s">
        <v>972</v>
      </c>
      <c r="E92" s="27">
        <v>-1</v>
      </c>
      <c r="F92" s="27">
        <v>-1</v>
      </c>
      <c r="H92" s="27">
        <v>26</v>
      </c>
      <c r="I92" s="27" t="str">
        <f>IF(H92="","",VLOOKUP(H92,'#状态名词'!$A$2:$C$99,2))</f>
        <v>fireup</v>
      </c>
      <c r="J92" s="27" t="str">
        <f>IF(H92="","",VLOOKUP(H92,'#状态名词'!$A$2:$C$99,3))</f>
        <v>火属性强化</v>
      </c>
      <c r="K92" s="26" t="s">
        <v>596</v>
      </c>
    </row>
    <row r="93" spans="1:12">
      <c r="A93" s="27">
        <v>1306</v>
      </c>
      <c r="B93" s="27" t="s">
        <v>3932</v>
      </c>
      <c r="C93" s="27" t="s">
        <v>759</v>
      </c>
      <c r="E93" s="27">
        <v>-1</v>
      </c>
      <c r="F93" s="27">
        <v>-1</v>
      </c>
      <c r="H93" s="27">
        <v>1</v>
      </c>
      <c r="I93" s="27" t="str">
        <f>IF(H93="","",VLOOKUP(H93,'#状态名词'!$A$2:$C$99,2))</f>
        <v>skilldama</v>
      </c>
      <c r="J93" s="27" t="str">
        <f>IF(H93="","",VLOOKUP(H93,'#状态名词'!$A$2:$C$99,3))</f>
        <v>技能伤害和治疗效果提升B类</v>
      </c>
      <c r="K93" s="26" t="s">
        <v>973</v>
      </c>
      <c r="L93" s="27">
        <v>1306</v>
      </c>
    </row>
    <row r="94" spans="1:12">
      <c r="A94" s="27">
        <v>1402</v>
      </c>
      <c r="B94" s="27" t="s">
        <v>3936</v>
      </c>
      <c r="C94" s="27" t="s">
        <v>974</v>
      </c>
      <c r="E94" s="27">
        <v>-1</v>
      </c>
      <c r="F94" s="27">
        <v>-1</v>
      </c>
      <c r="H94" s="27">
        <v>1</v>
      </c>
      <c r="I94" s="27" t="str">
        <f>IF(H94="","",VLOOKUP(H94,'#状态名词'!$A$2:$C$99,2))</f>
        <v>skilldama</v>
      </c>
      <c r="J94" s="27" t="str">
        <f>IF(H94="","",VLOOKUP(H94,'#状态名词'!$A$2:$C$99,3))</f>
        <v>技能伤害和治疗效果提升B类</v>
      </c>
      <c r="K94" s="26" t="s">
        <v>839</v>
      </c>
    </row>
    <row r="95" spans="1:12">
      <c r="A95" s="27">
        <v>1403</v>
      </c>
      <c r="B95" s="27" t="s">
        <v>3937</v>
      </c>
      <c r="C95" s="27" t="s">
        <v>760</v>
      </c>
      <c r="E95" s="27">
        <v>1</v>
      </c>
      <c r="F95" s="27">
        <v>-1</v>
      </c>
      <c r="H95" s="27">
        <v>39</v>
      </c>
      <c r="I95" s="27" t="str">
        <f>IF(H95="","",VLOOKUP(H95,'#状态名词'!$A$2:$C$99,2))</f>
        <v>action_heal</v>
      </c>
      <c r="J95" s="27" t="str">
        <f>IF(H95="","",VLOOKUP(H95,'#状态名词'!$A$2:$C$99,3))</f>
        <v>行动时治疗</v>
      </c>
      <c r="K95" s="26" t="s">
        <v>975</v>
      </c>
      <c r="L95" s="27">
        <v>1403</v>
      </c>
    </row>
    <row r="96" spans="1:12">
      <c r="A96" s="27">
        <v>1404</v>
      </c>
      <c r="B96" s="27" t="s">
        <v>3939</v>
      </c>
      <c r="C96" s="27" t="s">
        <v>976</v>
      </c>
      <c r="E96" s="27">
        <v>-1</v>
      </c>
      <c r="F96" s="27">
        <v>-1</v>
      </c>
      <c r="H96" s="27">
        <v>18</v>
      </c>
      <c r="I96" s="27" t="str">
        <f>IF(H96="","",VLOOKUP(H96,'#状态名词'!$A$2:$C$99,2))</f>
        <v>api</v>
      </c>
      <c r="J96" s="27" t="str">
        <f>IF(H96="","",VLOOKUP(H96,'#状态名词'!$A$2:$C$99,3))</f>
        <v>法穿</v>
      </c>
      <c r="K96" s="26" t="s">
        <v>977</v>
      </c>
    </row>
    <row r="97" spans="1:12">
      <c r="A97" s="27">
        <v>1405</v>
      </c>
      <c r="B97" s="27" t="s">
        <v>3940</v>
      </c>
      <c r="C97" s="27" t="s">
        <v>978</v>
      </c>
      <c r="E97" s="27">
        <v>-1</v>
      </c>
      <c r="F97" s="27">
        <v>-1</v>
      </c>
      <c r="H97" s="27">
        <v>21</v>
      </c>
      <c r="I97" s="27" t="str">
        <f>IF(H97="","",VLOOKUP(H97,'#状态名词'!$A$2:$C$99,2))</f>
        <v>speed</v>
      </c>
      <c r="J97" s="27" t="str">
        <f>IF(H97="","",VLOOKUP(H97,'#状态名词'!$A$2:$C$99,3))</f>
        <v>速度+</v>
      </c>
      <c r="K97" s="26" t="s">
        <v>979</v>
      </c>
    </row>
    <row r="98" spans="1:12">
      <c r="B98" s="27" t="s">
        <v>84</v>
      </c>
      <c r="H98" s="27">
        <v>24</v>
      </c>
      <c r="I98" s="27" t="str">
        <f>IF(H98="","",VLOOKUP(H98,'#状态名词'!$A$2:$C$99,2))</f>
        <v>heal</v>
      </c>
      <c r="J98" s="27" t="str">
        <f>IF(H98="","",VLOOKUP(H98,'#状态名词'!$A$2:$C$99,3))</f>
        <v>治疗效果+</v>
      </c>
      <c r="K98" s="26" t="s">
        <v>980</v>
      </c>
    </row>
    <row r="99" spans="1:12">
      <c r="A99" s="27">
        <v>1501</v>
      </c>
      <c r="B99" s="27" t="s">
        <v>3941</v>
      </c>
      <c r="C99" s="27" t="s">
        <v>981</v>
      </c>
      <c r="E99" s="27">
        <v>-1</v>
      </c>
      <c r="F99" s="27">
        <v>-1</v>
      </c>
      <c r="H99" s="27">
        <v>25</v>
      </c>
      <c r="I99" s="27" t="str">
        <f>IF(H99="","",VLOOKUP(H99,'#状态名词'!$A$2:$C$99,2))</f>
        <v>duochong</v>
      </c>
      <c r="J99" s="27" t="str">
        <f>IF(H99="","",VLOOKUP(H99,'#状态名词'!$A$2:$C$99,3))</f>
        <v>多重施法</v>
      </c>
      <c r="K99" s="26" t="s">
        <v>840</v>
      </c>
    </row>
    <row r="100" spans="1:12">
      <c r="A100" s="27">
        <v>1503</v>
      </c>
      <c r="B100" s="27" t="s">
        <v>3945</v>
      </c>
      <c r="C100" s="27" t="s">
        <v>761</v>
      </c>
      <c r="E100" s="27">
        <v>-1</v>
      </c>
      <c r="F100" s="27">
        <v>-1</v>
      </c>
      <c r="H100" s="27">
        <v>1</v>
      </c>
      <c r="I100" s="27" t="str">
        <f>IF(H100="","",VLOOKUP(H100,'#状态名词'!$A$2:$C$99,2))</f>
        <v>skilldama</v>
      </c>
      <c r="J100" s="27" t="str">
        <f>IF(H100="","",VLOOKUP(H100,'#状态名词'!$A$2:$C$99,3))</f>
        <v>技能伤害和治疗效果提升B类</v>
      </c>
      <c r="K100" s="26" t="s">
        <v>982</v>
      </c>
      <c r="L100" s="27">
        <v>1502</v>
      </c>
    </row>
    <row r="101" spans="1:12">
      <c r="B101" s="27" t="s">
        <v>84</v>
      </c>
      <c r="E101" s="27">
        <v>-1</v>
      </c>
      <c r="F101" s="27">
        <v>-1</v>
      </c>
      <c r="H101" s="27">
        <v>25</v>
      </c>
      <c r="I101" s="27" t="str">
        <f>IF(H101="","",VLOOKUP(H101,'#状态名词'!$A$2:$C$99,2))</f>
        <v>duochong</v>
      </c>
      <c r="J101" s="27" t="str">
        <f>IF(H101="","",VLOOKUP(H101,'#状态名词'!$A$2:$C$99,3))</f>
        <v>多重施法</v>
      </c>
      <c r="K101" s="26" t="s">
        <v>983</v>
      </c>
    </row>
    <row r="102" spans="1:12">
      <c r="A102" s="27">
        <v>1505</v>
      </c>
      <c r="B102" s="27" t="s">
        <v>7472</v>
      </c>
      <c r="C102" s="27" t="s">
        <v>984</v>
      </c>
      <c r="E102" s="27">
        <v>1</v>
      </c>
      <c r="F102" s="27">
        <v>3</v>
      </c>
      <c r="H102" s="27">
        <v>26</v>
      </c>
      <c r="I102" s="27" t="str">
        <f>IF(H102="","",VLOOKUP(H102,'#状态名词'!$A$2:$C$99,2))</f>
        <v>fireup</v>
      </c>
      <c r="J102" s="27" t="str">
        <f>IF(H102="","",VLOOKUP(H102,'#状态名词'!$A$2:$C$99,3))</f>
        <v>火属性强化</v>
      </c>
      <c r="K102" s="26" t="s">
        <v>985</v>
      </c>
    </row>
    <row r="103" spans="1:12">
      <c r="A103" s="27">
        <v>1601</v>
      </c>
      <c r="B103" s="27" t="s">
        <v>3951</v>
      </c>
      <c r="C103" s="27" t="s">
        <v>986</v>
      </c>
      <c r="E103" s="27">
        <v>-1</v>
      </c>
      <c r="F103" s="27">
        <v>-1</v>
      </c>
      <c r="H103" s="27">
        <v>13</v>
      </c>
      <c r="I103" s="27" t="str">
        <f>IF(H103="","",VLOOKUP(H103,'#状态名词'!$A$2:$C$99,2))</f>
        <v>arm</v>
      </c>
      <c r="J103" s="27" t="str">
        <f>IF(H103="","",VLOOKUP(H103,'#状态名词'!$A$2:$C$99,3))</f>
        <v>ARM+</v>
      </c>
      <c r="K103" s="26" t="s">
        <v>804</v>
      </c>
    </row>
    <row r="104" spans="1:12">
      <c r="A104" s="27">
        <v>1604</v>
      </c>
      <c r="B104" s="27" t="s">
        <v>3957</v>
      </c>
      <c r="C104" s="27" t="s">
        <v>987</v>
      </c>
      <c r="E104" s="27">
        <v>1</v>
      </c>
      <c r="F104" s="27">
        <v>-1</v>
      </c>
      <c r="H104" s="27">
        <v>1</v>
      </c>
      <c r="I104" s="27" t="str">
        <f>IF(H104="","",VLOOKUP(H104,'#状态名词'!$A$2:$C$99,2))</f>
        <v>skilldama</v>
      </c>
      <c r="J104" s="27" t="str">
        <f>IF(H104="","",VLOOKUP(H104,'#状态名词'!$A$2:$C$99,3))</f>
        <v>技能伤害和治疗效果提升B类</v>
      </c>
      <c r="K104" s="26" t="s">
        <v>9001</v>
      </c>
      <c r="L104" s="27">
        <v>1603</v>
      </c>
    </row>
    <row r="105" spans="1:12">
      <c r="A105" s="27">
        <v>1605</v>
      </c>
      <c r="B105" s="27" t="s">
        <v>3958</v>
      </c>
      <c r="C105" s="27" t="s">
        <v>762</v>
      </c>
      <c r="E105" s="27">
        <v>-1</v>
      </c>
      <c r="F105" s="27">
        <v>-1</v>
      </c>
      <c r="H105" s="27">
        <v>13</v>
      </c>
      <c r="I105" s="27" t="str">
        <f>IF(H105="","",VLOOKUP(H105,'#状态名词'!$A$2:$C$99,2))</f>
        <v>arm</v>
      </c>
      <c r="J105" s="27" t="str">
        <f>IF(H105="","",VLOOKUP(H105,'#状态名词'!$A$2:$C$99,3))</f>
        <v>ARM+</v>
      </c>
      <c r="K105" s="26" t="s">
        <v>988</v>
      </c>
    </row>
    <row r="106" spans="1:12">
      <c r="B106" s="27" t="s">
        <v>84</v>
      </c>
      <c r="H106" s="27">
        <v>15</v>
      </c>
      <c r="I106" s="27" t="str">
        <f>IF(H106="","",VLOOKUP(H106,'#状态名词'!$A$2:$C$99,2))</f>
        <v>mr</v>
      </c>
      <c r="J106" s="27" t="str">
        <f>IF(H106="","",VLOOKUP(H106,'#状态名词'!$A$2:$C$99,3))</f>
        <v>MR+</v>
      </c>
      <c r="K106" s="26" t="s">
        <v>989</v>
      </c>
    </row>
    <row r="107" spans="1:12">
      <c r="A107" s="27">
        <v>1702</v>
      </c>
      <c r="B107" s="27" t="s">
        <v>3962</v>
      </c>
      <c r="C107" s="27" t="s">
        <v>990</v>
      </c>
      <c r="E107" s="27">
        <v>-1</v>
      </c>
      <c r="F107" s="27">
        <v>0</v>
      </c>
      <c r="H107" s="27">
        <v>21</v>
      </c>
      <c r="I107" s="27" t="str">
        <f>IF(H107="","",VLOOKUP(H107,'#状态名词'!$A$2:$C$99,2))</f>
        <v>speed</v>
      </c>
      <c r="J107" s="27" t="str">
        <f>IF(H107="","",VLOOKUP(H107,'#状态名词'!$A$2:$C$99,3))</f>
        <v>速度+</v>
      </c>
      <c r="K107" s="26" t="s">
        <v>991</v>
      </c>
    </row>
    <row r="108" spans="1:12">
      <c r="A108" s="27">
        <v>1703</v>
      </c>
      <c r="B108" s="27" t="s">
        <v>3963</v>
      </c>
      <c r="C108" s="27" t="s">
        <v>992</v>
      </c>
      <c r="E108" s="27">
        <v>-1</v>
      </c>
      <c r="F108" s="27">
        <v>0</v>
      </c>
      <c r="H108" s="27">
        <v>17</v>
      </c>
      <c r="I108" s="27" t="str">
        <f>IF(H108="","",VLOOKUP(H108,'#状态名词'!$A$2:$C$99,2))</f>
        <v>adi</v>
      </c>
      <c r="J108" s="27" t="str">
        <f>IF(H108="","",VLOOKUP(H108,'#状态名词'!$A$2:$C$99,3))</f>
        <v>物穿</v>
      </c>
      <c r="K108" s="26" t="s">
        <v>991</v>
      </c>
    </row>
    <row r="109" spans="1:12">
      <c r="A109" s="27">
        <v>1704</v>
      </c>
      <c r="B109" s="27" t="s">
        <v>3964</v>
      </c>
      <c r="C109" s="27" t="s">
        <v>993</v>
      </c>
      <c r="E109" s="27">
        <v>1</v>
      </c>
      <c r="F109" s="27">
        <v>-1</v>
      </c>
      <c r="H109" s="27">
        <v>39</v>
      </c>
      <c r="I109" s="27" t="str">
        <f>IF(H109="","",VLOOKUP(H109,'#状态名词'!$A$2:$C$99,2))</f>
        <v>action_heal</v>
      </c>
      <c r="J109" s="27" t="str">
        <f>IF(H109="","",VLOOKUP(H109,'#状态名词'!$A$2:$C$99,3))</f>
        <v>行动时治疗</v>
      </c>
      <c r="K109" s="26" t="s">
        <v>994</v>
      </c>
      <c r="L109" s="27">
        <v>1701</v>
      </c>
    </row>
    <row r="110" spans="1:12">
      <c r="A110" s="27">
        <v>1705</v>
      </c>
      <c r="B110" s="27" t="s">
        <v>3966</v>
      </c>
      <c r="C110" s="27" t="s">
        <v>995</v>
      </c>
      <c r="E110" s="27">
        <v>-1</v>
      </c>
      <c r="F110" s="27">
        <v>0</v>
      </c>
      <c r="H110" s="27">
        <v>24</v>
      </c>
      <c r="I110" s="27" t="str">
        <f>IF(H110="","",VLOOKUP(H110,'#状态名词'!$A$2:$C$99,2))</f>
        <v>heal</v>
      </c>
      <c r="J110" s="27" t="str">
        <f>IF(H110="","",VLOOKUP(H110,'#状态名词'!$A$2:$C$99,3))</f>
        <v>治疗效果+</v>
      </c>
      <c r="K110" s="26" t="s">
        <v>996</v>
      </c>
    </row>
    <row r="111" spans="1:12">
      <c r="A111" s="27">
        <v>1802</v>
      </c>
      <c r="B111" s="27" t="s">
        <v>3970</v>
      </c>
      <c r="C111" s="27" t="s">
        <v>997</v>
      </c>
      <c r="E111" s="27">
        <v>-1</v>
      </c>
      <c r="F111" s="27">
        <v>-1</v>
      </c>
      <c r="H111" s="27">
        <v>36</v>
      </c>
      <c r="I111" s="27" t="str">
        <f>IF(H111="","",VLOOKUP(H111,'#状态名词'!$A$2:$C$99,2))</f>
        <v>atk_damage</v>
      </c>
      <c r="J111" s="27" t="str">
        <f>IF(H111="","",VLOOKUP(H111,'#状态名词'!$A$2:$C$99,3))</f>
        <v>攻击附加伤害</v>
      </c>
      <c r="K111" s="26" t="s">
        <v>998</v>
      </c>
      <c r="L111" s="27">
        <v>1</v>
      </c>
    </row>
    <row r="112" spans="1:12">
      <c r="A112" s="27">
        <v>1803</v>
      </c>
      <c r="B112" s="27" t="s">
        <v>3971</v>
      </c>
      <c r="C112" s="27" t="s">
        <v>999</v>
      </c>
      <c r="E112" s="27">
        <v>-1</v>
      </c>
      <c r="F112" s="27">
        <v>-1</v>
      </c>
      <c r="H112" s="27">
        <v>13</v>
      </c>
      <c r="I112" s="27" t="str">
        <f>IF(H112="","",VLOOKUP(H112,'#状态名词'!$A$2:$C$99,2))</f>
        <v>arm</v>
      </c>
      <c r="J112" s="27" t="str">
        <f>IF(H112="","",VLOOKUP(H112,'#状态名词'!$A$2:$C$99,3))</f>
        <v>ARM+</v>
      </c>
      <c r="K112" s="26" t="s">
        <v>1000</v>
      </c>
    </row>
    <row r="113" spans="1:12">
      <c r="A113" s="27">
        <v>1804</v>
      </c>
      <c r="B113" s="27" t="s">
        <v>3972</v>
      </c>
      <c r="C113" s="27" t="s">
        <v>1001</v>
      </c>
      <c r="E113" s="27">
        <v>-1</v>
      </c>
      <c r="F113" s="27">
        <v>-1</v>
      </c>
      <c r="H113" s="27">
        <v>13</v>
      </c>
      <c r="I113" s="27" t="str">
        <f>IF(H113="","",VLOOKUP(H113,'#状态名词'!$A$2:$C$99,2))</f>
        <v>arm</v>
      </c>
      <c r="J113" s="27" t="str">
        <f>IF(H113="","",VLOOKUP(H113,'#状态名词'!$A$2:$C$99,3))</f>
        <v>ARM+</v>
      </c>
      <c r="K113" s="26" t="s">
        <v>1002</v>
      </c>
    </row>
    <row r="114" spans="1:12">
      <c r="B114" s="27" t="s">
        <v>84</v>
      </c>
      <c r="H114" s="27">
        <v>15</v>
      </c>
      <c r="I114" s="27" t="str">
        <f>IF(H114="","",VLOOKUP(H114,'#状态名词'!$A$2:$C$99,2))</f>
        <v>mr</v>
      </c>
      <c r="J114" s="27" t="str">
        <f>IF(H114="","",VLOOKUP(H114,'#状态名词'!$A$2:$C$99,3))</f>
        <v>MR+</v>
      </c>
      <c r="K114" s="26" t="s">
        <v>1003</v>
      </c>
    </row>
    <row r="115" spans="1:12">
      <c r="B115" s="27" t="s">
        <v>84</v>
      </c>
      <c r="H115" s="27">
        <v>9</v>
      </c>
      <c r="I115" s="27" t="str">
        <f>IF(H115="","",VLOOKUP(H115,'#状态名词'!$A$2:$C$99,2))</f>
        <v>ad</v>
      </c>
      <c r="J115" s="27" t="str">
        <f>IF(H115="","",VLOOKUP(H115,'#状态名词'!$A$2:$C$99,3))</f>
        <v>AD+</v>
      </c>
      <c r="K115" s="26" t="s">
        <v>1004</v>
      </c>
    </row>
    <row r="116" spans="1:12">
      <c r="B116" s="27" t="s">
        <v>84</v>
      </c>
      <c r="H116" s="27">
        <v>11</v>
      </c>
      <c r="I116" s="27" t="str">
        <f>IF(H116="","",VLOOKUP(H116,'#状态名词'!$A$2:$C$99,2))</f>
        <v>ap</v>
      </c>
      <c r="J116" s="27" t="str">
        <f>IF(H116="","",VLOOKUP(H116,'#状态名词'!$A$2:$C$99,3))</f>
        <v>AP+</v>
      </c>
      <c r="K116" s="26" t="s">
        <v>1005</v>
      </c>
    </row>
    <row r="117" spans="1:12">
      <c r="A117" s="27">
        <v>1807</v>
      </c>
      <c r="B117" s="27" t="s">
        <v>7467</v>
      </c>
      <c r="C117" s="27" t="s">
        <v>1006</v>
      </c>
      <c r="E117" s="27">
        <v>-1</v>
      </c>
      <c r="F117" s="27">
        <v>-1</v>
      </c>
      <c r="H117" s="27">
        <v>38</v>
      </c>
      <c r="I117" s="27" t="str">
        <f>IF(H117="","",VLOOKUP(H117,'#状态名词'!$A$2:$C$99,2))</f>
        <v>hurt_damage</v>
      </c>
      <c r="J117" s="27" t="str">
        <f>IF(H117="","",VLOOKUP(H117,'#状态名词'!$A$2:$C$99,3))</f>
        <v>被攻击造成伤害</v>
      </c>
      <c r="K117" s="26" t="s">
        <v>1007</v>
      </c>
    </row>
    <row r="118" spans="1:12">
      <c r="A118" s="27">
        <v>1902</v>
      </c>
      <c r="B118" s="27" t="s">
        <v>3975</v>
      </c>
      <c r="C118" s="27" t="s">
        <v>1008</v>
      </c>
      <c r="E118" s="27">
        <v>-1</v>
      </c>
      <c r="F118" s="27">
        <v>1</v>
      </c>
      <c r="H118" s="27">
        <v>54</v>
      </c>
      <c r="I118" s="27" t="str">
        <f>IF(H118="","",VLOOKUP(H118,'#状态名词'!$A$2:$C$99,2))</f>
        <v>spi</v>
      </c>
      <c r="J118" s="27" t="str">
        <f>IF(H118="","",VLOOKUP(H118,'#状态名词'!$A$2:$C$99,3))</f>
        <v>精神</v>
      </c>
      <c r="K118" s="26" t="s">
        <v>1009</v>
      </c>
    </row>
    <row r="119" spans="1:12">
      <c r="A119" s="27">
        <v>1903</v>
      </c>
      <c r="B119" s="27" t="s">
        <v>3977</v>
      </c>
      <c r="C119" s="27" t="s">
        <v>1010</v>
      </c>
      <c r="E119" s="27">
        <v>1</v>
      </c>
      <c r="F119" s="27">
        <v>-1</v>
      </c>
      <c r="H119" s="27">
        <v>1</v>
      </c>
      <c r="I119" s="27" t="str">
        <f>IF(H119="","",VLOOKUP(H119,'#状态名词'!$A$2:$C$99,2))</f>
        <v>skilldama</v>
      </c>
      <c r="J119" s="27" t="str">
        <f>IF(H119="","",VLOOKUP(H119,'#状态名词'!$A$2:$C$99,3))</f>
        <v>技能伤害和治疗效果提升B类</v>
      </c>
      <c r="K119" s="26" t="s">
        <v>1011</v>
      </c>
      <c r="L119" s="27">
        <v>1902</v>
      </c>
    </row>
    <row r="120" spans="1:12">
      <c r="A120" s="27">
        <v>1904</v>
      </c>
      <c r="B120" s="27" t="s">
        <v>3978</v>
      </c>
      <c r="C120" s="27" t="s">
        <v>1012</v>
      </c>
      <c r="E120" s="27">
        <v>1</v>
      </c>
      <c r="F120" s="27">
        <v>-1</v>
      </c>
      <c r="H120" s="27">
        <v>1</v>
      </c>
      <c r="I120" s="27" t="str">
        <f>IF(H120="","",VLOOKUP(H120,'#状态名词'!$A$2:$C$99,2))</f>
        <v>skilldama</v>
      </c>
      <c r="J120" s="27" t="str">
        <f>IF(H120="","",VLOOKUP(H120,'#状态名词'!$A$2:$C$99,3))</f>
        <v>技能伤害和治疗效果提升B类</v>
      </c>
      <c r="K120" s="26" t="s">
        <v>8996</v>
      </c>
      <c r="L120" s="27">
        <v>1901</v>
      </c>
    </row>
    <row r="121" spans="1:12">
      <c r="A121" s="27">
        <v>1905</v>
      </c>
      <c r="B121" s="27" t="s">
        <v>3979</v>
      </c>
      <c r="C121" s="27" t="s">
        <v>1013</v>
      </c>
      <c r="E121" s="27">
        <v>1</v>
      </c>
      <c r="F121" s="27">
        <v>-1</v>
      </c>
      <c r="H121" s="27">
        <v>25</v>
      </c>
      <c r="I121" s="27" t="str">
        <f>IF(H121="","",VLOOKUP(H121,'#状态名词'!$A$2:$C$99,2))</f>
        <v>duochong</v>
      </c>
      <c r="J121" s="27" t="str">
        <f>IF(H121="","",VLOOKUP(H121,'#状态名词'!$A$2:$C$99,3))</f>
        <v>多重施法</v>
      </c>
      <c r="K121" s="26" t="s">
        <v>1014</v>
      </c>
      <c r="L121" s="27">
        <v>1901</v>
      </c>
    </row>
    <row r="122" spans="1:12">
      <c r="B122" s="27" t="s">
        <v>84</v>
      </c>
      <c r="E122" s="27">
        <v>1</v>
      </c>
      <c r="F122" s="27">
        <v>-1</v>
      </c>
      <c r="H122" s="27">
        <v>23</v>
      </c>
      <c r="I122" s="27" t="str">
        <f>IF(H122="","",VLOOKUP(H122,'#状态名词'!$A$2:$C$99,2))</f>
        <v>steal</v>
      </c>
      <c r="J122" s="27" t="str">
        <f>IF(H122="","",VLOOKUP(H122,'#状态名词'!$A$2:$C$99,3))</f>
        <v>生命偷取</v>
      </c>
      <c r="K122" s="26" t="s">
        <v>1015</v>
      </c>
      <c r="L122" s="27">
        <v>1902</v>
      </c>
    </row>
    <row r="123" spans="1:12">
      <c r="A123" s="27">
        <v>1910</v>
      </c>
      <c r="B123" s="27" t="s">
        <v>7459</v>
      </c>
      <c r="E123" s="27">
        <v>-1</v>
      </c>
      <c r="F123" s="27">
        <v>1</v>
      </c>
      <c r="H123" s="27">
        <v>26</v>
      </c>
      <c r="I123" s="27" t="str">
        <f>IF(H123="","",VLOOKUP(H123,'#状态名词'!$A$2:$C$99,2))</f>
        <v>fireup</v>
      </c>
      <c r="J123" s="27" t="str">
        <f>IF(H123="","",VLOOKUP(H123,'#状态名词'!$A$2:$C$99,3))</f>
        <v>火属性强化</v>
      </c>
      <c r="K123" s="26" t="s">
        <v>7144</v>
      </c>
    </row>
    <row r="124" spans="1:12">
      <c r="A124" s="27">
        <v>1911</v>
      </c>
      <c r="B124" s="27" t="s">
        <v>7460</v>
      </c>
      <c r="E124" s="27">
        <v>-1</v>
      </c>
      <c r="F124" s="27">
        <v>1</v>
      </c>
      <c r="H124" s="27">
        <v>27</v>
      </c>
      <c r="I124" s="27" t="str">
        <f>IF(H124="","",VLOOKUP(H124,'#状态名词'!$A$2:$C$99,2))</f>
        <v>iceup</v>
      </c>
      <c r="J124" s="27" t="str">
        <f>IF(H124="","",VLOOKUP(H124,'#状态名词'!$A$2:$C$99,3))</f>
        <v>冰属性强化</v>
      </c>
      <c r="K124" s="26" t="s">
        <v>7144</v>
      </c>
    </row>
    <row r="125" spans="1:12">
      <c r="A125" s="27">
        <v>1912</v>
      </c>
      <c r="B125" s="27" t="s">
        <v>7461</v>
      </c>
      <c r="E125" s="27">
        <v>-1</v>
      </c>
      <c r="F125" s="27">
        <v>1</v>
      </c>
      <c r="H125" s="27">
        <v>28</v>
      </c>
      <c r="I125" s="27" t="str">
        <f>IF(H125="","",VLOOKUP(H125,'#状态名词'!$A$2:$C$99,2))</f>
        <v>lightup</v>
      </c>
      <c r="J125" s="27" t="str">
        <f>IF(H125="","",VLOOKUP(H125,'#状态名词'!$A$2:$C$99,3))</f>
        <v>光属性强化</v>
      </c>
      <c r="K125" s="26" t="s">
        <v>7144</v>
      </c>
    </row>
    <row r="126" spans="1:12">
      <c r="A126" s="27">
        <v>1913</v>
      </c>
      <c r="B126" s="27" t="s">
        <v>7462</v>
      </c>
      <c r="E126" s="27">
        <v>-1</v>
      </c>
      <c r="F126" s="27">
        <v>1</v>
      </c>
      <c r="H126" s="27">
        <v>29</v>
      </c>
      <c r="I126" s="27" t="str">
        <f>IF(H126="","",VLOOKUP(H126,'#状态名词'!$A$2:$C$99,2))</f>
        <v>darkup</v>
      </c>
      <c r="J126" s="27" t="str">
        <f>IF(H126="","",VLOOKUP(H126,'#状态名词'!$A$2:$C$99,3))</f>
        <v>暗属性强化</v>
      </c>
      <c r="K126" s="26" t="s">
        <v>7144</v>
      </c>
    </row>
    <row r="127" spans="1:12">
      <c r="A127" s="27">
        <v>2001</v>
      </c>
      <c r="B127" s="27" t="s">
        <v>3983</v>
      </c>
      <c r="C127" s="27" t="s">
        <v>713</v>
      </c>
      <c r="E127" s="27">
        <v>-1</v>
      </c>
      <c r="F127" s="27">
        <v>0</v>
      </c>
      <c r="H127" s="27">
        <v>19</v>
      </c>
      <c r="I127" s="27" t="str">
        <f>IF(H127="","",VLOOKUP(H127,'#状态名词'!$A$2:$C$99,2))</f>
        <v>rating</v>
      </c>
      <c r="J127" s="27" t="str">
        <f>IF(H127="","",VLOOKUP(H127,'#状态名词'!$A$2:$C$99,3))</f>
        <v>暴击+</v>
      </c>
      <c r="K127" s="26" t="s">
        <v>714</v>
      </c>
    </row>
    <row r="128" spans="1:12">
      <c r="A128" s="27">
        <v>2002</v>
      </c>
      <c r="B128" s="27" t="s">
        <v>3986</v>
      </c>
      <c r="C128" s="27" t="s">
        <v>1016</v>
      </c>
      <c r="E128" s="27">
        <v>-1</v>
      </c>
      <c r="F128" s="27">
        <v>-1</v>
      </c>
      <c r="H128" s="27">
        <v>13</v>
      </c>
      <c r="I128" s="27" t="str">
        <f>IF(H128="","",VLOOKUP(H128,'#状态名词'!$A$2:$C$99,2))</f>
        <v>arm</v>
      </c>
      <c r="J128" s="27" t="str">
        <f>IF(H128="","",VLOOKUP(H128,'#状态名词'!$A$2:$C$99,3))</f>
        <v>ARM+</v>
      </c>
      <c r="K128" s="26" t="s">
        <v>1017</v>
      </c>
    </row>
    <row r="129" spans="1:12">
      <c r="B129" s="27" t="s">
        <v>84</v>
      </c>
      <c r="H129" s="27">
        <v>24</v>
      </c>
      <c r="I129" s="27" t="str">
        <f>IF(H129="","",VLOOKUP(H129,'#状态名词'!$A$2:$C$99,2))</f>
        <v>heal</v>
      </c>
      <c r="J129" s="27" t="str">
        <f>IF(H129="","",VLOOKUP(H129,'#状态名词'!$A$2:$C$99,3))</f>
        <v>治疗效果+</v>
      </c>
      <c r="K129" s="26" t="s">
        <v>1018</v>
      </c>
    </row>
    <row r="130" spans="1:12">
      <c r="A130" s="27">
        <v>2003</v>
      </c>
      <c r="B130" s="27" t="s">
        <v>3987</v>
      </c>
      <c r="C130" s="27" t="s">
        <v>1019</v>
      </c>
      <c r="E130" s="27">
        <v>-1</v>
      </c>
      <c r="F130" s="27">
        <v>-1</v>
      </c>
      <c r="H130" s="27">
        <v>24</v>
      </c>
      <c r="I130" s="27" t="str">
        <f>IF(H130="","",VLOOKUP(H130,'#状态名词'!$A$2:$C$99,2))</f>
        <v>heal</v>
      </c>
      <c r="J130" s="27" t="str">
        <f>IF(H130="","",VLOOKUP(H130,'#状态名词'!$A$2:$C$99,3))</f>
        <v>治疗效果+</v>
      </c>
      <c r="K130" s="26" t="s">
        <v>1020</v>
      </c>
    </row>
    <row r="131" spans="1:12">
      <c r="B131" s="27" t="s">
        <v>84</v>
      </c>
      <c r="H131" s="27">
        <v>5</v>
      </c>
      <c r="I131" s="27" t="str">
        <f>IF(H131="","",VLOOKUP(H131,'#状态名词'!$A$2:$C$99,2))</f>
        <v>maxhp</v>
      </c>
      <c r="J131" s="27" t="str">
        <f>IF(H131="","",VLOOKUP(H131,'#状态名词'!$A$2:$C$99,3))</f>
        <v>百分比血量</v>
      </c>
      <c r="K131" s="26" t="s">
        <v>1021</v>
      </c>
    </row>
    <row r="132" spans="1:12">
      <c r="A132" s="27">
        <v>2004</v>
      </c>
      <c r="B132" s="27" t="s">
        <v>3988</v>
      </c>
      <c r="C132" s="27" t="s">
        <v>763</v>
      </c>
      <c r="E132" s="27">
        <v>-1</v>
      </c>
      <c r="F132" s="27">
        <v>-1</v>
      </c>
      <c r="H132" s="27">
        <v>15</v>
      </c>
      <c r="I132" s="27" t="str">
        <f>IF(H132="","",VLOOKUP(H132,'#状态名词'!$A$2:$C$99,2))</f>
        <v>mr</v>
      </c>
      <c r="J132" s="27" t="str">
        <f>IF(H132="","",VLOOKUP(H132,'#状态名词'!$A$2:$C$99,3))</f>
        <v>MR+</v>
      </c>
      <c r="K132" s="26" t="s">
        <v>1022</v>
      </c>
    </row>
    <row r="133" spans="1:12">
      <c r="B133" s="27" t="s">
        <v>84</v>
      </c>
      <c r="H133" s="27">
        <v>18</v>
      </c>
      <c r="I133" s="27" t="str">
        <f>IF(H133="","",VLOOKUP(H133,'#状态名词'!$A$2:$C$99,2))</f>
        <v>api</v>
      </c>
      <c r="J133" s="27" t="str">
        <f>IF(H133="","",VLOOKUP(H133,'#状态名词'!$A$2:$C$99,3))</f>
        <v>法穿</v>
      </c>
      <c r="K133" s="26" t="s">
        <v>1003</v>
      </c>
    </row>
    <row r="134" spans="1:12">
      <c r="A134" s="27">
        <v>2005</v>
      </c>
      <c r="B134" s="27" t="s">
        <v>3989</v>
      </c>
      <c r="C134" s="27" t="s">
        <v>1023</v>
      </c>
      <c r="E134" s="27">
        <v>1</v>
      </c>
      <c r="F134" s="27">
        <v>-1</v>
      </c>
      <c r="H134" s="27">
        <v>1</v>
      </c>
      <c r="I134" s="27" t="str">
        <f>IF(H134="","",VLOOKUP(H134,'#状态名词'!$A$2:$C$99,2))</f>
        <v>skilldama</v>
      </c>
      <c r="J134" s="27" t="str">
        <f>IF(H134="","",VLOOKUP(H134,'#状态名词'!$A$2:$C$99,3))</f>
        <v>技能伤害和治疗效果提升B类</v>
      </c>
      <c r="K134" s="26" t="s">
        <v>1024</v>
      </c>
      <c r="L134" s="27">
        <v>2001</v>
      </c>
    </row>
    <row r="135" spans="1:12">
      <c r="A135" s="27">
        <v>2101</v>
      </c>
      <c r="B135" s="27" t="s">
        <v>3990</v>
      </c>
      <c r="C135" s="27" t="s">
        <v>764</v>
      </c>
      <c r="E135" s="27">
        <v>-1</v>
      </c>
      <c r="F135" s="27">
        <v>-1</v>
      </c>
      <c r="H135" s="27">
        <v>13</v>
      </c>
      <c r="I135" s="27" t="str">
        <f>IF(H135="","",VLOOKUP(H135,'#状态名词'!$A$2:$C$99,2))</f>
        <v>arm</v>
      </c>
      <c r="J135" s="27" t="str">
        <f>IF(H135="","",VLOOKUP(H135,'#状态名词'!$A$2:$C$99,3))</f>
        <v>ARM+</v>
      </c>
      <c r="K135" s="26" t="s">
        <v>1025</v>
      </c>
    </row>
    <row r="136" spans="1:12">
      <c r="B136" s="27" t="s">
        <v>84</v>
      </c>
      <c r="H136" s="27">
        <v>61</v>
      </c>
      <c r="I136" s="27" t="str">
        <f>IF(H136="","",VLOOKUP(H136,'#状态名词'!$A$2:$C$99,2))</f>
        <v>team_ad</v>
      </c>
      <c r="J136" s="27" t="str">
        <f>IF(H136="","",VLOOKUP(H136,'#状态名词'!$A$2:$C$99,3))</f>
        <v>队伍AD</v>
      </c>
      <c r="K136" s="26" t="s">
        <v>1026</v>
      </c>
    </row>
    <row r="137" spans="1:12">
      <c r="B137" s="27" t="s">
        <v>84</v>
      </c>
      <c r="H137" s="27">
        <v>62</v>
      </c>
      <c r="I137" s="27" t="str">
        <f>IF(H137="","",VLOOKUP(H137,'#状态名词'!$A$2:$C$99,2))</f>
        <v>team_ap</v>
      </c>
      <c r="J137" s="27" t="str">
        <f>IF(H137="","",VLOOKUP(H137,'#状态名词'!$A$2:$C$99,3))</f>
        <v>队伍AP</v>
      </c>
      <c r="K137" s="26" t="s">
        <v>1026</v>
      </c>
    </row>
    <row r="138" spans="1:12">
      <c r="A138" s="27">
        <v>2102</v>
      </c>
      <c r="B138" s="27" t="s">
        <v>3991</v>
      </c>
      <c r="C138" s="27" t="s">
        <v>1027</v>
      </c>
      <c r="E138" s="27">
        <v>-1</v>
      </c>
      <c r="F138" s="27">
        <v>-1</v>
      </c>
      <c r="H138" s="27">
        <v>21</v>
      </c>
      <c r="I138" s="27" t="str">
        <f>IF(H138="","",VLOOKUP(H138,'#状态名词'!$A$2:$C$99,2))</f>
        <v>speed</v>
      </c>
      <c r="J138" s="27" t="str">
        <f>IF(H138="","",VLOOKUP(H138,'#状态名词'!$A$2:$C$99,3))</f>
        <v>速度+</v>
      </c>
      <c r="K138" s="26" t="s">
        <v>1028</v>
      </c>
    </row>
    <row r="139" spans="1:12">
      <c r="A139" s="27">
        <v>2103</v>
      </c>
      <c r="B139" s="27" t="s">
        <v>3992</v>
      </c>
      <c r="C139" s="27" t="s">
        <v>1029</v>
      </c>
      <c r="E139" s="27">
        <v>-1</v>
      </c>
      <c r="F139" s="27">
        <v>-1</v>
      </c>
      <c r="H139" s="27">
        <v>17</v>
      </c>
      <c r="I139" s="27" t="str">
        <f>IF(H139="","",VLOOKUP(H139,'#状态名词'!$A$2:$C$99,2))</f>
        <v>adi</v>
      </c>
      <c r="J139" s="27" t="str">
        <f>IF(H139="","",VLOOKUP(H139,'#状态名词'!$A$2:$C$99,3))</f>
        <v>物穿</v>
      </c>
      <c r="K139" s="26" t="s">
        <v>1030</v>
      </c>
    </row>
    <row r="140" spans="1:12">
      <c r="B140" s="27" t="s">
        <v>84</v>
      </c>
      <c r="H140" s="27">
        <v>18</v>
      </c>
      <c r="I140" s="27" t="str">
        <f>IF(H140="","",VLOOKUP(H140,'#状态名词'!$A$2:$C$99,2))</f>
        <v>api</v>
      </c>
      <c r="J140" s="27" t="str">
        <f>IF(H140="","",VLOOKUP(H140,'#状态名词'!$A$2:$C$99,3))</f>
        <v>法穿</v>
      </c>
      <c r="K140" s="26" t="s">
        <v>1031</v>
      </c>
    </row>
    <row r="141" spans="1:12">
      <c r="A141" s="27">
        <v>2105</v>
      </c>
      <c r="B141" s="27" t="s">
        <v>3995</v>
      </c>
      <c r="C141" s="27" t="s">
        <v>1032</v>
      </c>
      <c r="E141" s="27">
        <v>-1</v>
      </c>
      <c r="F141" s="27">
        <v>-1</v>
      </c>
      <c r="H141" s="27">
        <v>63</v>
      </c>
      <c r="I141" s="27" t="str">
        <f>IF(H141="","",VLOOKUP(H141,'#状态名词'!$A$2:$C$99,2))</f>
        <v>comboup</v>
      </c>
      <c r="J141" s="27" t="str">
        <f>IF(H141="","",VLOOKUP(H141,'#状态名词'!$A$2:$C$99,3))</f>
        <v>连锁技能强化</v>
      </c>
      <c r="K141" s="26" t="s">
        <v>1033</v>
      </c>
    </row>
    <row r="142" spans="1:12">
      <c r="A142" s="27">
        <v>2202</v>
      </c>
      <c r="B142" s="27" t="s">
        <v>7358</v>
      </c>
      <c r="C142" s="27" t="s">
        <v>1034</v>
      </c>
      <c r="E142" s="27">
        <v>1</v>
      </c>
      <c r="F142" s="27">
        <v>-1</v>
      </c>
      <c r="H142" s="27">
        <v>1</v>
      </c>
      <c r="I142" s="27" t="str">
        <f>IF(H142="","",VLOOKUP(H142,'#状态名词'!$A$2:$C$99,2))</f>
        <v>skilldama</v>
      </c>
      <c r="J142" s="27" t="str">
        <f>IF(H142="","",VLOOKUP(H142,'#状态名词'!$A$2:$C$99,3))</f>
        <v>技能伤害和治疗效果提升B类</v>
      </c>
      <c r="K142" s="26" t="s">
        <v>8989</v>
      </c>
      <c r="L142" s="27">
        <v>2201</v>
      </c>
    </row>
    <row r="143" spans="1:12">
      <c r="A143" s="27">
        <v>2204</v>
      </c>
      <c r="B143" s="27" t="s">
        <v>7359</v>
      </c>
      <c r="C143" s="27" t="s">
        <v>1035</v>
      </c>
      <c r="E143" s="27">
        <v>1</v>
      </c>
      <c r="F143" s="27">
        <v>-1</v>
      </c>
      <c r="H143" s="27">
        <v>25</v>
      </c>
      <c r="I143" s="27" t="str">
        <f>IF(H143="","",VLOOKUP(H143,'#状态名词'!$A$2:$C$99,2))</f>
        <v>duochong</v>
      </c>
      <c r="J143" s="27" t="str">
        <f>IF(H143="","",VLOOKUP(H143,'#状态名词'!$A$2:$C$99,3))</f>
        <v>多重施法</v>
      </c>
      <c r="K143" s="26" t="s">
        <v>1036</v>
      </c>
      <c r="L143" s="27">
        <v>2201</v>
      </c>
    </row>
    <row r="144" spans="1:12">
      <c r="B144" s="27" t="s">
        <v>84</v>
      </c>
      <c r="H144" s="27">
        <v>25</v>
      </c>
      <c r="I144" s="27" t="str">
        <f>IF(H144="","",VLOOKUP(H144,'#状态名词'!$A$2:$C$99,2))</f>
        <v>duochong</v>
      </c>
      <c r="J144" s="27" t="str">
        <f>IF(H144="","",VLOOKUP(H144,'#状态名词'!$A$2:$C$99,3))</f>
        <v>多重施法</v>
      </c>
      <c r="K144" s="26" t="s">
        <v>1037</v>
      </c>
      <c r="L144" s="27">
        <v>2203</v>
      </c>
    </row>
    <row r="145" spans="1:12">
      <c r="B145" s="27" t="s">
        <v>84</v>
      </c>
      <c r="H145" s="27">
        <v>28</v>
      </c>
      <c r="I145" s="27" t="str">
        <f>IF(H145="","",VLOOKUP(H145,'#状态名词'!$A$2:$C$99,2))</f>
        <v>lightup</v>
      </c>
      <c r="J145" s="27" t="str">
        <f>IF(H145="","",VLOOKUP(H145,'#状态名词'!$A$2:$C$99,3))</f>
        <v>光属性强化</v>
      </c>
      <c r="K145" s="26">
        <v>5</v>
      </c>
    </row>
    <row r="146" spans="1:12">
      <c r="A146" s="27">
        <v>2205</v>
      </c>
      <c r="B146" s="27" t="s">
        <v>7360</v>
      </c>
      <c r="C146" s="27" t="s">
        <v>1038</v>
      </c>
      <c r="E146" s="27">
        <v>-1</v>
      </c>
      <c r="F146" s="27">
        <v>-1</v>
      </c>
      <c r="H146" s="27">
        <v>1</v>
      </c>
      <c r="I146" s="27" t="str">
        <f>IF(H146="","",VLOOKUP(H146,'#状态名词'!$A$2:$C$99,2))</f>
        <v>skilldama</v>
      </c>
      <c r="J146" s="27" t="str">
        <f>IF(H146="","",VLOOKUP(H146,'#状态名词'!$A$2:$C$99,3))</f>
        <v>技能伤害和治疗效果提升B类</v>
      </c>
      <c r="K146" s="26" t="s">
        <v>8991</v>
      </c>
      <c r="L146" s="27">
        <v>2203</v>
      </c>
    </row>
    <row r="147" spans="1:12">
      <c r="A147" s="27">
        <v>2301</v>
      </c>
      <c r="B147" s="27" t="s">
        <v>4002</v>
      </c>
      <c r="C147" s="27" t="s">
        <v>9002</v>
      </c>
      <c r="E147" s="27">
        <v>5</v>
      </c>
      <c r="F147" s="27">
        <v>0</v>
      </c>
      <c r="H147" s="27">
        <v>39</v>
      </c>
      <c r="I147" s="27" t="str">
        <f>IF(H147="","",VLOOKUP(H147,'#状态名词'!$A$2:$C$99,2))</f>
        <v>action_heal</v>
      </c>
      <c r="J147" s="27" t="str">
        <f>IF(H147="","",VLOOKUP(H147,'#状态名词'!$A$2:$C$99,3))</f>
        <v>行动时治疗</v>
      </c>
      <c r="K147" s="26" t="s">
        <v>7871</v>
      </c>
    </row>
    <row r="148" spans="1:12">
      <c r="A148" s="27">
        <v>2302</v>
      </c>
      <c r="B148" s="27" t="s">
        <v>4003</v>
      </c>
      <c r="C148" s="27" t="s">
        <v>1041</v>
      </c>
      <c r="E148" s="27">
        <v>-1</v>
      </c>
      <c r="F148" s="27">
        <v>-1</v>
      </c>
      <c r="G148" s="27">
        <v>2302</v>
      </c>
      <c r="I148" s="27" t="str">
        <f>IF(H148="","",VLOOKUP(H148,'#状态名词'!$A$2:$C$99,2))</f>
        <v/>
      </c>
      <c r="J148" s="27" t="str">
        <f>IF(H148="","",VLOOKUP(H148,'#状态名词'!$A$2:$C$99,3))</f>
        <v/>
      </c>
    </row>
    <row r="149" spans="1:12">
      <c r="A149" s="27">
        <v>2303</v>
      </c>
      <c r="B149" s="27" t="s">
        <v>7361</v>
      </c>
      <c r="C149" s="27" t="s">
        <v>1042</v>
      </c>
      <c r="E149" s="27">
        <v>-1</v>
      </c>
      <c r="F149" s="27">
        <v>-1</v>
      </c>
      <c r="H149" s="27">
        <v>19</v>
      </c>
      <c r="I149" s="27" t="str">
        <f>IF(H149="","",VLOOKUP(H149,'#状态名词'!$A$2:$C$99,2))</f>
        <v>rating</v>
      </c>
      <c r="J149" s="27" t="str">
        <f>IF(H149="","",VLOOKUP(H149,'#状态名词'!$A$2:$C$99,3))</f>
        <v>暴击+</v>
      </c>
      <c r="K149" s="26" t="s">
        <v>1030</v>
      </c>
    </row>
    <row r="150" spans="1:12">
      <c r="A150" s="27">
        <v>2304</v>
      </c>
      <c r="B150" s="27" t="s">
        <v>7362</v>
      </c>
      <c r="C150" s="27" t="s">
        <v>765</v>
      </c>
      <c r="E150" s="27">
        <v>5</v>
      </c>
      <c r="F150" s="27">
        <v>0</v>
      </c>
      <c r="H150" s="27">
        <v>41</v>
      </c>
      <c r="I150" s="27" t="str">
        <f>IF(H150="","",VLOOKUP(H150,'#状态名词'!$A$2:$C$99,2))</f>
        <v>rating_damage</v>
      </c>
      <c r="J150" s="27" t="str">
        <f>IF(H150="","",VLOOKUP(H150,'#状态名词'!$A$2:$C$99,3))</f>
        <v>暴击附加伤害</v>
      </c>
      <c r="K150" s="26" t="s">
        <v>1043</v>
      </c>
    </row>
    <row r="151" spans="1:12">
      <c r="A151" s="27">
        <v>2305</v>
      </c>
      <c r="B151" s="27" t="s">
        <v>7363</v>
      </c>
      <c r="C151" s="27" t="s">
        <v>1044</v>
      </c>
      <c r="E151" s="27">
        <v>-1</v>
      </c>
      <c r="F151" s="27">
        <v>-1</v>
      </c>
      <c r="H151" s="27">
        <v>13</v>
      </c>
      <c r="I151" s="27" t="str">
        <f>IF(H151="","",VLOOKUP(H151,'#状态名词'!$A$2:$C$99,2))</f>
        <v>arm</v>
      </c>
      <c r="J151" s="27" t="str">
        <f>IF(H151="","",VLOOKUP(H151,'#状态名词'!$A$2:$C$99,3))</f>
        <v>ARM+</v>
      </c>
      <c r="K151" s="26" t="s">
        <v>1045</v>
      </c>
    </row>
    <row r="152" spans="1:12">
      <c r="B152" s="27" t="s">
        <v>84</v>
      </c>
      <c r="H152" s="27">
        <v>15</v>
      </c>
      <c r="I152" s="27" t="str">
        <f>IF(H152="","",VLOOKUP(H152,'#状态名词'!$A$2:$C$99,2))</f>
        <v>mr</v>
      </c>
      <c r="J152" s="27" t="str">
        <f>IF(H152="","",VLOOKUP(H152,'#状态名词'!$A$2:$C$99,3))</f>
        <v>MR+</v>
      </c>
      <c r="K152" s="26" t="s">
        <v>1045</v>
      </c>
    </row>
    <row r="153" spans="1:12">
      <c r="A153" s="27">
        <v>2306</v>
      </c>
      <c r="B153" s="27" t="s">
        <v>7463</v>
      </c>
      <c r="C153" s="27" t="s">
        <v>1040</v>
      </c>
      <c r="E153" s="27">
        <v>1</v>
      </c>
      <c r="F153" s="27">
        <v>0</v>
      </c>
      <c r="H153" s="27">
        <v>39</v>
      </c>
      <c r="I153" s="27" t="str">
        <f>IF(H153="","",VLOOKUP(H153,'#状态名词'!$A$2:$C$99,2))</f>
        <v>action_heal</v>
      </c>
      <c r="J153" s="27" t="str">
        <f>IF(H153="","",VLOOKUP(H153,'#状态名词'!$A$2:$C$99,3))</f>
        <v>行动时治疗</v>
      </c>
      <c r="K153" s="26" t="s">
        <v>7872</v>
      </c>
    </row>
    <row r="154" spans="1:12">
      <c r="A154" s="27">
        <v>2402</v>
      </c>
      <c r="B154" s="27" t="s">
        <v>4009</v>
      </c>
      <c r="C154" s="27" t="s">
        <v>1046</v>
      </c>
      <c r="E154" s="27">
        <v>-1</v>
      </c>
      <c r="F154" s="27">
        <v>-1</v>
      </c>
      <c r="H154" s="27">
        <v>1</v>
      </c>
      <c r="I154" s="27" t="str">
        <f>IF(H154="","",VLOOKUP(H154,'#状态名词'!$A$2:$C$99,2))</f>
        <v>skilldama</v>
      </c>
      <c r="J154" s="27" t="str">
        <f>IF(H154="","",VLOOKUP(H154,'#状态名词'!$A$2:$C$99,3))</f>
        <v>技能伤害和治疗效果提升B类</v>
      </c>
      <c r="K154" s="26" t="s">
        <v>1047</v>
      </c>
      <c r="L154" s="27">
        <v>2401</v>
      </c>
    </row>
    <row r="155" spans="1:12">
      <c r="B155" s="27" t="s">
        <v>84</v>
      </c>
      <c r="H155" s="27">
        <v>19</v>
      </c>
      <c r="I155" s="27" t="str">
        <f>IF(H155="","",VLOOKUP(H155,'#状态名词'!$A$2:$C$99,2))</f>
        <v>rating</v>
      </c>
      <c r="J155" s="27" t="str">
        <f>IF(H155="","",VLOOKUP(H155,'#状态名词'!$A$2:$C$99,3))</f>
        <v>暴击+</v>
      </c>
      <c r="K155" s="26" t="s">
        <v>1048</v>
      </c>
      <c r="L155" s="27">
        <v>2401</v>
      </c>
    </row>
    <row r="156" spans="1:12">
      <c r="A156" s="27">
        <v>2403</v>
      </c>
      <c r="B156" s="27" t="s">
        <v>4010</v>
      </c>
      <c r="C156" s="27" t="s">
        <v>1049</v>
      </c>
      <c r="E156" s="27">
        <v>-1</v>
      </c>
      <c r="F156" s="27">
        <v>-1</v>
      </c>
      <c r="H156" s="27">
        <v>21</v>
      </c>
      <c r="I156" s="27" t="str">
        <f>IF(H156="","",VLOOKUP(H156,'#状态名词'!$A$2:$C$99,2))</f>
        <v>speed</v>
      </c>
      <c r="J156" s="27" t="str">
        <f>IF(H156="","",VLOOKUP(H156,'#状态名词'!$A$2:$C$99,3))</f>
        <v>速度+</v>
      </c>
      <c r="K156" s="26" t="s">
        <v>1050</v>
      </c>
    </row>
    <row r="157" spans="1:12">
      <c r="B157" s="27" t="s">
        <v>84</v>
      </c>
      <c r="H157" s="27">
        <v>17</v>
      </c>
      <c r="I157" s="27" t="str">
        <f>IF(H157="","",VLOOKUP(H157,'#状态名词'!$A$2:$C$99,2))</f>
        <v>adi</v>
      </c>
      <c r="J157" s="27" t="str">
        <f>IF(H157="","",VLOOKUP(H157,'#状态名词'!$A$2:$C$99,3))</f>
        <v>物穿</v>
      </c>
      <c r="K157" s="26" t="s">
        <v>1050</v>
      </c>
    </row>
    <row r="158" spans="1:12">
      <c r="A158" s="27">
        <v>2405</v>
      </c>
      <c r="B158" s="27" t="s">
        <v>4014</v>
      </c>
      <c r="C158" s="27" t="s">
        <v>1051</v>
      </c>
      <c r="E158" s="27">
        <v>-1</v>
      </c>
      <c r="F158" s="27">
        <v>-1</v>
      </c>
      <c r="H158" s="27">
        <v>19</v>
      </c>
      <c r="I158" s="27" t="str">
        <f>IF(H158="","",VLOOKUP(H158,'#状态名词'!$A$2:$C$99,2))</f>
        <v>rating</v>
      </c>
      <c r="J158" s="27" t="str">
        <f>IF(H158="","",VLOOKUP(H158,'#状态名词'!$A$2:$C$99,3))</f>
        <v>暴击+</v>
      </c>
      <c r="K158" s="26">
        <v>10000</v>
      </c>
    </row>
    <row r="159" spans="1:12">
      <c r="B159" s="27" t="s">
        <v>84</v>
      </c>
      <c r="H159" s="27">
        <v>1</v>
      </c>
      <c r="I159" s="27" t="str">
        <f>IF(H159="","",VLOOKUP(H159,'#状态名词'!$A$2:$C$99,2))</f>
        <v>skilldama</v>
      </c>
      <c r="J159" s="27" t="str">
        <f>IF(H159="","",VLOOKUP(H159,'#状态名词'!$A$2:$C$99,3))</f>
        <v>技能伤害和治疗效果提升B类</v>
      </c>
      <c r="K159" s="26" t="s">
        <v>1052</v>
      </c>
    </row>
    <row r="160" spans="1:12">
      <c r="A160" s="27">
        <v>2502</v>
      </c>
      <c r="B160" s="27" t="s">
        <v>4018</v>
      </c>
      <c r="C160" s="27" t="s">
        <v>1053</v>
      </c>
      <c r="E160" s="27">
        <v>-1</v>
      </c>
      <c r="F160" s="27">
        <v>-1</v>
      </c>
      <c r="H160" s="27">
        <v>1</v>
      </c>
      <c r="I160" s="27" t="str">
        <f>IF(H160="","",VLOOKUP(H160,'#状态名词'!$A$2:$C$99,2))</f>
        <v>skilldama</v>
      </c>
      <c r="J160" s="27" t="str">
        <f>IF(H160="","",VLOOKUP(H160,'#状态名词'!$A$2:$C$99,3))</f>
        <v>技能伤害和治疗效果提升B类</v>
      </c>
      <c r="K160" s="26" t="s">
        <v>1054</v>
      </c>
      <c r="L160" s="27">
        <v>2501</v>
      </c>
    </row>
    <row r="161" spans="1:12">
      <c r="B161" s="27" t="s">
        <v>84</v>
      </c>
      <c r="H161" s="27">
        <v>21</v>
      </c>
      <c r="I161" s="27" t="str">
        <f>IF(H161="","",VLOOKUP(H161,'#状态名词'!$A$2:$C$99,2))</f>
        <v>speed</v>
      </c>
      <c r="J161" s="27" t="str">
        <f>IF(H161="","",VLOOKUP(H161,'#状态名词'!$A$2:$C$99,3))</f>
        <v>速度+</v>
      </c>
      <c r="K161" s="26" t="s">
        <v>1045</v>
      </c>
      <c r="L161" s="27">
        <v>2501</v>
      </c>
    </row>
    <row r="162" spans="1:12">
      <c r="A162" s="27">
        <v>2503</v>
      </c>
      <c r="B162" s="27" t="s">
        <v>4019</v>
      </c>
      <c r="C162" s="27" t="s">
        <v>1055</v>
      </c>
      <c r="E162" s="27">
        <v>-1</v>
      </c>
      <c r="F162" s="27">
        <v>-1</v>
      </c>
      <c r="H162" s="27">
        <v>20</v>
      </c>
      <c r="I162" s="27" t="str">
        <f>IF(H162="","",VLOOKUP(H162,'#状态名词'!$A$2:$C$99,2))</f>
        <v>ratingdamage</v>
      </c>
      <c r="J162" s="27" t="str">
        <f>IF(H162="","",VLOOKUP(H162,'#状态名词'!$A$2:$C$99,3))</f>
        <v>暴伤+</v>
      </c>
      <c r="K162" s="26" t="s">
        <v>914</v>
      </c>
    </row>
    <row r="163" spans="1:12">
      <c r="A163" s="27">
        <v>2504</v>
      </c>
      <c r="B163" s="27" t="s">
        <v>4020</v>
      </c>
      <c r="C163" s="27" t="s">
        <v>1056</v>
      </c>
      <c r="E163" s="27">
        <v>-1</v>
      </c>
      <c r="F163" s="27">
        <v>-1</v>
      </c>
      <c r="H163" s="27">
        <v>26</v>
      </c>
      <c r="I163" s="27" t="str">
        <f>IF(H163="","",VLOOKUP(H163,'#状态名词'!$A$2:$C$99,2))</f>
        <v>fireup</v>
      </c>
      <c r="J163" s="27" t="str">
        <f>IF(H163="","",VLOOKUP(H163,'#状态名词'!$A$2:$C$99,3))</f>
        <v>火属性强化</v>
      </c>
      <c r="K163" s="26" t="s">
        <v>1057</v>
      </c>
    </row>
    <row r="164" spans="1:12">
      <c r="A164" s="27">
        <v>2505</v>
      </c>
      <c r="B164" s="27" t="s">
        <v>4021</v>
      </c>
      <c r="C164" s="27" t="s">
        <v>1058</v>
      </c>
      <c r="E164" s="27">
        <v>-1</v>
      </c>
      <c r="F164" s="27">
        <v>-1</v>
      </c>
      <c r="H164" s="27">
        <v>17</v>
      </c>
      <c r="I164" s="27" t="str">
        <f>IF(H164="","",VLOOKUP(H164,'#状态名词'!$A$2:$C$99,2))</f>
        <v>adi</v>
      </c>
      <c r="J164" s="27" t="str">
        <f>IF(H164="","",VLOOKUP(H164,'#状态名词'!$A$2:$C$99,3))</f>
        <v>物穿</v>
      </c>
      <c r="K164" s="26" t="s">
        <v>1059</v>
      </c>
    </row>
    <row r="165" spans="1:12">
      <c r="B165" s="27" t="s">
        <v>84</v>
      </c>
      <c r="H165" s="27">
        <v>15</v>
      </c>
      <c r="I165" s="27" t="str">
        <f>IF(H165="","",VLOOKUP(H165,'#状态名词'!$A$2:$C$99,2))</f>
        <v>mr</v>
      </c>
      <c r="J165" s="27" t="str">
        <f>IF(H165="","",VLOOKUP(H165,'#状态名词'!$A$2:$C$99,3))</f>
        <v>MR+</v>
      </c>
      <c r="K165" s="26" t="s">
        <v>1060</v>
      </c>
    </row>
    <row r="166" spans="1:12">
      <c r="A166" s="27">
        <v>2601</v>
      </c>
      <c r="B166" s="27" t="s">
        <v>4022</v>
      </c>
      <c r="C166" s="27" t="s">
        <v>1061</v>
      </c>
      <c r="E166" s="27">
        <v>-1</v>
      </c>
      <c r="F166" s="27">
        <v>-1</v>
      </c>
      <c r="I166" s="27" t="str">
        <f>IF(H166="","",VLOOKUP(H166,'#状态名词'!$A$2:$C$99,2))</f>
        <v/>
      </c>
      <c r="J166" s="27" t="str">
        <f>IF(H166="","",VLOOKUP(H166,'#状态名词'!$A$2:$C$99,3))</f>
        <v/>
      </c>
    </row>
    <row r="167" spans="1:12">
      <c r="A167" s="27">
        <v>2602</v>
      </c>
      <c r="B167" s="27" t="s">
        <v>4024</v>
      </c>
      <c r="C167" s="27" t="s">
        <v>604</v>
      </c>
      <c r="E167" s="27">
        <v>-1</v>
      </c>
      <c r="F167" s="27">
        <v>-1</v>
      </c>
      <c r="H167" s="27">
        <v>25</v>
      </c>
      <c r="I167" s="27" t="str">
        <f>IF(H167="","",VLOOKUP(H167,'#状态名词'!$A$2:$C$99,2))</f>
        <v>duochong</v>
      </c>
      <c r="J167" s="27" t="str">
        <f>IF(H167="","",VLOOKUP(H167,'#状态名词'!$A$2:$C$99,3))</f>
        <v>多重施法</v>
      </c>
      <c r="K167" s="26" t="s">
        <v>1062</v>
      </c>
    </row>
    <row r="168" spans="1:12">
      <c r="B168" s="27" t="s">
        <v>84</v>
      </c>
      <c r="H168" s="27">
        <v>23</v>
      </c>
      <c r="I168" s="27" t="str">
        <f>IF(H168="","",VLOOKUP(H168,'#状态名词'!$A$2:$C$99,2))</f>
        <v>steal</v>
      </c>
      <c r="J168" s="27" t="str">
        <f>IF(H168="","",VLOOKUP(H168,'#状态名词'!$A$2:$C$99,3))</f>
        <v>生命偷取</v>
      </c>
      <c r="K168" s="26" t="s">
        <v>1063</v>
      </c>
    </row>
    <row r="169" spans="1:12">
      <c r="A169" s="27">
        <v>2603</v>
      </c>
      <c r="B169" s="27" t="s">
        <v>4025</v>
      </c>
      <c r="C169" s="27" t="s">
        <v>1064</v>
      </c>
      <c r="E169" s="27">
        <v>-1</v>
      </c>
      <c r="F169" s="27">
        <v>-1</v>
      </c>
      <c r="I169" s="27" t="str">
        <f>IF(H169="","",VLOOKUP(H169,'#状态名词'!$A$2:$C$99,2))</f>
        <v/>
      </c>
      <c r="J169" s="27" t="str">
        <f>IF(H169="","",VLOOKUP(H169,'#状态名词'!$A$2:$C$99,3))</f>
        <v/>
      </c>
    </row>
    <row r="170" spans="1:12">
      <c r="A170" s="27">
        <v>2605</v>
      </c>
      <c r="B170" s="27" t="s">
        <v>4030</v>
      </c>
      <c r="C170" s="27" t="s">
        <v>1065</v>
      </c>
      <c r="E170" s="27">
        <v>-1</v>
      </c>
      <c r="F170" s="27">
        <v>-1</v>
      </c>
      <c r="H170" s="27">
        <v>1</v>
      </c>
      <c r="I170" s="27" t="str">
        <f>IF(H170="","",VLOOKUP(H170,'#状态名词'!$A$2:$C$99,2))</f>
        <v>skilldama</v>
      </c>
      <c r="J170" s="27" t="str">
        <f>IF(H170="","",VLOOKUP(H170,'#状态名词'!$A$2:$C$99,3))</f>
        <v>技能伤害和治疗效果提升B类</v>
      </c>
      <c r="K170" s="26" t="s">
        <v>1066</v>
      </c>
      <c r="L170" s="27">
        <v>2604</v>
      </c>
    </row>
    <row r="171" spans="1:12">
      <c r="A171" s="27">
        <v>2701</v>
      </c>
      <c r="B171" s="27" t="s">
        <v>4031</v>
      </c>
      <c r="C171" s="27" t="s">
        <v>1067</v>
      </c>
      <c r="E171" s="27">
        <v>-1</v>
      </c>
      <c r="F171" s="27">
        <v>-1</v>
      </c>
      <c r="H171" s="27">
        <v>61</v>
      </c>
      <c r="I171" s="27" t="str">
        <f>IF(H171="","",VLOOKUP(H171,'#状态名词'!$A$2:$C$99,2))</f>
        <v>team_ad</v>
      </c>
      <c r="J171" s="27" t="str">
        <f>IF(H171="","",VLOOKUP(H171,'#状态名词'!$A$2:$C$99,3))</f>
        <v>队伍AD</v>
      </c>
      <c r="K171" s="26" t="s">
        <v>750</v>
      </c>
    </row>
    <row r="172" spans="1:12">
      <c r="A172" s="27">
        <v>2703</v>
      </c>
      <c r="B172" s="27" t="s">
        <v>4035</v>
      </c>
      <c r="C172" s="27" t="s">
        <v>1068</v>
      </c>
      <c r="E172" s="27">
        <v>-1</v>
      </c>
      <c r="F172" s="27">
        <v>-1</v>
      </c>
      <c r="H172" s="27">
        <v>1</v>
      </c>
      <c r="I172" s="27" t="str">
        <f>IF(H172="","",VLOOKUP(H172,'#状态名词'!$A$2:$C$99,2))</f>
        <v>skilldama</v>
      </c>
      <c r="J172" s="27" t="str">
        <f>IF(H172="","",VLOOKUP(H172,'#状态名词'!$A$2:$C$99,3))</f>
        <v>技能伤害和治疗效果提升B类</v>
      </c>
      <c r="K172" s="26" t="s">
        <v>1069</v>
      </c>
      <c r="L172" s="27">
        <v>1</v>
      </c>
    </row>
    <row r="173" spans="1:12">
      <c r="A173" s="27">
        <v>2705</v>
      </c>
      <c r="B173" s="27" t="s">
        <v>4038</v>
      </c>
      <c r="C173" s="27" t="s">
        <v>7066</v>
      </c>
      <c r="E173" s="27">
        <v>-1</v>
      </c>
      <c r="F173" s="27">
        <v>-1</v>
      </c>
      <c r="H173" s="27">
        <v>26</v>
      </c>
      <c r="I173" s="27" t="str">
        <f>IF(H173="","",VLOOKUP(H173,'#状态名词'!$A$2:$C$99,2))</f>
        <v>fireup</v>
      </c>
      <c r="J173" s="27" t="str">
        <f>IF(H173="","",VLOOKUP(H173,'#状态名词'!$A$2:$C$99,3))</f>
        <v>火属性强化</v>
      </c>
      <c r="K173" s="26" t="s">
        <v>7067</v>
      </c>
    </row>
    <row r="174" spans="1:12">
      <c r="A174" s="27">
        <v>2801</v>
      </c>
      <c r="B174" s="27" t="s">
        <v>4039</v>
      </c>
      <c r="C174" s="27" t="s">
        <v>1070</v>
      </c>
      <c r="E174" s="27">
        <v>-1</v>
      </c>
      <c r="F174" s="27">
        <v>-1</v>
      </c>
      <c r="H174" s="27">
        <v>1</v>
      </c>
      <c r="I174" s="27" t="str">
        <f>IF(H174="","",VLOOKUP(H174,'#状态名词'!$A$2:$C$99,2))</f>
        <v>skilldama</v>
      </c>
      <c r="J174" s="27" t="str">
        <f>IF(H174="","",VLOOKUP(H174,'#状态名词'!$A$2:$C$99,3))</f>
        <v>技能伤害和治疗效果提升B类</v>
      </c>
      <c r="K174" s="26" t="s">
        <v>1071</v>
      </c>
    </row>
    <row r="175" spans="1:12">
      <c r="A175" s="27">
        <v>2802</v>
      </c>
      <c r="B175" s="27" t="s">
        <v>3839</v>
      </c>
      <c r="C175" s="27" t="s">
        <v>1072</v>
      </c>
      <c r="E175" s="27">
        <v>-1</v>
      </c>
      <c r="F175" s="27">
        <v>-1</v>
      </c>
      <c r="H175" s="27">
        <v>23</v>
      </c>
      <c r="I175" s="27" t="str">
        <f>IF(H175="","",VLOOKUP(H175,'#状态名词'!$A$2:$C$99,2))</f>
        <v>steal</v>
      </c>
      <c r="J175" s="27" t="str">
        <f>IF(H175="","",VLOOKUP(H175,'#状态名词'!$A$2:$C$99,3))</f>
        <v>生命偷取</v>
      </c>
      <c r="K175" s="26" t="s">
        <v>1073</v>
      </c>
    </row>
    <row r="176" spans="1:12">
      <c r="A176" s="27">
        <v>2805</v>
      </c>
      <c r="B176" s="27" t="s">
        <v>4045</v>
      </c>
      <c r="C176" s="27" t="s">
        <v>1074</v>
      </c>
      <c r="E176" s="27">
        <v>-1</v>
      </c>
      <c r="F176" s="27">
        <v>-1</v>
      </c>
      <c r="H176" s="27">
        <v>13</v>
      </c>
      <c r="I176" s="27" t="str">
        <f>IF(H176="","",VLOOKUP(H176,'#状态名词'!$A$2:$C$99,2))</f>
        <v>arm</v>
      </c>
      <c r="J176" s="27" t="str">
        <f>IF(H176="","",VLOOKUP(H176,'#状态名词'!$A$2:$C$99,3))</f>
        <v>ARM+</v>
      </c>
      <c r="K176" s="26" t="s">
        <v>1075</v>
      </c>
    </row>
    <row r="177" spans="1:12">
      <c r="B177" s="27" t="s">
        <v>84</v>
      </c>
      <c r="H177" s="27">
        <v>15</v>
      </c>
      <c r="I177" s="27" t="str">
        <f>IF(H177="","",VLOOKUP(H177,'#状态名词'!$A$2:$C$99,2))</f>
        <v>mr</v>
      </c>
      <c r="J177" s="27" t="str">
        <f>IF(H177="","",VLOOKUP(H177,'#状态名词'!$A$2:$C$99,3))</f>
        <v>MR+</v>
      </c>
      <c r="K177" s="26" t="s">
        <v>1075</v>
      </c>
    </row>
    <row r="178" spans="1:12">
      <c r="B178" s="27" t="s">
        <v>84</v>
      </c>
      <c r="H178" s="27">
        <v>21</v>
      </c>
      <c r="I178" s="27" t="str">
        <f>IF(H178="","",VLOOKUP(H178,'#状态名词'!$A$2:$C$99,2))</f>
        <v>speed</v>
      </c>
      <c r="J178" s="27" t="str">
        <f>IF(H178="","",VLOOKUP(H178,'#状态名词'!$A$2:$C$99,3))</f>
        <v>速度+</v>
      </c>
      <c r="K178" s="26" t="s">
        <v>651</v>
      </c>
    </row>
    <row r="179" spans="1:12">
      <c r="A179" s="27">
        <v>2903</v>
      </c>
      <c r="B179" s="27" t="s">
        <v>4051</v>
      </c>
      <c r="C179" s="27" t="s">
        <v>1042</v>
      </c>
      <c r="E179" s="27">
        <v>-1</v>
      </c>
      <c r="F179" s="27">
        <v>-1</v>
      </c>
      <c r="H179" s="27">
        <v>19</v>
      </c>
      <c r="I179" s="27" t="str">
        <f>IF(H179="","",VLOOKUP(H179,'#状态名词'!$A$2:$C$99,2))</f>
        <v>rating</v>
      </c>
      <c r="J179" s="27" t="str">
        <f>IF(H179="","",VLOOKUP(H179,'#状态名词'!$A$2:$C$99,3))</f>
        <v>暴击+</v>
      </c>
      <c r="K179" s="26" t="s">
        <v>1030</v>
      </c>
    </row>
    <row r="180" spans="1:12">
      <c r="A180" s="27">
        <v>2904</v>
      </c>
      <c r="B180" s="27" t="s">
        <v>4052</v>
      </c>
      <c r="C180" s="27" t="s">
        <v>1076</v>
      </c>
      <c r="E180" s="27">
        <v>-1</v>
      </c>
      <c r="F180" s="27">
        <v>-1</v>
      </c>
      <c r="H180" s="27">
        <v>62</v>
      </c>
      <c r="I180" s="27" t="str">
        <f>IF(H180="","",VLOOKUP(H180,'#状态名词'!$A$2:$C$99,2))</f>
        <v>team_ap</v>
      </c>
      <c r="J180" s="27" t="str">
        <f>IF(H180="","",VLOOKUP(H180,'#状态名词'!$A$2:$C$99,3))</f>
        <v>队伍AP</v>
      </c>
      <c r="K180" s="26" t="s">
        <v>7227</v>
      </c>
    </row>
    <row r="181" spans="1:12">
      <c r="A181" s="27">
        <v>2905</v>
      </c>
      <c r="B181" s="27" t="s">
        <v>4053</v>
      </c>
      <c r="C181" s="27" t="s">
        <v>1077</v>
      </c>
      <c r="E181" s="27">
        <v>-1</v>
      </c>
      <c r="F181" s="27">
        <v>-1</v>
      </c>
      <c r="H181" s="27">
        <v>18</v>
      </c>
      <c r="I181" s="27" t="str">
        <f>IF(H181="","",VLOOKUP(H181,'#状态名词'!$A$2:$C$99,2))</f>
        <v>api</v>
      </c>
      <c r="J181" s="27" t="str">
        <f>IF(H181="","",VLOOKUP(H181,'#状态名词'!$A$2:$C$99,3))</f>
        <v>法穿</v>
      </c>
      <c r="K181" s="26" t="s">
        <v>1078</v>
      </c>
      <c r="L181" s="27">
        <v>2901</v>
      </c>
    </row>
    <row r="182" spans="1:12">
      <c r="B182" s="27" t="s">
        <v>84</v>
      </c>
      <c r="H182" s="27">
        <v>20</v>
      </c>
      <c r="I182" s="27" t="str">
        <f>IF(H182="","",VLOOKUP(H182,'#状态名词'!$A$2:$C$99,2))</f>
        <v>ratingdamage</v>
      </c>
      <c r="J182" s="27" t="str">
        <f>IF(H182="","",VLOOKUP(H182,'#状态名词'!$A$2:$C$99,3))</f>
        <v>暴伤+</v>
      </c>
      <c r="K182" s="26" t="s">
        <v>1079</v>
      </c>
      <c r="L182" s="27">
        <v>2902</v>
      </c>
    </row>
    <row r="183" spans="1:12">
      <c r="A183" s="27">
        <v>3002</v>
      </c>
      <c r="B183" s="27" t="s">
        <v>4057</v>
      </c>
      <c r="C183" s="27" t="s">
        <v>790</v>
      </c>
      <c r="E183" s="27">
        <v>-1</v>
      </c>
      <c r="F183" s="27">
        <v>-1</v>
      </c>
      <c r="H183" s="27">
        <v>28</v>
      </c>
      <c r="I183" s="27" t="str">
        <f>IF(H183="","",VLOOKUP(H183,'#状态名词'!$A$2:$C$99,2))</f>
        <v>lightup</v>
      </c>
      <c r="J183" s="27" t="str">
        <f>IF(H183="","",VLOOKUP(H183,'#状态名词'!$A$2:$C$99,3))</f>
        <v>光属性强化</v>
      </c>
      <c r="K183" s="26" t="s">
        <v>1080</v>
      </c>
    </row>
    <row r="184" spans="1:12">
      <c r="A184" s="27">
        <v>3003</v>
      </c>
      <c r="B184" s="27" t="s">
        <v>4058</v>
      </c>
      <c r="C184" s="27" t="s">
        <v>789</v>
      </c>
      <c r="E184" s="27">
        <v>-1</v>
      </c>
      <c r="F184" s="27">
        <v>-1</v>
      </c>
      <c r="H184" s="27">
        <v>20</v>
      </c>
      <c r="I184" s="27" t="str">
        <f>IF(H184="","",VLOOKUP(H184,'#状态名词'!$A$2:$C$99,2))</f>
        <v>ratingdamage</v>
      </c>
      <c r="J184" s="27" t="str">
        <f>IF(H184="","",VLOOKUP(H184,'#状态名词'!$A$2:$C$99,3))</f>
        <v>暴伤+</v>
      </c>
      <c r="K184" s="26" t="s">
        <v>1081</v>
      </c>
      <c r="L184" s="27">
        <v>3001</v>
      </c>
    </row>
    <row r="185" spans="1:12">
      <c r="A185" s="27">
        <v>3004</v>
      </c>
      <c r="B185" s="27" t="s">
        <v>4059</v>
      </c>
      <c r="C185" s="27" t="s">
        <v>791</v>
      </c>
      <c r="E185" s="27">
        <v>-1</v>
      </c>
      <c r="F185" s="27">
        <v>-1</v>
      </c>
      <c r="H185" s="27">
        <v>19</v>
      </c>
      <c r="I185" s="27" t="str">
        <f>IF(H185="","",VLOOKUP(H185,'#状态名词'!$A$2:$C$99,2))</f>
        <v>rating</v>
      </c>
      <c r="J185" s="27" t="str">
        <f>IF(H185="","",VLOOKUP(H185,'#状态名词'!$A$2:$C$99,3))</f>
        <v>暴击+</v>
      </c>
      <c r="K185" s="26" t="s">
        <v>1082</v>
      </c>
    </row>
    <row r="186" spans="1:12">
      <c r="A186" s="27">
        <v>3005</v>
      </c>
      <c r="B186" s="27" t="s">
        <v>7473</v>
      </c>
      <c r="C186" s="27" t="s">
        <v>1083</v>
      </c>
      <c r="E186" s="27">
        <v>-1</v>
      </c>
      <c r="F186" s="27">
        <v>-1</v>
      </c>
      <c r="H186" s="27">
        <v>20</v>
      </c>
      <c r="I186" s="27" t="str">
        <f>IF(H186="","",VLOOKUP(H186,'#状态名词'!$A$2:$C$99,2))</f>
        <v>ratingdamage</v>
      </c>
      <c r="J186" s="27" t="str">
        <f>IF(H186="","",VLOOKUP(H186,'#状态名词'!$A$2:$C$99,3))</f>
        <v>暴伤+</v>
      </c>
      <c r="K186" s="26" t="s">
        <v>1084</v>
      </c>
      <c r="L186" s="27">
        <v>3005</v>
      </c>
    </row>
    <row r="187" spans="1:12">
      <c r="A187" s="27">
        <v>3006</v>
      </c>
      <c r="B187" s="27" t="s">
        <v>4062</v>
      </c>
      <c r="C187" s="27" t="s">
        <v>1085</v>
      </c>
      <c r="E187" s="27">
        <v>1</v>
      </c>
      <c r="F187" s="27">
        <v>0</v>
      </c>
      <c r="H187" s="27">
        <v>46</v>
      </c>
      <c r="I187" s="27" t="str">
        <f>IF(H187="","",VLOOKUP(H187,'#状态名词'!$A$2:$C$99,2))</f>
        <v>energyup</v>
      </c>
      <c r="J187" s="27" t="str">
        <f>IF(H187="","",VLOOKUP(H187,'#状态名词'!$A$2:$C$99,3))</f>
        <v>行动回能量</v>
      </c>
      <c r="K187" s="26">
        <v>30</v>
      </c>
      <c r="L187" s="27">
        <v>100</v>
      </c>
    </row>
    <row r="188" spans="1:12">
      <c r="A188" s="27">
        <v>3102</v>
      </c>
      <c r="B188" s="27" t="s">
        <v>4065</v>
      </c>
      <c r="C188" s="27" t="s">
        <v>2040</v>
      </c>
      <c r="E188" s="27">
        <v>-1</v>
      </c>
      <c r="F188" s="27">
        <v>-1</v>
      </c>
      <c r="H188" s="27">
        <v>54</v>
      </c>
      <c r="I188" s="27" t="str">
        <f>IF(H188="","",VLOOKUP(H188,'#状态名词'!$A$2:$C$99,2))</f>
        <v>spi</v>
      </c>
      <c r="J188" s="27" t="str">
        <f>IF(H188="","",VLOOKUP(H188,'#状态名词'!$A$2:$C$99,3))</f>
        <v>精神</v>
      </c>
      <c r="K188" s="26" t="s">
        <v>1086</v>
      </c>
    </row>
    <row r="189" spans="1:12">
      <c r="A189" s="27">
        <v>3103</v>
      </c>
      <c r="B189" s="27" t="s">
        <v>4066</v>
      </c>
      <c r="C189" s="27" t="s">
        <v>1087</v>
      </c>
      <c r="E189" s="27">
        <v>-1</v>
      </c>
      <c r="F189" s="27">
        <v>-1</v>
      </c>
      <c r="H189" s="27">
        <v>1</v>
      </c>
      <c r="I189" s="27" t="str">
        <f>IF(H189="","",VLOOKUP(H189,'#状态名词'!$A$2:$C$99,2))</f>
        <v>skilldama</v>
      </c>
      <c r="J189" s="27" t="str">
        <f>IF(H189="","",VLOOKUP(H189,'#状态名词'!$A$2:$C$99,3))</f>
        <v>技能伤害和治疗效果提升B类</v>
      </c>
      <c r="K189" s="26" t="s">
        <v>983</v>
      </c>
      <c r="L189" s="27">
        <v>3101</v>
      </c>
    </row>
    <row r="190" spans="1:12">
      <c r="A190" s="27">
        <v>3105</v>
      </c>
      <c r="B190" s="27" t="s">
        <v>4068</v>
      </c>
      <c r="C190" s="27" t="s">
        <v>607</v>
      </c>
      <c r="E190" s="27">
        <v>-1</v>
      </c>
      <c r="F190" s="27">
        <v>-1</v>
      </c>
      <c r="H190" s="27">
        <v>52</v>
      </c>
      <c r="I190" s="27" t="str">
        <f>IF(H190="","",VLOOKUP(H190,'#状态名词'!$A$2:$C$99,2))</f>
        <v>energyupper</v>
      </c>
      <c r="J190" s="27" t="str">
        <f>IF(H190="","",VLOOKUP(H190,'#状态名词'!$A$2:$C$99,3))</f>
        <v>能量上限</v>
      </c>
      <c r="K190" s="26" t="s">
        <v>1088</v>
      </c>
    </row>
    <row r="191" spans="1:12">
      <c r="A191" s="27">
        <v>3201</v>
      </c>
      <c r="B191" s="27" t="s">
        <v>4070</v>
      </c>
      <c r="C191" s="27" t="s">
        <v>1089</v>
      </c>
      <c r="E191" s="27">
        <v>-1</v>
      </c>
      <c r="F191" s="27">
        <v>0</v>
      </c>
      <c r="H191" s="27">
        <v>19</v>
      </c>
      <c r="I191" s="27" t="str">
        <f>IF(H191="","",VLOOKUP(H191,'#状态名词'!$A$2:$C$99,2))</f>
        <v>rating</v>
      </c>
      <c r="J191" s="27" t="str">
        <f>IF(H191="","",VLOOKUP(H191,'#状态名词'!$A$2:$C$99,3))</f>
        <v>暴击+</v>
      </c>
      <c r="K191" s="26">
        <v>10000</v>
      </c>
    </row>
    <row r="192" spans="1:12">
      <c r="B192" s="27" t="s">
        <v>84</v>
      </c>
      <c r="H192" s="27">
        <v>20</v>
      </c>
      <c r="I192" s="27" t="str">
        <f>IF(H192="","",VLOOKUP(H192,'#状态名词'!$A$2:$C$99,2))</f>
        <v>ratingdamage</v>
      </c>
      <c r="J192" s="27" t="str">
        <f>IF(H192="","",VLOOKUP(H192,'#状态名词'!$A$2:$C$99,3))</f>
        <v>暴伤+</v>
      </c>
      <c r="K192" s="26" t="s">
        <v>1090</v>
      </c>
    </row>
    <row r="193" spans="1:12">
      <c r="A193" s="27">
        <v>3202</v>
      </c>
      <c r="B193" s="27" t="s">
        <v>4071</v>
      </c>
      <c r="C193" s="27" t="s">
        <v>1091</v>
      </c>
      <c r="E193" s="27">
        <v>-1</v>
      </c>
      <c r="F193" s="27">
        <v>-1</v>
      </c>
      <c r="H193" s="27">
        <v>29</v>
      </c>
      <c r="I193" s="27" t="str">
        <f>IF(H193="","",VLOOKUP(H193,'#状态名词'!$A$2:$C$99,2))</f>
        <v>darkup</v>
      </c>
      <c r="J193" s="27" t="str">
        <f>IF(H193="","",VLOOKUP(H193,'#状态名词'!$A$2:$C$99,3))</f>
        <v>暗属性强化</v>
      </c>
      <c r="K193" s="26" t="s">
        <v>1092</v>
      </c>
    </row>
    <row r="194" spans="1:12">
      <c r="A194" s="27">
        <v>3204</v>
      </c>
      <c r="B194" s="27" t="s">
        <v>4075</v>
      </c>
      <c r="C194" s="27" t="s">
        <v>1093</v>
      </c>
      <c r="E194" s="27">
        <v>-1</v>
      </c>
      <c r="F194" s="27">
        <v>-1</v>
      </c>
      <c r="H194" s="27">
        <v>61</v>
      </c>
      <c r="I194" s="27" t="str">
        <f>IF(H194="","",VLOOKUP(H194,'#状态名词'!$A$2:$C$99,2))</f>
        <v>team_ad</v>
      </c>
      <c r="J194" s="27" t="str">
        <f>IF(H194="","",VLOOKUP(H194,'#状态名词'!$A$2:$C$99,3))</f>
        <v>队伍AD</v>
      </c>
      <c r="K194" s="26" t="s">
        <v>1062</v>
      </c>
    </row>
    <row r="195" spans="1:12">
      <c r="A195" s="27">
        <v>3205</v>
      </c>
      <c r="B195" s="27" t="s">
        <v>4068</v>
      </c>
      <c r="C195" s="27" t="s">
        <v>607</v>
      </c>
      <c r="E195" s="27">
        <v>-1</v>
      </c>
      <c r="F195" s="27">
        <v>-1</v>
      </c>
      <c r="H195" s="27">
        <v>52</v>
      </c>
      <c r="I195" s="27" t="str">
        <f>IF(H195="","",VLOOKUP(H195,'#状态名词'!$A$2:$C$99,2))</f>
        <v>energyupper</v>
      </c>
      <c r="J195" s="27" t="str">
        <f>IF(H195="","",VLOOKUP(H195,'#状态名词'!$A$2:$C$99,3))</f>
        <v>能量上限</v>
      </c>
      <c r="K195" s="26" t="s">
        <v>1094</v>
      </c>
    </row>
    <row r="196" spans="1:12">
      <c r="A196" s="27">
        <v>3301</v>
      </c>
      <c r="B196" s="27" t="s">
        <v>4076</v>
      </c>
      <c r="C196" s="27" t="s">
        <v>1095</v>
      </c>
      <c r="E196" s="27">
        <v>-1</v>
      </c>
      <c r="F196" s="27">
        <v>-1</v>
      </c>
      <c r="H196" s="27">
        <v>24</v>
      </c>
      <c r="I196" s="27" t="str">
        <f>IF(H196="","",VLOOKUP(H196,'#状态名词'!$A$2:$C$99,2))</f>
        <v>heal</v>
      </c>
      <c r="J196" s="27" t="str">
        <f>IF(H196="","",VLOOKUP(H196,'#状态名词'!$A$2:$C$99,3))</f>
        <v>治疗效果+</v>
      </c>
      <c r="K196" s="26" t="s">
        <v>1096</v>
      </c>
    </row>
    <row r="197" spans="1:12">
      <c r="A197" s="27">
        <v>3304</v>
      </c>
      <c r="B197" s="27" t="s">
        <v>4082</v>
      </c>
      <c r="C197" s="27" t="s">
        <v>1097</v>
      </c>
      <c r="E197" s="27">
        <v>-1</v>
      </c>
      <c r="F197" s="27">
        <v>-1</v>
      </c>
      <c r="H197" s="27">
        <v>1</v>
      </c>
      <c r="I197" s="27" t="str">
        <f>IF(H197="","",VLOOKUP(H197,'#状态名词'!$A$2:$C$99,2))</f>
        <v>skilldama</v>
      </c>
      <c r="J197" s="27" t="str">
        <f>IF(H197="","",VLOOKUP(H197,'#状态名词'!$A$2:$C$99,3))</f>
        <v>技能伤害和治疗效果提升B类</v>
      </c>
      <c r="K197" s="26" t="s">
        <v>9019</v>
      </c>
      <c r="L197" s="27">
        <v>3303</v>
      </c>
    </row>
    <row r="198" spans="1:12">
      <c r="A198" s="27">
        <v>3305</v>
      </c>
      <c r="B198" s="27" t="s">
        <v>4083</v>
      </c>
      <c r="C198" s="27" t="s">
        <v>1099</v>
      </c>
      <c r="E198" s="27">
        <v>-1</v>
      </c>
      <c r="F198" s="27">
        <v>-1</v>
      </c>
      <c r="H198" s="27">
        <v>17</v>
      </c>
      <c r="I198" s="27" t="str">
        <f>IF(H198="","",VLOOKUP(H198,'#状态名词'!$A$2:$C$99,2))</f>
        <v>adi</v>
      </c>
      <c r="J198" s="27" t="str">
        <f>IF(H198="","",VLOOKUP(H198,'#状态名词'!$A$2:$C$99,3))</f>
        <v>物穿</v>
      </c>
      <c r="K198" s="26" t="s">
        <v>1100</v>
      </c>
    </row>
    <row r="199" spans="1:12">
      <c r="B199" s="27" t="s">
        <v>84</v>
      </c>
      <c r="H199" s="27">
        <v>20</v>
      </c>
      <c r="I199" s="27" t="str">
        <f>IF(H199="","",VLOOKUP(H199,'#状态名词'!$A$2:$C$99,2))</f>
        <v>ratingdamage</v>
      </c>
      <c r="J199" s="27" t="str">
        <f>IF(H199="","",VLOOKUP(H199,'#状态名词'!$A$2:$C$99,3))</f>
        <v>暴伤+</v>
      </c>
      <c r="K199" s="26" t="s">
        <v>1100</v>
      </c>
    </row>
    <row r="200" spans="1:12">
      <c r="A200" s="27">
        <v>3306</v>
      </c>
      <c r="B200" s="27" t="s">
        <v>4084</v>
      </c>
      <c r="C200" s="27" t="s">
        <v>1101</v>
      </c>
      <c r="E200" s="27">
        <v>-1</v>
      </c>
      <c r="F200" s="27">
        <v>-1</v>
      </c>
      <c r="H200" s="27">
        <v>28</v>
      </c>
      <c r="I200" s="27" t="str">
        <f>IF(H200="","",VLOOKUP(H200,'#状态名词'!$A$2:$C$99,2))</f>
        <v>lightup</v>
      </c>
      <c r="J200" s="27" t="str">
        <f>IF(H200="","",VLOOKUP(H200,'#状态名词'!$A$2:$C$99,3))</f>
        <v>光属性强化</v>
      </c>
      <c r="K200" s="26">
        <v>3</v>
      </c>
    </row>
    <row r="201" spans="1:12">
      <c r="A201" s="27">
        <v>3401</v>
      </c>
      <c r="B201" s="27" t="s">
        <v>4085</v>
      </c>
      <c r="C201" s="27" t="s">
        <v>1102</v>
      </c>
      <c r="E201" s="27">
        <v>-1</v>
      </c>
      <c r="F201" s="27">
        <v>-1</v>
      </c>
      <c r="H201" s="27">
        <v>13</v>
      </c>
      <c r="I201" s="27" t="str">
        <f>IF(H201="","",VLOOKUP(H201,'#状态名词'!$A$2:$C$99,2))</f>
        <v>arm</v>
      </c>
      <c r="J201" s="27" t="str">
        <f>IF(H201="","",VLOOKUP(H201,'#状态名词'!$A$2:$C$99,3))</f>
        <v>ARM+</v>
      </c>
      <c r="K201" s="26" t="s">
        <v>1103</v>
      </c>
    </row>
    <row r="202" spans="1:12">
      <c r="A202" s="27">
        <v>3402</v>
      </c>
      <c r="B202" s="27" t="s">
        <v>4086</v>
      </c>
      <c r="C202" s="27" t="s">
        <v>1104</v>
      </c>
      <c r="E202" s="27">
        <v>-1</v>
      </c>
      <c r="F202" s="27">
        <v>-1</v>
      </c>
      <c r="I202" s="27" t="str">
        <f>IF(H202="","",VLOOKUP(H202,'#状态名词'!$A$2:$C$99,2))</f>
        <v/>
      </c>
      <c r="J202" s="27" t="str">
        <f>IF(H202="","",VLOOKUP(H202,'#状态名词'!$A$2:$C$99,3))</f>
        <v/>
      </c>
    </row>
    <row r="203" spans="1:12">
      <c r="A203" s="27">
        <v>3404</v>
      </c>
      <c r="B203" s="27" t="s">
        <v>4090</v>
      </c>
      <c r="C203" s="27" t="s">
        <v>1105</v>
      </c>
      <c r="E203" s="27">
        <v>-1</v>
      </c>
      <c r="F203" s="27">
        <v>-1</v>
      </c>
      <c r="H203" s="27">
        <v>1</v>
      </c>
      <c r="I203" s="27" t="str">
        <f>IF(H203="","",VLOOKUP(H203,'#状态名词'!$A$2:$C$99,2))</f>
        <v>skilldama</v>
      </c>
      <c r="J203" s="27" t="str">
        <f>IF(H203="","",VLOOKUP(H203,'#状态名词'!$A$2:$C$99,3))</f>
        <v>技能伤害和治疗效果提升B类</v>
      </c>
      <c r="K203" s="26" t="s">
        <v>1106</v>
      </c>
      <c r="L203" s="27">
        <v>3403</v>
      </c>
    </row>
    <row r="204" spans="1:12">
      <c r="A204" s="27">
        <v>3406</v>
      </c>
      <c r="B204" s="27" t="s">
        <v>7468</v>
      </c>
      <c r="C204" s="27" t="s">
        <v>1107</v>
      </c>
      <c r="E204" s="27">
        <v>-1</v>
      </c>
      <c r="F204" s="27">
        <v>3</v>
      </c>
      <c r="H204" s="27">
        <v>43</v>
      </c>
      <c r="I204" s="27" t="str">
        <f>IF(H204="","",VLOOKUP(H204,'#状态名词'!$A$2:$C$99,2))</f>
        <v>turn_damage</v>
      </c>
      <c r="J204" s="27" t="str">
        <f>IF(H204="","",VLOOKUP(H204,'#状态名词'!$A$2:$C$99,3))</f>
        <v>回合伤害</v>
      </c>
      <c r="K204" s="26" t="s">
        <v>1108</v>
      </c>
    </row>
    <row r="205" spans="1:12">
      <c r="A205" s="27">
        <v>3501</v>
      </c>
      <c r="B205" s="27" t="s">
        <v>4094</v>
      </c>
      <c r="C205" s="27" t="s">
        <v>766</v>
      </c>
      <c r="E205" s="27">
        <v>-1</v>
      </c>
      <c r="F205" s="27">
        <v>-1</v>
      </c>
      <c r="I205" s="27" t="str">
        <f>IF(H205="","",VLOOKUP(H205,'#状态名词'!$A$2:$C$99,2))</f>
        <v/>
      </c>
      <c r="J205" s="27" t="str">
        <f>IF(H205="","",VLOOKUP(H205,'#状态名词'!$A$2:$C$99,3))</f>
        <v/>
      </c>
    </row>
    <row r="206" spans="1:12">
      <c r="A206" s="27">
        <v>3502</v>
      </c>
      <c r="B206" s="27" t="s">
        <v>4096</v>
      </c>
      <c r="C206" s="27" t="s">
        <v>1109</v>
      </c>
      <c r="E206" s="27">
        <v>-1</v>
      </c>
      <c r="F206" s="27">
        <v>-1</v>
      </c>
      <c r="H206" s="27">
        <v>17</v>
      </c>
      <c r="I206" s="27" t="str">
        <f>IF(H206="","",VLOOKUP(H206,'#状态名词'!$A$2:$C$99,2))</f>
        <v>adi</v>
      </c>
      <c r="J206" s="27" t="str">
        <f>IF(H206="","",VLOOKUP(H206,'#状态名词'!$A$2:$C$99,3))</f>
        <v>物穿</v>
      </c>
      <c r="K206" s="26" t="s">
        <v>1110</v>
      </c>
    </row>
    <row r="207" spans="1:12">
      <c r="A207" s="27">
        <v>3503</v>
      </c>
      <c r="B207" s="27" t="s">
        <v>4097</v>
      </c>
      <c r="C207" s="27" t="s">
        <v>1111</v>
      </c>
      <c r="E207" s="27">
        <v>-1</v>
      </c>
      <c r="F207" s="27">
        <v>1</v>
      </c>
      <c r="H207" s="27">
        <v>21</v>
      </c>
      <c r="I207" s="27" t="str">
        <f>IF(H207="","",VLOOKUP(H207,'#状态名词'!$A$2:$C$99,2))</f>
        <v>speed</v>
      </c>
      <c r="J207" s="27" t="str">
        <f>IF(H207="","",VLOOKUP(H207,'#状态名词'!$A$2:$C$99,3))</f>
        <v>速度+</v>
      </c>
      <c r="K207" s="26" t="s">
        <v>1112</v>
      </c>
    </row>
    <row r="208" spans="1:12">
      <c r="A208" s="27">
        <v>3504</v>
      </c>
      <c r="B208" s="27" t="s">
        <v>4098</v>
      </c>
      <c r="C208" s="27" t="s">
        <v>1113</v>
      </c>
      <c r="E208" s="27">
        <v>-1</v>
      </c>
      <c r="F208" s="27">
        <v>-1</v>
      </c>
      <c r="H208" s="27">
        <v>13</v>
      </c>
      <c r="I208" s="27" t="str">
        <f>IF(H208="","",VLOOKUP(H208,'#状态名词'!$A$2:$C$99,2))</f>
        <v>arm</v>
      </c>
      <c r="J208" s="27" t="str">
        <f>IF(H208="","",VLOOKUP(H208,'#状态名词'!$A$2:$C$99,3))</f>
        <v>ARM+</v>
      </c>
      <c r="K208" s="26" t="s">
        <v>1114</v>
      </c>
    </row>
    <row r="209" spans="1:12">
      <c r="B209" s="27" t="s">
        <v>84</v>
      </c>
      <c r="H209" s="27">
        <v>15</v>
      </c>
      <c r="I209" s="27" t="str">
        <f>IF(H209="","",VLOOKUP(H209,'#状态名词'!$A$2:$C$99,2))</f>
        <v>mr</v>
      </c>
      <c r="J209" s="27" t="str">
        <f>IF(H209="","",VLOOKUP(H209,'#状态名词'!$A$2:$C$99,3))</f>
        <v>MR+</v>
      </c>
      <c r="K209" s="26" t="s">
        <v>1114</v>
      </c>
    </row>
    <row r="210" spans="1:12">
      <c r="B210" s="27" t="s">
        <v>84</v>
      </c>
      <c r="H210" s="27">
        <v>23</v>
      </c>
      <c r="I210" s="27" t="str">
        <f>IF(H210="","",VLOOKUP(H210,'#状态名词'!$A$2:$C$99,2))</f>
        <v>steal</v>
      </c>
      <c r="J210" s="27" t="str">
        <f>IF(H210="","",VLOOKUP(H210,'#状态名词'!$A$2:$C$99,3))</f>
        <v>生命偷取</v>
      </c>
      <c r="K210" s="26" t="s">
        <v>1115</v>
      </c>
    </row>
    <row r="211" spans="1:12">
      <c r="A211" s="27">
        <v>3505</v>
      </c>
      <c r="B211" s="27" t="s">
        <v>4099</v>
      </c>
      <c r="C211" s="27" t="s">
        <v>767</v>
      </c>
      <c r="E211" s="27">
        <v>-1</v>
      </c>
      <c r="F211" s="27">
        <v>0</v>
      </c>
      <c r="H211" s="27">
        <v>23</v>
      </c>
      <c r="I211" s="27" t="str">
        <f>IF(H211="","",VLOOKUP(H211,'#状态名词'!$A$2:$C$99,2))</f>
        <v>steal</v>
      </c>
      <c r="J211" s="27" t="str">
        <f>IF(H211="","",VLOOKUP(H211,'#状态名词'!$A$2:$C$99,3))</f>
        <v>生命偷取</v>
      </c>
      <c r="K211" s="26" t="s">
        <v>1116</v>
      </c>
    </row>
    <row r="212" spans="1:12">
      <c r="A212" s="27">
        <v>3602</v>
      </c>
      <c r="B212" s="27" t="s">
        <v>4103</v>
      </c>
      <c r="C212" s="27" t="s">
        <v>1117</v>
      </c>
      <c r="E212" s="27">
        <v>-1</v>
      </c>
      <c r="F212" s="27">
        <v>-1</v>
      </c>
      <c r="H212" s="27">
        <v>1</v>
      </c>
      <c r="I212" s="27" t="str">
        <f>IF(H212="","",VLOOKUP(H212,'#状态名词'!$A$2:$C$99,2))</f>
        <v>skilldama</v>
      </c>
      <c r="J212" s="27" t="str">
        <f>IF(H212="","",VLOOKUP(H212,'#状态名词'!$A$2:$C$99,3))</f>
        <v>技能伤害和治疗效果提升B类</v>
      </c>
      <c r="K212" s="26" t="s">
        <v>1118</v>
      </c>
      <c r="L212" s="27">
        <v>3601</v>
      </c>
    </row>
    <row r="213" spans="1:12">
      <c r="A213" s="27">
        <v>3603</v>
      </c>
      <c r="B213" s="27" t="s">
        <v>4104</v>
      </c>
      <c r="C213" s="27" t="s">
        <v>1119</v>
      </c>
      <c r="E213" s="27">
        <v>-1</v>
      </c>
      <c r="F213" s="27">
        <v>-1</v>
      </c>
      <c r="I213" s="27" t="str">
        <f>IF(H213="","",VLOOKUP(H213,'#状态名词'!$A$2:$C$99,2))</f>
        <v/>
      </c>
      <c r="J213" s="27" t="str">
        <f>IF(H213="","",VLOOKUP(H213,'#状态名词'!$A$2:$C$99,3))</f>
        <v/>
      </c>
    </row>
    <row r="214" spans="1:12">
      <c r="A214" s="27">
        <v>3604</v>
      </c>
      <c r="B214" s="27" t="s">
        <v>4106</v>
      </c>
      <c r="C214" s="27" t="s">
        <v>768</v>
      </c>
      <c r="E214" s="27">
        <v>-1</v>
      </c>
      <c r="F214" s="27">
        <v>-1</v>
      </c>
      <c r="H214" s="27">
        <v>21</v>
      </c>
      <c r="I214" s="27" t="str">
        <f>IF(H214="","",VLOOKUP(H214,'#状态名词'!$A$2:$C$99,2))</f>
        <v>speed</v>
      </c>
      <c r="J214" s="27" t="str">
        <f>IF(H214="","",VLOOKUP(H214,'#状态名词'!$A$2:$C$99,3))</f>
        <v>速度+</v>
      </c>
      <c r="K214" s="26" t="s">
        <v>1120</v>
      </c>
    </row>
    <row r="215" spans="1:12">
      <c r="B215" s="27" t="s">
        <v>84</v>
      </c>
      <c r="H215" s="27">
        <v>28</v>
      </c>
      <c r="I215" s="27" t="str">
        <f>IF(H215="","",VLOOKUP(H215,'#状态名词'!$A$2:$C$99,2))</f>
        <v>lightup</v>
      </c>
      <c r="J215" s="27" t="str">
        <f>IF(H215="","",VLOOKUP(H215,'#状态名词'!$A$2:$C$99,3))</f>
        <v>光属性强化</v>
      </c>
      <c r="K215" s="26" t="s">
        <v>1121</v>
      </c>
    </row>
    <row r="216" spans="1:12">
      <c r="A216" s="27">
        <v>3703</v>
      </c>
      <c r="B216" s="27" t="s">
        <v>4115</v>
      </c>
      <c r="C216" s="27" t="s">
        <v>1446</v>
      </c>
      <c r="E216" s="27">
        <v>-1</v>
      </c>
      <c r="F216" s="27">
        <v>-1</v>
      </c>
      <c r="H216" s="27">
        <v>1</v>
      </c>
      <c r="I216" s="27" t="str">
        <f>IF(H216="","",VLOOKUP(H216,'#状态名词'!$A$2:$C$99,2))</f>
        <v>skilldama</v>
      </c>
      <c r="J216" s="27" t="str">
        <f>IF(H216="","",VLOOKUP(H216,'#状态名词'!$A$2:$C$99,3))</f>
        <v>技能伤害和治疗效果提升B类</v>
      </c>
      <c r="K216" s="26" t="s">
        <v>1537</v>
      </c>
      <c r="L216" s="27">
        <v>3701</v>
      </c>
    </row>
    <row r="217" spans="1:12">
      <c r="B217" s="27" t="s">
        <v>84</v>
      </c>
      <c r="H217" s="27">
        <v>1</v>
      </c>
      <c r="I217" s="27" t="str">
        <f>IF(H217="","",VLOOKUP(H217,'#状态名词'!$A$2:$C$99,2))</f>
        <v>skilldama</v>
      </c>
      <c r="J217" s="27" t="str">
        <f>IF(H217="","",VLOOKUP(H217,'#状态名词'!$A$2:$C$99,3))</f>
        <v>技能伤害和治疗效果提升B类</v>
      </c>
      <c r="K217" s="26" t="s">
        <v>1098</v>
      </c>
      <c r="L217" s="27">
        <v>3702</v>
      </c>
    </row>
    <row r="218" spans="1:12">
      <c r="A218" s="27">
        <v>3704</v>
      </c>
      <c r="B218" s="27" t="s">
        <v>4116</v>
      </c>
      <c r="C218" s="27" t="s">
        <v>1122</v>
      </c>
      <c r="E218" s="27">
        <v>-1</v>
      </c>
      <c r="F218" s="27">
        <v>-1</v>
      </c>
      <c r="H218" s="27">
        <v>15</v>
      </c>
      <c r="I218" s="27" t="str">
        <f>IF(H218="","",VLOOKUP(H218,'#状态名词'!$A$2:$C$99,2))</f>
        <v>mr</v>
      </c>
      <c r="J218" s="27" t="str">
        <f>IF(H218="","",VLOOKUP(H218,'#状态名词'!$A$2:$C$99,3))</f>
        <v>MR+</v>
      </c>
      <c r="K218" s="26" t="s">
        <v>1123</v>
      </c>
    </row>
    <row r="219" spans="1:12">
      <c r="B219" s="27" t="s">
        <v>84</v>
      </c>
      <c r="H219" s="27">
        <v>24</v>
      </c>
      <c r="I219" s="27" t="str">
        <f>IF(H219="","",VLOOKUP(H219,'#状态名词'!$A$2:$C$99,2))</f>
        <v>heal</v>
      </c>
      <c r="J219" s="27" t="str">
        <f>IF(H219="","",VLOOKUP(H219,'#状态名词'!$A$2:$C$99,3))</f>
        <v>治疗效果+</v>
      </c>
      <c r="K219" s="26" t="s">
        <v>1124</v>
      </c>
    </row>
    <row r="220" spans="1:12">
      <c r="A220" s="27">
        <v>3705</v>
      </c>
      <c r="B220" s="27" t="s">
        <v>4117</v>
      </c>
      <c r="C220" s="27" t="s">
        <v>1125</v>
      </c>
      <c r="E220" s="27">
        <v>1</v>
      </c>
      <c r="F220" s="27">
        <v>0</v>
      </c>
      <c r="H220" s="27">
        <v>19</v>
      </c>
      <c r="I220" s="27" t="str">
        <f>IF(H220="","",VLOOKUP(H220,'#状态名词'!$A$2:$C$99,2))</f>
        <v>rating</v>
      </c>
      <c r="J220" s="27" t="str">
        <f>IF(H220="","",VLOOKUP(H220,'#状态名词'!$A$2:$C$99,3))</f>
        <v>暴击+</v>
      </c>
      <c r="K220" s="26" t="s">
        <v>1039</v>
      </c>
      <c r="L220" s="27">
        <v>3701</v>
      </c>
    </row>
    <row r="221" spans="1:12">
      <c r="B221" s="27" t="s">
        <v>84</v>
      </c>
      <c r="H221" s="27">
        <v>1</v>
      </c>
      <c r="I221" s="27" t="str">
        <f>IF(H221="","",VLOOKUP(H221,'#状态名词'!$A$2:$C$99,2))</f>
        <v>skilldama</v>
      </c>
      <c r="J221" s="27" t="str">
        <f>IF(H221="","",VLOOKUP(H221,'#状态名词'!$A$2:$C$99,3))</f>
        <v>技能伤害和治疗效果提升B类</v>
      </c>
      <c r="K221" s="26" t="s">
        <v>996</v>
      </c>
      <c r="L221" s="27">
        <v>3701</v>
      </c>
    </row>
    <row r="222" spans="1:12">
      <c r="A222" s="27">
        <v>3801</v>
      </c>
      <c r="B222" s="27" t="s">
        <v>4118</v>
      </c>
      <c r="C222" s="27" t="s">
        <v>838</v>
      </c>
      <c r="E222" s="27">
        <v>-1</v>
      </c>
      <c r="F222" s="27">
        <v>-1</v>
      </c>
      <c r="I222" s="27" t="str">
        <f>IF(H222="","",VLOOKUP(H222,'#状态名词'!$A$2:$C$99,2))</f>
        <v/>
      </c>
      <c r="J222" s="27" t="str">
        <f>IF(H222="","",VLOOKUP(H222,'#状态名词'!$A$2:$C$99,3))</f>
        <v/>
      </c>
    </row>
    <row r="223" spans="1:12">
      <c r="A223" s="27">
        <v>3802</v>
      </c>
      <c r="B223" s="27" t="s">
        <v>4119</v>
      </c>
      <c r="C223" s="27" t="s">
        <v>1126</v>
      </c>
      <c r="E223" s="27">
        <v>-1</v>
      </c>
      <c r="F223" s="27">
        <v>-1</v>
      </c>
      <c r="I223" s="27" t="str">
        <f>IF(H223="","",VLOOKUP(H223,'#状态名词'!$A$2:$C$99,2))</f>
        <v/>
      </c>
      <c r="J223" s="27" t="str">
        <f>IF(H223="","",VLOOKUP(H223,'#状态名词'!$A$2:$C$99,3))</f>
        <v/>
      </c>
    </row>
    <row r="224" spans="1:12">
      <c r="A224" s="27">
        <v>3803</v>
      </c>
      <c r="B224" s="27" t="s">
        <v>4120</v>
      </c>
      <c r="C224" s="27" t="s">
        <v>769</v>
      </c>
      <c r="E224" s="27">
        <v>-1</v>
      </c>
      <c r="F224" s="27">
        <v>-1</v>
      </c>
      <c r="I224" s="27" t="str">
        <f>IF(H224="","",VLOOKUP(H224,'#状态名词'!$A$2:$C$99,2))</f>
        <v/>
      </c>
      <c r="J224" s="27" t="str">
        <f>IF(H224="","",VLOOKUP(H224,'#状态名词'!$A$2:$C$99,3))</f>
        <v/>
      </c>
    </row>
    <row r="225" spans="1:12">
      <c r="A225" s="27">
        <v>3804</v>
      </c>
      <c r="B225" s="27" t="s">
        <v>4121</v>
      </c>
      <c r="C225" s="27" t="s">
        <v>1127</v>
      </c>
      <c r="E225" s="27">
        <v>-1</v>
      </c>
      <c r="F225" s="27">
        <v>-1</v>
      </c>
      <c r="I225" s="27" t="str">
        <f>IF(H225="","",VLOOKUP(H225,'#状态名词'!$A$2:$C$99,2))</f>
        <v/>
      </c>
      <c r="J225" s="27" t="str">
        <f>IF(H225="","",VLOOKUP(H225,'#状态名词'!$A$2:$C$99,3))</f>
        <v/>
      </c>
    </row>
    <row r="226" spans="1:12">
      <c r="A226" s="27">
        <v>3805</v>
      </c>
      <c r="B226" s="27" t="s">
        <v>4122</v>
      </c>
      <c r="C226" s="27" t="s">
        <v>1128</v>
      </c>
      <c r="E226" s="27">
        <v>-1</v>
      </c>
      <c r="F226" s="27">
        <v>-1</v>
      </c>
      <c r="I226" s="27" t="str">
        <f>IF(H226="","",VLOOKUP(H226,'#状态名词'!$A$2:$C$99,2))</f>
        <v/>
      </c>
      <c r="J226" s="27" t="str">
        <f>IF(H226="","",VLOOKUP(H226,'#状态名词'!$A$2:$C$99,3))</f>
        <v/>
      </c>
    </row>
    <row r="227" spans="1:12">
      <c r="A227" s="27">
        <v>3901</v>
      </c>
      <c r="B227" s="27" t="s">
        <v>4123</v>
      </c>
      <c r="C227" s="27" t="s">
        <v>609</v>
      </c>
      <c r="E227" s="27">
        <v>-1</v>
      </c>
      <c r="F227" s="27">
        <v>-1</v>
      </c>
      <c r="H227" s="27">
        <v>21</v>
      </c>
      <c r="I227" s="27" t="str">
        <f>IF(H227="","",VLOOKUP(H227,'#状态名词'!$A$2:$C$99,2))</f>
        <v>speed</v>
      </c>
      <c r="J227" s="27" t="str">
        <f>IF(H227="","",VLOOKUP(H227,'#状态名词'!$A$2:$C$99,3))</f>
        <v>速度+</v>
      </c>
      <c r="K227" s="26" t="s">
        <v>1129</v>
      </c>
    </row>
    <row r="228" spans="1:12">
      <c r="A228" s="27">
        <v>3903</v>
      </c>
      <c r="B228" s="27" t="s">
        <v>4127</v>
      </c>
      <c r="C228" s="27" t="s">
        <v>1130</v>
      </c>
      <c r="E228" s="27">
        <v>-1</v>
      </c>
      <c r="F228" s="27">
        <v>-1</v>
      </c>
      <c r="H228" s="27">
        <v>43</v>
      </c>
      <c r="I228" s="27" t="str">
        <f>IF(H228="","",VLOOKUP(H228,'#状态名词'!$A$2:$C$99,2))</f>
        <v>turn_damage</v>
      </c>
      <c r="J228" s="27" t="str">
        <f>IF(H228="","",VLOOKUP(H228,'#状态名词'!$A$2:$C$99,3))</f>
        <v>回合伤害</v>
      </c>
      <c r="K228" s="26" t="s">
        <v>1131</v>
      </c>
    </row>
    <row r="229" spans="1:12">
      <c r="A229" s="27">
        <v>3904</v>
      </c>
      <c r="B229" s="27" t="s">
        <v>4128</v>
      </c>
      <c r="C229" s="27" t="s">
        <v>770</v>
      </c>
      <c r="E229" s="27">
        <v>-1</v>
      </c>
      <c r="F229" s="27">
        <v>-1</v>
      </c>
      <c r="H229" s="27">
        <v>13</v>
      </c>
      <c r="I229" s="27" t="str">
        <f>IF(H229="","",VLOOKUP(H229,'#状态名词'!$A$2:$C$99,2))</f>
        <v>arm</v>
      </c>
      <c r="J229" s="27" t="str">
        <f>IF(H229="","",VLOOKUP(H229,'#状态名词'!$A$2:$C$99,3))</f>
        <v>ARM+</v>
      </c>
      <c r="K229" s="26" t="s">
        <v>1132</v>
      </c>
    </row>
    <row r="230" spans="1:12">
      <c r="A230" s="27">
        <v>4001</v>
      </c>
      <c r="B230" s="27" t="s">
        <v>4132</v>
      </c>
      <c r="C230" s="27" t="s">
        <v>771</v>
      </c>
      <c r="E230" s="27">
        <v>-1</v>
      </c>
      <c r="F230" s="27">
        <v>-1</v>
      </c>
      <c r="H230" s="27">
        <v>19</v>
      </c>
      <c r="I230" s="27" t="str">
        <f>IF(H230="","",VLOOKUP(H230,'#状态名词'!$A$2:$C$99,2))</f>
        <v>rating</v>
      </c>
      <c r="J230" s="27" t="str">
        <f>IF(H230="","",VLOOKUP(H230,'#状态名词'!$A$2:$C$99,3))</f>
        <v>暴击+</v>
      </c>
      <c r="K230" s="26" t="s">
        <v>7500</v>
      </c>
    </row>
    <row r="231" spans="1:12">
      <c r="B231" s="27" t="s">
        <v>84</v>
      </c>
      <c r="H231" s="27">
        <v>9</v>
      </c>
      <c r="I231" s="27" t="str">
        <f>IF(H231="","",VLOOKUP(H231,'#状态名词'!$A$2:$C$99,2))</f>
        <v>ad</v>
      </c>
      <c r="J231" s="27" t="str">
        <f>IF(H231="","",VLOOKUP(H231,'#状态名词'!$A$2:$C$99,3))</f>
        <v>AD+</v>
      </c>
      <c r="K231" s="26" t="s">
        <v>1133</v>
      </c>
    </row>
    <row r="232" spans="1:12">
      <c r="A232" s="27">
        <v>4004</v>
      </c>
      <c r="B232" s="27" t="s">
        <v>4140</v>
      </c>
      <c r="C232" s="27" t="s">
        <v>1134</v>
      </c>
      <c r="E232" s="27">
        <v>-1</v>
      </c>
      <c r="F232" s="27">
        <v>-1</v>
      </c>
      <c r="H232" s="27">
        <v>1</v>
      </c>
      <c r="I232" s="27" t="str">
        <f>IF(H232="","",VLOOKUP(H232,'#状态名词'!$A$2:$C$99,2))</f>
        <v>skilldama</v>
      </c>
      <c r="J232" s="27" t="str">
        <f>IF(H232="","",VLOOKUP(H232,'#状态名词'!$A$2:$C$99,3))</f>
        <v>技能伤害和治疗效果提升B类</v>
      </c>
      <c r="K232" s="26" t="s">
        <v>1135</v>
      </c>
      <c r="L232" s="27">
        <v>4002</v>
      </c>
    </row>
    <row r="233" spans="1:12">
      <c r="B233" s="27" t="s">
        <v>84</v>
      </c>
      <c r="H233" s="27">
        <v>1</v>
      </c>
      <c r="I233" s="27" t="str">
        <f>IF(H233="","",VLOOKUP(H233,'#状态名词'!$A$2:$C$99,2))</f>
        <v>skilldama</v>
      </c>
      <c r="J233" s="27" t="str">
        <f>IF(H233="","",VLOOKUP(H233,'#状态名词'!$A$2:$C$99,3))</f>
        <v>技能伤害和治疗效果提升B类</v>
      </c>
      <c r="K233" s="26" t="s">
        <v>1136</v>
      </c>
      <c r="L233" s="27">
        <v>4003</v>
      </c>
    </row>
    <row r="234" spans="1:12">
      <c r="A234" s="27">
        <v>4005</v>
      </c>
      <c r="B234" s="27" t="s">
        <v>4141</v>
      </c>
      <c r="C234" s="27" t="s">
        <v>772</v>
      </c>
      <c r="E234" s="27">
        <v>-1</v>
      </c>
      <c r="F234" s="27">
        <v>-1</v>
      </c>
      <c r="H234" s="27">
        <v>26</v>
      </c>
      <c r="I234" s="27" t="str">
        <f>IF(H234="","",VLOOKUP(H234,'#状态名词'!$A$2:$C$99,2))</f>
        <v>fireup</v>
      </c>
      <c r="J234" s="27" t="str">
        <f>IF(H234="","",VLOOKUP(H234,'#状态名词'!$A$2:$C$99,3))</f>
        <v>火属性强化</v>
      </c>
      <c r="K234" s="26" t="s">
        <v>1137</v>
      </c>
    </row>
    <row r="235" spans="1:12">
      <c r="B235" s="27" t="s">
        <v>84</v>
      </c>
      <c r="H235" s="27">
        <v>28</v>
      </c>
      <c r="I235" s="27" t="str">
        <f>IF(H235="","",VLOOKUP(H235,'#状态名词'!$A$2:$C$99,2))</f>
        <v>lightup</v>
      </c>
      <c r="J235" s="27" t="str">
        <f>IF(H235="","",VLOOKUP(H235,'#状态名词'!$A$2:$C$99,3))</f>
        <v>光属性强化</v>
      </c>
      <c r="K235" s="26" t="s">
        <v>1137</v>
      </c>
    </row>
    <row r="236" spans="1:12">
      <c r="A236" s="27">
        <v>4101</v>
      </c>
      <c r="B236" s="27" t="s">
        <v>4145</v>
      </c>
      <c r="C236" s="27" t="s">
        <v>2041</v>
      </c>
      <c r="E236" s="27">
        <v>-1</v>
      </c>
      <c r="F236" s="27">
        <v>-1</v>
      </c>
      <c r="H236" s="27">
        <v>54</v>
      </c>
      <c r="I236" s="27" t="str">
        <f>IF(H236="","",VLOOKUP(H236,'#状态名词'!$A$2:$C$99,2))</f>
        <v>spi</v>
      </c>
      <c r="J236" s="27" t="str">
        <f>IF(H236="","",VLOOKUP(H236,'#状态名词'!$A$2:$C$99,3))</f>
        <v>精神</v>
      </c>
      <c r="K236" s="26" t="s">
        <v>1138</v>
      </c>
    </row>
    <row r="237" spans="1:12">
      <c r="A237" s="27">
        <v>4102</v>
      </c>
      <c r="B237" s="27" t="s">
        <v>4146</v>
      </c>
      <c r="C237" s="27" t="s">
        <v>2090</v>
      </c>
      <c r="E237" s="27">
        <v>-1</v>
      </c>
      <c r="F237" s="27">
        <v>-1</v>
      </c>
      <c r="H237" s="27">
        <v>54</v>
      </c>
      <c r="I237" s="27" t="str">
        <f>IF(H237="","",VLOOKUP(H237,'#状态名词'!$A$2:$C$99,2))</f>
        <v>spi</v>
      </c>
      <c r="J237" s="27" t="str">
        <f>IF(H237="","",VLOOKUP(H237,'#状态名词'!$A$2:$C$99,3))</f>
        <v>精神</v>
      </c>
      <c r="K237" s="26" t="s">
        <v>1139</v>
      </c>
    </row>
    <row r="238" spans="1:12">
      <c r="B238" s="27" t="s">
        <v>84</v>
      </c>
      <c r="E238" s="27">
        <v>-1</v>
      </c>
      <c r="F238" s="27">
        <v>-1</v>
      </c>
      <c r="H238" s="27">
        <v>15</v>
      </c>
      <c r="I238" s="27" t="str">
        <f>IF(H238="","",VLOOKUP(H238,'#状态名词'!$A$2:$C$99,2))</f>
        <v>mr</v>
      </c>
      <c r="J238" s="27" t="str">
        <f>IF(H238="","",VLOOKUP(H238,'#状态名词'!$A$2:$C$99,3))</f>
        <v>MR+</v>
      </c>
      <c r="K238" s="26" t="s">
        <v>1140</v>
      </c>
    </row>
    <row r="239" spans="1:12">
      <c r="A239" s="27">
        <v>4103</v>
      </c>
      <c r="B239" s="27" t="s">
        <v>4147</v>
      </c>
      <c r="C239" s="27" t="s">
        <v>1141</v>
      </c>
      <c r="E239" s="27">
        <v>-1</v>
      </c>
      <c r="F239" s="27">
        <v>-1</v>
      </c>
      <c r="H239" s="27">
        <v>60</v>
      </c>
      <c r="I239" s="27" t="str">
        <f>IF(H239="","",VLOOKUP(H239,'#状态名词'!$A$2:$C$99,2))</f>
        <v>health</v>
      </c>
      <c r="J239" s="27" t="str">
        <f>IF(H239="","",VLOOKUP(H239,'#状态名词'!$A$2:$C$99,3))</f>
        <v>固定血量</v>
      </c>
      <c r="K239" s="26" t="s">
        <v>1142</v>
      </c>
    </row>
    <row r="240" spans="1:12">
      <c r="B240" s="27" t="s">
        <v>84</v>
      </c>
      <c r="E240" s="27">
        <v>-1</v>
      </c>
      <c r="F240" s="27">
        <v>-1</v>
      </c>
      <c r="H240" s="27">
        <v>61</v>
      </c>
      <c r="I240" s="27" t="str">
        <f>IF(H240="","",VLOOKUP(H240,'#状态名词'!$A$2:$C$99,2))</f>
        <v>team_ad</v>
      </c>
      <c r="J240" s="27" t="str">
        <f>IF(H240="","",VLOOKUP(H240,'#状态名词'!$A$2:$C$99,3))</f>
        <v>队伍AD</v>
      </c>
      <c r="K240" s="26" t="s">
        <v>1143</v>
      </c>
    </row>
    <row r="241" spans="1:12">
      <c r="A241" s="27">
        <v>4104</v>
      </c>
      <c r="B241" s="27" t="s">
        <v>4148</v>
      </c>
      <c r="C241" s="27" t="s">
        <v>1144</v>
      </c>
      <c r="E241" s="27">
        <v>-1</v>
      </c>
      <c r="F241" s="27">
        <v>-1</v>
      </c>
      <c r="H241" s="27">
        <v>13</v>
      </c>
      <c r="I241" s="27" t="str">
        <f>IF(H241="","",VLOOKUP(H241,'#状态名词'!$A$2:$C$99,2))</f>
        <v>arm</v>
      </c>
      <c r="J241" s="27" t="str">
        <f>IF(H241="","",VLOOKUP(H241,'#状态名词'!$A$2:$C$99,3))</f>
        <v>ARM+</v>
      </c>
      <c r="K241" s="26" t="s">
        <v>7533</v>
      </c>
    </row>
    <row r="242" spans="1:12">
      <c r="B242" s="27" t="s">
        <v>84</v>
      </c>
      <c r="E242" s="27">
        <v>-1</v>
      </c>
      <c r="F242" s="27">
        <v>-1</v>
      </c>
      <c r="H242" s="27">
        <v>15</v>
      </c>
      <c r="I242" s="27" t="str">
        <f>IF(H242="","",VLOOKUP(H242,'#状态名词'!$A$2:$C$99,2))</f>
        <v>mr</v>
      </c>
      <c r="J242" s="27" t="str">
        <f>IF(H242="","",VLOOKUP(H242,'#状态名词'!$A$2:$C$99,3))</f>
        <v>MR+</v>
      </c>
      <c r="K242" s="26" t="s">
        <v>7503</v>
      </c>
    </row>
    <row r="243" spans="1:12">
      <c r="A243" s="27">
        <v>4105</v>
      </c>
      <c r="B243" s="27" t="s">
        <v>4143</v>
      </c>
      <c r="E243" s="27">
        <v>1</v>
      </c>
      <c r="F243" s="27">
        <v>0</v>
      </c>
      <c r="H243" s="27">
        <v>45</v>
      </c>
      <c r="I243" s="27" t="str">
        <f>IF(H243="","",VLOOKUP(H243,'#状态名词'!$A$2:$C$99,2))</f>
        <v>rageup</v>
      </c>
      <c r="J243" s="27" t="str">
        <f>IF(H243="","",VLOOKUP(H243,'#状态名词'!$A$2:$C$99,3))</f>
        <v>行动回怒气</v>
      </c>
      <c r="K243" s="26">
        <v>15</v>
      </c>
      <c r="L243" s="27">
        <v>4106</v>
      </c>
    </row>
    <row r="244" spans="1:12">
      <c r="A244" s="27">
        <v>4106</v>
      </c>
      <c r="B244" s="27" t="s">
        <v>7474</v>
      </c>
      <c r="E244" s="27">
        <v>-1</v>
      </c>
      <c r="F244" s="27">
        <v>-1</v>
      </c>
      <c r="H244" s="27">
        <v>54</v>
      </c>
      <c r="I244" s="27" t="str">
        <f>IF(H244="","",VLOOKUP(H244,'#状态名词'!$A$2:$C$99,2))</f>
        <v>spi</v>
      </c>
      <c r="J244" s="27" t="str">
        <f>IF(H244="","",VLOOKUP(H244,'#状态名词'!$A$2:$C$99,3))</f>
        <v>精神</v>
      </c>
      <c r="K244" s="26" t="s">
        <v>1145</v>
      </c>
    </row>
    <row r="245" spans="1:12">
      <c r="A245" s="27">
        <v>4201</v>
      </c>
      <c r="B245" s="27" t="s">
        <v>4151</v>
      </c>
      <c r="C245" s="27" t="s">
        <v>1146</v>
      </c>
      <c r="E245" s="27">
        <v>-1</v>
      </c>
      <c r="F245" s="27">
        <v>-1</v>
      </c>
      <c r="H245" s="27">
        <v>13</v>
      </c>
      <c r="I245" s="27" t="str">
        <f>IF(H245="","",VLOOKUP(H245,'#状态名词'!$A$2:$C$99,2))</f>
        <v>arm</v>
      </c>
      <c r="J245" s="27" t="str">
        <f>IF(H245="","",VLOOKUP(H245,'#状态名词'!$A$2:$C$99,3))</f>
        <v>ARM+</v>
      </c>
      <c r="K245" s="26" t="s">
        <v>1147</v>
      </c>
    </row>
    <row r="246" spans="1:12">
      <c r="B246" s="27" t="s">
        <v>84</v>
      </c>
      <c r="E246" s="27">
        <v>-1</v>
      </c>
      <c r="F246" s="27">
        <v>-1</v>
      </c>
      <c r="H246" s="27">
        <v>15</v>
      </c>
      <c r="I246" s="27" t="str">
        <f>IF(H246="","",VLOOKUP(H246,'#状态名词'!$A$2:$C$99,2))</f>
        <v>mr</v>
      </c>
      <c r="J246" s="27" t="str">
        <f>IF(H246="","",VLOOKUP(H246,'#状态名词'!$A$2:$C$99,3))</f>
        <v>MR+</v>
      </c>
      <c r="K246" s="26" t="s">
        <v>1147</v>
      </c>
    </row>
    <row r="247" spans="1:12">
      <c r="B247" s="27" t="s">
        <v>84</v>
      </c>
      <c r="E247" s="27">
        <v>-1</v>
      </c>
      <c r="F247" s="27">
        <v>-1</v>
      </c>
      <c r="H247" s="27">
        <v>61</v>
      </c>
      <c r="I247" s="27" t="str">
        <f>IF(H247="","",VLOOKUP(H247,'#状态名词'!$A$2:$C$99,2))</f>
        <v>team_ad</v>
      </c>
      <c r="J247" s="27" t="str">
        <f>IF(H247="","",VLOOKUP(H247,'#状态名词'!$A$2:$C$99,3))</f>
        <v>队伍AD</v>
      </c>
      <c r="K247" s="26" t="s">
        <v>1148</v>
      </c>
    </row>
    <row r="248" spans="1:12">
      <c r="A248" s="27">
        <v>4202</v>
      </c>
      <c r="B248" s="27" t="s">
        <v>4154</v>
      </c>
      <c r="C248" s="27" t="s">
        <v>1149</v>
      </c>
      <c r="E248" s="27">
        <v>-1</v>
      </c>
      <c r="F248" s="27">
        <v>-1</v>
      </c>
      <c r="H248" s="27">
        <v>36</v>
      </c>
      <c r="I248" s="27" t="str">
        <f>IF(H248="","",VLOOKUP(H248,'#状态名词'!$A$2:$C$99,2))</f>
        <v>atk_damage</v>
      </c>
      <c r="J248" s="27" t="str">
        <f>IF(H248="","",VLOOKUP(H248,'#状态名词'!$A$2:$C$99,3))</f>
        <v>攻击附加伤害</v>
      </c>
      <c r="K248" s="26" t="s">
        <v>737</v>
      </c>
    </row>
    <row r="249" spans="1:12">
      <c r="A249" s="27">
        <v>4203</v>
      </c>
      <c r="B249" s="27" t="s">
        <v>4155</v>
      </c>
      <c r="C249" s="27" t="s">
        <v>1150</v>
      </c>
      <c r="E249" s="27">
        <v>-1</v>
      </c>
      <c r="F249" s="27">
        <v>3</v>
      </c>
      <c r="H249" s="27">
        <v>43</v>
      </c>
      <c r="I249" s="27" t="str">
        <f>IF(H249="","",VLOOKUP(H249,'#状态名词'!$A$2:$C$99,2))</f>
        <v>turn_damage</v>
      </c>
      <c r="J249" s="27" t="str">
        <f>IF(H249="","",VLOOKUP(H249,'#状态名词'!$A$2:$C$99,3))</f>
        <v>回合伤害</v>
      </c>
      <c r="K249" s="26" t="s">
        <v>1151</v>
      </c>
      <c r="L249" s="27">
        <v>4202</v>
      </c>
    </row>
    <row r="250" spans="1:12">
      <c r="A250" s="27">
        <v>4204</v>
      </c>
      <c r="B250" s="27" t="s">
        <v>4157</v>
      </c>
      <c r="C250" s="27" t="s">
        <v>773</v>
      </c>
      <c r="E250" s="27">
        <v>-1</v>
      </c>
      <c r="F250" s="27">
        <v>-1</v>
      </c>
      <c r="H250" s="27">
        <v>26</v>
      </c>
      <c r="I250" s="27" t="str">
        <f>IF(H250="","",VLOOKUP(H250,'#状态名词'!$A$2:$C$99,2))</f>
        <v>fireup</v>
      </c>
      <c r="J250" s="27" t="str">
        <f>IF(H250="","",VLOOKUP(H250,'#状态名词'!$A$2:$C$99,3))</f>
        <v>火属性强化</v>
      </c>
      <c r="K250" s="26" t="s">
        <v>1152</v>
      </c>
    </row>
    <row r="251" spans="1:12">
      <c r="A251" s="27">
        <v>4301</v>
      </c>
      <c r="B251" s="27" t="s">
        <v>4158</v>
      </c>
      <c r="C251" s="27" t="s">
        <v>2042</v>
      </c>
      <c r="E251" s="27">
        <v>-1</v>
      </c>
      <c r="F251" s="27">
        <v>-1</v>
      </c>
      <c r="H251" s="27">
        <v>54</v>
      </c>
      <c r="I251" s="27" t="str">
        <f>IF(H251="","",VLOOKUP(H251,'#状态名词'!$A$2:$C$99,2))</f>
        <v>spi</v>
      </c>
      <c r="J251" s="27" t="str">
        <f>IF(H251="","",VLOOKUP(H251,'#状态名词'!$A$2:$C$99,3))</f>
        <v>精神</v>
      </c>
      <c r="K251" s="26" t="s">
        <v>1153</v>
      </c>
    </row>
    <row r="252" spans="1:12">
      <c r="H252" s="27">
        <v>58</v>
      </c>
      <c r="I252" s="27" t="str">
        <f>IF(H252="","",VLOOKUP(H252,'#状态名词'!$A$2:$C$99,2))</f>
        <v>vit</v>
      </c>
      <c r="J252" s="27" t="str">
        <f>IF(H252="","",VLOOKUP(H252,'#状态名词'!$A$2:$C$99,3))</f>
        <v>体力</v>
      </c>
      <c r="K252" s="26" t="s">
        <v>1153</v>
      </c>
    </row>
    <row r="253" spans="1:12">
      <c r="A253" s="27">
        <v>4303</v>
      </c>
      <c r="B253" s="27" t="s">
        <v>4160</v>
      </c>
      <c r="C253" s="27" t="s">
        <v>1154</v>
      </c>
      <c r="E253" s="27">
        <v>-1</v>
      </c>
      <c r="F253" s="27">
        <v>-1</v>
      </c>
      <c r="H253" s="27">
        <v>18</v>
      </c>
      <c r="I253" s="27" t="str">
        <f>IF(H253="","",VLOOKUP(H253,'#状态名词'!$A$2:$C$99,2))</f>
        <v>api</v>
      </c>
      <c r="J253" s="27" t="str">
        <f>IF(H253="","",VLOOKUP(H253,'#状态名词'!$A$2:$C$99,3))</f>
        <v>法穿</v>
      </c>
      <c r="K253" s="26" t="s">
        <v>7534</v>
      </c>
    </row>
    <row r="254" spans="1:12">
      <c r="B254" s="27" t="s">
        <v>84</v>
      </c>
      <c r="E254" s="27">
        <v>-1</v>
      </c>
      <c r="F254" s="27">
        <v>-1</v>
      </c>
      <c r="H254" s="27">
        <v>17</v>
      </c>
      <c r="I254" s="27" t="str">
        <f>IF(H254="","",VLOOKUP(H254,'#状态名词'!$A$2:$C$99,2))</f>
        <v>adi</v>
      </c>
      <c r="J254" s="27" t="str">
        <f>IF(H254="","",VLOOKUP(H254,'#状态名词'!$A$2:$C$99,3))</f>
        <v>物穿</v>
      </c>
      <c r="K254" s="26" t="s">
        <v>7535</v>
      </c>
    </row>
    <row r="255" spans="1:12">
      <c r="A255" s="27">
        <v>4304</v>
      </c>
      <c r="B255" s="27" t="s">
        <v>4161</v>
      </c>
      <c r="C255" s="27" t="s">
        <v>1155</v>
      </c>
      <c r="E255" s="27">
        <v>-1</v>
      </c>
      <c r="F255" s="27">
        <v>-1</v>
      </c>
      <c r="H255" s="27">
        <v>23</v>
      </c>
      <c r="I255" s="27" t="str">
        <f>IF(H255="","",VLOOKUP(H255,'#状态名词'!$A$2:$C$99,2))</f>
        <v>steal</v>
      </c>
      <c r="J255" s="27" t="str">
        <f>IF(H255="","",VLOOKUP(H255,'#状态名词'!$A$2:$C$99,3))</f>
        <v>生命偷取</v>
      </c>
      <c r="K255" s="26" t="s">
        <v>1156</v>
      </c>
    </row>
    <row r="256" spans="1:12">
      <c r="B256" s="27" t="s">
        <v>84</v>
      </c>
      <c r="E256" s="27">
        <v>-1</v>
      </c>
      <c r="F256" s="27">
        <v>-1</v>
      </c>
      <c r="H256" s="27">
        <v>24</v>
      </c>
      <c r="I256" s="27" t="str">
        <f>IF(H256="","",VLOOKUP(H256,'#状态名词'!$A$2:$C$99,2))</f>
        <v>heal</v>
      </c>
      <c r="J256" s="27" t="str">
        <f>IF(H256="","",VLOOKUP(H256,'#状态名词'!$A$2:$C$99,3))</f>
        <v>治疗效果+</v>
      </c>
      <c r="K256" s="26" t="s">
        <v>1157</v>
      </c>
    </row>
    <row r="257" spans="1:12">
      <c r="A257" s="27">
        <v>4305</v>
      </c>
      <c r="B257" s="27" t="s">
        <v>4162</v>
      </c>
      <c r="C257" s="27" t="s">
        <v>1158</v>
      </c>
      <c r="E257" s="27">
        <v>-1</v>
      </c>
      <c r="F257" s="27">
        <v>-1</v>
      </c>
      <c r="H257" s="27">
        <v>36</v>
      </c>
      <c r="I257" s="27" t="str">
        <f>IF(H257="","",VLOOKUP(H257,'#状态名词'!$A$2:$C$99,2))</f>
        <v>atk_damage</v>
      </c>
      <c r="J257" s="27" t="str">
        <f>IF(H257="","",VLOOKUP(H257,'#状态名词'!$A$2:$C$99,3))</f>
        <v>攻击附加伤害</v>
      </c>
      <c r="K257" s="26" t="s">
        <v>1159</v>
      </c>
      <c r="L257" s="27">
        <v>1</v>
      </c>
    </row>
    <row r="258" spans="1:12">
      <c r="A258" s="27">
        <v>4306</v>
      </c>
      <c r="B258" s="27" t="s">
        <v>7475</v>
      </c>
      <c r="E258" s="27">
        <v>-1</v>
      </c>
      <c r="F258" s="27">
        <v>-1</v>
      </c>
      <c r="H258" s="27">
        <v>61</v>
      </c>
      <c r="I258" s="27" t="str">
        <f>IF(H258="","",VLOOKUP(H258,'#状态名词'!$A$2:$C$99,2))</f>
        <v>team_ad</v>
      </c>
      <c r="J258" s="27" t="str">
        <f>IF(H258="","",VLOOKUP(H258,'#状态名词'!$A$2:$C$99,3))</f>
        <v>队伍AD</v>
      </c>
      <c r="K258" s="26" t="s">
        <v>647</v>
      </c>
    </row>
    <row r="259" spans="1:12">
      <c r="A259" s="27">
        <v>4307</v>
      </c>
      <c r="B259" s="27" t="s">
        <v>7476</v>
      </c>
      <c r="E259" s="27">
        <v>-1</v>
      </c>
      <c r="F259" s="27">
        <v>-1</v>
      </c>
      <c r="H259" s="27">
        <v>62</v>
      </c>
      <c r="I259" s="27" t="str">
        <f>IF(H259="","",VLOOKUP(H259,'#状态名词'!$A$2:$C$99,2))</f>
        <v>team_ap</v>
      </c>
      <c r="J259" s="27" t="str">
        <f>IF(H259="","",VLOOKUP(H259,'#状态名词'!$A$2:$C$99,3))</f>
        <v>队伍AP</v>
      </c>
      <c r="K259" s="26" t="s">
        <v>1160</v>
      </c>
    </row>
    <row r="260" spans="1:12">
      <c r="A260" s="27">
        <v>4401</v>
      </c>
      <c r="B260" s="27" t="s">
        <v>4163</v>
      </c>
      <c r="C260" s="27" t="s">
        <v>774</v>
      </c>
      <c r="E260" s="27">
        <v>1</v>
      </c>
      <c r="F260" s="27">
        <v>0</v>
      </c>
      <c r="H260" s="27">
        <v>39</v>
      </c>
      <c r="I260" s="27" t="str">
        <f>IF(H260="","",VLOOKUP(H260,'#状态名词'!$A$2:$C$99,2))</f>
        <v>action_heal</v>
      </c>
      <c r="J260" s="27" t="str">
        <f>IF(H260="","",VLOOKUP(H260,'#状态名词'!$A$2:$C$99,3))</f>
        <v>行动时治疗</v>
      </c>
      <c r="K260" s="26" t="s">
        <v>1161</v>
      </c>
    </row>
    <row r="261" spans="1:12">
      <c r="A261" s="27">
        <v>4402</v>
      </c>
      <c r="B261" s="27" t="s">
        <v>4163</v>
      </c>
      <c r="C261" s="27" t="s">
        <v>775</v>
      </c>
      <c r="E261" s="27">
        <v>-1</v>
      </c>
      <c r="F261" s="27">
        <v>0</v>
      </c>
      <c r="H261" s="27">
        <v>36</v>
      </c>
      <c r="I261" s="27" t="str">
        <f>IF(H261="","",VLOOKUP(H261,'#状态名词'!$A$2:$C$99,2))</f>
        <v>atk_damage</v>
      </c>
      <c r="J261" s="27" t="str">
        <f>IF(H261="","",VLOOKUP(H261,'#状态名词'!$A$2:$C$99,3))</f>
        <v>攻击附加伤害</v>
      </c>
      <c r="K261" s="26" t="s">
        <v>1162</v>
      </c>
      <c r="L261" s="27">
        <v>4402</v>
      </c>
    </row>
    <row r="262" spans="1:12">
      <c r="A262" s="27">
        <v>4403</v>
      </c>
      <c r="B262" s="27" t="s">
        <v>4168</v>
      </c>
      <c r="C262" s="27" t="s">
        <v>776</v>
      </c>
      <c r="E262" s="27">
        <v>-1</v>
      </c>
      <c r="F262" s="27">
        <v>3</v>
      </c>
      <c r="H262" s="27">
        <v>43</v>
      </c>
      <c r="I262" s="27" t="str">
        <f>IF(H262="","",VLOOKUP(H262,'#状态名词'!$A$2:$C$99,2))</f>
        <v>turn_damage</v>
      </c>
      <c r="J262" s="27" t="str">
        <f>IF(H262="","",VLOOKUP(H262,'#状态名词'!$A$2:$C$99,3))</f>
        <v>回合伤害</v>
      </c>
      <c r="K262" s="26" t="s">
        <v>1163</v>
      </c>
    </row>
    <row r="263" spans="1:12">
      <c r="B263" s="27" t="s">
        <v>84</v>
      </c>
      <c r="E263" s="27">
        <v>-1</v>
      </c>
      <c r="F263" s="27">
        <v>3</v>
      </c>
      <c r="H263" s="27">
        <v>37</v>
      </c>
      <c r="I263" s="27" t="str">
        <f>IF(H263="","",VLOOKUP(H263,'#状态名词'!$A$2:$C$99,2))</f>
        <v>action_hurt</v>
      </c>
      <c r="J263" s="27" t="str">
        <f>IF(H263="","",VLOOKUP(H263,'#状态名词'!$A$2:$C$99,3))</f>
        <v>行动时自身受到伤害</v>
      </c>
      <c r="K263" s="26" t="s">
        <v>1164</v>
      </c>
    </row>
    <row r="264" spans="1:12">
      <c r="B264" s="27" t="s">
        <v>84</v>
      </c>
      <c r="E264" s="27">
        <v>-1</v>
      </c>
      <c r="F264" s="27">
        <v>5</v>
      </c>
      <c r="H264" s="27">
        <v>14</v>
      </c>
      <c r="I264" s="27" t="str">
        <f>IF(H264="","",VLOOKUP(H264,'#状态名词'!$A$2:$C$99,2))</f>
        <v>arm_per</v>
      </c>
      <c r="J264" s="27" t="str">
        <f>IF(H264="","",VLOOKUP(H264,'#状态名词'!$A$2:$C$99,3))</f>
        <v>护甲百分比</v>
      </c>
      <c r="K264" s="26">
        <v>-1</v>
      </c>
    </row>
    <row r="265" spans="1:12">
      <c r="A265" s="27">
        <v>4404</v>
      </c>
      <c r="B265" s="27" t="s">
        <v>4170</v>
      </c>
      <c r="C265" s="27" t="s">
        <v>777</v>
      </c>
      <c r="E265" s="27">
        <v>-1</v>
      </c>
      <c r="F265" s="27">
        <v>-1</v>
      </c>
      <c r="H265" s="27">
        <v>18</v>
      </c>
      <c r="I265" s="27" t="str">
        <f>IF(H265="","",VLOOKUP(H265,'#状态名词'!$A$2:$C$99,2))</f>
        <v>api</v>
      </c>
      <c r="J265" s="27" t="str">
        <f>IF(H265="","",VLOOKUP(H265,'#状态名词'!$A$2:$C$99,3))</f>
        <v>法穿</v>
      </c>
      <c r="K265" s="26" t="s">
        <v>1165</v>
      </c>
    </row>
    <row r="266" spans="1:12">
      <c r="A266" s="27">
        <v>4501</v>
      </c>
      <c r="B266" s="27" t="s">
        <v>4172</v>
      </c>
      <c r="C266" s="21" t="s">
        <v>7576</v>
      </c>
      <c r="E266" s="27">
        <v>-1</v>
      </c>
      <c r="F266" s="27">
        <v>-1</v>
      </c>
      <c r="H266" s="27">
        <v>25</v>
      </c>
      <c r="I266" s="27" t="str">
        <f>IF(H266="","",VLOOKUP(H266,'#状态名词'!$A$2:$C$99,2))</f>
        <v>duochong</v>
      </c>
      <c r="J266" s="27" t="str">
        <f>IF(H266="","",VLOOKUP(H266,'#状态名词'!$A$2:$C$99,3))</f>
        <v>多重施法</v>
      </c>
      <c r="K266" s="26" t="s">
        <v>7582</v>
      </c>
    </row>
    <row r="267" spans="1:12" ht="40.5">
      <c r="A267" s="27">
        <v>4502</v>
      </c>
      <c r="B267" s="27" t="s">
        <v>4173</v>
      </c>
      <c r="C267" s="21" t="s">
        <v>7579</v>
      </c>
      <c r="E267" s="27">
        <v>-1</v>
      </c>
      <c r="F267" s="27">
        <v>0</v>
      </c>
      <c r="H267" s="27">
        <v>38</v>
      </c>
      <c r="I267" s="27" t="str">
        <f>IF(H267="","",VLOOKUP(H267,'#状态名词'!$A$2:$C$99,2))</f>
        <v>hurt_damage</v>
      </c>
      <c r="J267" s="27" t="str">
        <f>IF(H267="","",VLOOKUP(H267,'#状态名词'!$A$2:$C$99,3))</f>
        <v>被攻击造成伤害</v>
      </c>
      <c r="K267" s="26" t="s">
        <v>7799</v>
      </c>
    </row>
    <row r="268" spans="1:12">
      <c r="A268" s="27">
        <v>4503</v>
      </c>
      <c r="B268" s="27" t="s">
        <v>4174</v>
      </c>
      <c r="C268" s="21" t="s">
        <v>6720</v>
      </c>
      <c r="E268" s="27">
        <v>-1</v>
      </c>
      <c r="F268" s="27">
        <v>-1</v>
      </c>
      <c r="H268" s="27">
        <v>13</v>
      </c>
      <c r="I268" s="27" t="str">
        <f>IF(H268="","",VLOOKUP(H268,'#状态名词'!$A$2:$C$99,2))</f>
        <v>arm</v>
      </c>
      <c r="J268" s="27" t="str">
        <f>IF(H268="","",VLOOKUP(H268,'#状态名词'!$A$2:$C$99,3))</f>
        <v>ARM+</v>
      </c>
      <c r="K268" s="26" t="s">
        <v>1167</v>
      </c>
    </row>
    <row r="269" spans="1:12">
      <c r="B269" s="27" t="s">
        <v>84</v>
      </c>
      <c r="E269" s="27">
        <v>-1</v>
      </c>
      <c r="F269" s="27">
        <v>-1</v>
      </c>
      <c r="H269" s="27">
        <v>15</v>
      </c>
      <c r="I269" s="27" t="str">
        <f>IF(H269="","",VLOOKUP(H269,'#状态名词'!$A$2:$C$99,2))</f>
        <v>mr</v>
      </c>
      <c r="J269" s="27" t="str">
        <f>IF(H269="","",VLOOKUP(H269,'#状态名词'!$A$2:$C$99,3))</f>
        <v>MR+</v>
      </c>
      <c r="K269" s="26" t="s">
        <v>1167</v>
      </c>
    </row>
    <row r="270" spans="1:12">
      <c r="A270" s="27">
        <v>4504</v>
      </c>
      <c r="B270" s="27" t="s">
        <v>7364</v>
      </c>
      <c r="C270" s="21" t="s">
        <v>7186</v>
      </c>
      <c r="E270" s="27">
        <v>-1</v>
      </c>
      <c r="F270" s="27">
        <v>-1</v>
      </c>
      <c r="H270" s="27">
        <v>60</v>
      </c>
      <c r="I270" s="27" t="str">
        <f>IF(H270="","",VLOOKUP(H270,'#状态名词'!$A$2:$C$99,2))</f>
        <v>health</v>
      </c>
      <c r="J270" s="27" t="str">
        <f>IF(H270="","",VLOOKUP(H270,'#状态名词'!$A$2:$C$99,3))</f>
        <v>固定血量</v>
      </c>
      <c r="K270" s="26" t="s">
        <v>7187</v>
      </c>
    </row>
    <row r="271" spans="1:12">
      <c r="A271" s="27">
        <v>4505</v>
      </c>
      <c r="B271" s="27" t="s">
        <v>7578</v>
      </c>
      <c r="C271" s="21" t="s">
        <v>7580</v>
      </c>
      <c r="E271" s="27">
        <v>-1</v>
      </c>
      <c r="F271" s="27">
        <v>0</v>
      </c>
      <c r="H271" s="27">
        <v>1</v>
      </c>
      <c r="I271" s="27" t="str">
        <f>IF(H271="","",VLOOKUP(H271,'#状态名词'!$A$2:$C$99,2))</f>
        <v>skilldama</v>
      </c>
      <c r="J271" s="27" t="str">
        <f>IF(H271="","",VLOOKUP(H271,'#状态名词'!$A$2:$C$99,3))</f>
        <v>技能伤害和治疗效果提升B类</v>
      </c>
      <c r="K271" s="26" t="s">
        <v>7199</v>
      </c>
      <c r="L271" s="27">
        <v>4501</v>
      </c>
    </row>
    <row r="272" spans="1:12">
      <c r="A272" s="27">
        <v>4601</v>
      </c>
      <c r="B272" s="27" t="s">
        <v>611</v>
      </c>
      <c r="C272" s="27" t="s">
        <v>1168</v>
      </c>
      <c r="E272" s="27">
        <v>-1</v>
      </c>
      <c r="F272" s="27">
        <v>-1</v>
      </c>
      <c r="H272" s="27">
        <v>13</v>
      </c>
      <c r="I272" s="27" t="str">
        <f>IF(H272="","",VLOOKUP(H272,'#状态名词'!$A$2:$C$99,2))</f>
        <v>arm</v>
      </c>
      <c r="J272" s="27" t="str">
        <f>IF(H272="","",VLOOKUP(H272,'#状态名词'!$A$2:$C$99,3))</f>
        <v>ARM+</v>
      </c>
      <c r="K272" s="26" t="s">
        <v>1169</v>
      </c>
    </row>
    <row r="273" spans="1:12">
      <c r="B273" s="27" t="s">
        <v>84</v>
      </c>
      <c r="E273" s="27">
        <v>-1</v>
      </c>
      <c r="F273" s="27">
        <v>-1</v>
      </c>
      <c r="H273" s="27">
        <v>15</v>
      </c>
      <c r="I273" s="27" t="str">
        <f>IF(H273="","",VLOOKUP(H273,'#状态名词'!$A$2:$C$99,2))</f>
        <v>mr</v>
      </c>
      <c r="J273" s="27" t="str">
        <f>IF(H273="","",VLOOKUP(H273,'#状态名词'!$A$2:$C$99,3))</f>
        <v>MR+</v>
      </c>
      <c r="K273" s="26" t="s">
        <v>1170</v>
      </c>
    </row>
    <row r="274" spans="1:12">
      <c r="A274" s="27">
        <v>4602</v>
      </c>
      <c r="B274" s="27" t="s">
        <v>612</v>
      </c>
      <c r="C274" s="27" t="s">
        <v>751</v>
      </c>
      <c r="E274" s="27">
        <v>-1</v>
      </c>
      <c r="F274" s="27">
        <v>-1</v>
      </c>
      <c r="H274" s="27">
        <v>61</v>
      </c>
      <c r="I274" s="27" t="str">
        <f>IF(H274="","",VLOOKUP(H274,'#状态名词'!$A$2:$C$99,2))</f>
        <v>team_ad</v>
      </c>
      <c r="J274" s="27" t="str">
        <f>IF(H274="","",VLOOKUP(H274,'#状态名词'!$A$2:$C$99,3))</f>
        <v>队伍AD</v>
      </c>
      <c r="K274" s="26" t="s">
        <v>1171</v>
      </c>
    </row>
    <row r="275" spans="1:12">
      <c r="B275" s="27" t="s">
        <v>84</v>
      </c>
      <c r="E275" s="27">
        <v>-1</v>
      </c>
      <c r="F275" s="27">
        <v>-1</v>
      </c>
      <c r="H275" s="27">
        <v>62</v>
      </c>
      <c r="I275" s="27" t="str">
        <f>IF(H275="","",VLOOKUP(H275,'#状态名词'!$A$2:$C$99,2))</f>
        <v>team_ap</v>
      </c>
      <c r="J275" s="27" t="str">
        <f>IF(H275="","",VLOOKUP(H275,'#状态名词'!$A$2:$C$99,3))</f>
        <v>队伍AP</v>
      </c>
      <c r="K275" s="26" t="s">
        <v>1171</v>
      </c>
    </row>
    <row r="276" spans="1:12">
      <c r="A276" s="27">
        <v>4603</v>
      </c>
      <c r="B276" s="27" t="s">
        <v>80</v>
      </c>
      <c r="C276" s="27" t="s">
        <v>2043</v>
      </c>
      <c r="E276" s="27">
        <v>-1</v>
      </c>
      <c r="F276" s="27">
        <v>-1</v>
      </c>
      <c r="H276" s="27">
        <v>54</v>
      </c>
      <c r="I276" s="27" t="str">
        <f>IF(H276="","",VLOOKUP(H276,'#状态名词'!$A$2:$C$99,2))</f>
        <v>spi</v>
      </c>
      <c r="J276" s="27" t="str">
        <f>IF(H276="","",VLOOKUP(H276,'#状态名词'!$A$2:$C$99,3))</f>
        <v>精神</v>
      </c>
      <c r="K276" s="26" t="s">
        <v>1172</v>
      </c>
    </row>
    <row r="277" spans="1:12">
      <c r="A277" s="27">
        <v>4604</v>
      </c>
      <c r="B277" s="27" t="s">
        <v>613</v>
      </c>
      <c r="C277" s="27" t="s">
        <v>1173</v>
      </c>
      <c r="E277" s="27">
        <v>-1</v>
      </c>
      <c r="F277" s="27">
        <v>-1</v>
      </c>
      <c r="H277" s="27">
        <v>28</v>
      </c>
      <c r="I277" s="27" t="str">
        <f>IF(H277="","",VLOOKUP(H277,'#状态名词'!$A$2:$C$99,2))</f>
        <v>lightup</v>
      </c>
      <c r="J277" s="27" t="str">
        <f>IF(H277="","",VLOOKUP(H277,'#状态名词'!$A$2:$C$99,3))</f>
        <v>光属性强化</v>
      </c>
      <c r="K277" s="26" t="s">
        <v>602</v>
      </c>
    </row>
    <row r="278" spans="1:12">
      <c r="A278" s="27">
        <v>4701</v>
      </c>
      <c r="B278" s="27" t="s">
        <v>615</v>
      </c>
      <c r="C278" s="27" t="s">
        <v>1174</v>
      </c>
      <c r="E278" s="27">
        <v>-1</v>
      </c>
      <c r="F278" s="27">
        <v>-1</v>
      </c>
      <c r="H278" s="27">
        <v>1</v>
      </c>
      <c r="I278" s="27" t="str">
        <f>IF(H278="","",VLOOKUP(H278,'#状态名词'!$A$2:$C$99,2))</f>
        <v>skilldama</v>
      </c>
      <c r="J278" s="27" t="str">
        <f>IF(H278="","",VLOOKUP(H278,'#状态名词'!$A$2:$C$99,3))</f>
        <v>技能伤害和治疗效果提升B类</v>
      </c>
      <c r="K278" s="26" t="s">
        <v>745</v>
      </c>
      <c r="L278" s="27">
        <v>4701</v>
      </c>
    </row>
    <row r="279" spans="1:12">
      <c r="A279" s="27">
        <v>4702</v>
      </c>
      <c r="B279" s="27" t="s">
        <v>616</v>
      </c>
      <c r="C279" s="27" t="s">
        <v>1175</v>
      </c>
      <c r="E279" s="27">
        <v>-1</v>
      </c>
      <c r="F279" s="27">
        <v>-1</v>
      </c>
      <c r="H279" s="27">
        <v>21</v>
      </c>
      <c r="I279" s="27" t="str">
        <f>IF(H279="","",VLOOKUP(H279,'#状态名词'!$A$2:$C$99,2))</f>
        <v>speed</v>
      </c>
      <c r="J279" s="27" t="str">
        <f>IF(H279="","",VLOOKUP(H279,'#状态名词'!$A$2:$C$99,3))</f>
        <v>速度+</v>
      </c>
      <c r="K279" s="26" t="s">
        <v>1176</v>
      </c>
    </row>
    <row r="280" spans="1:12">
      <c r="A280" s="27">
        <v>4703</v>
      </c>
      <c r="B280" s="27" t="s">
        <v>617</v>
      </c>
      <c r="C280" s="27" t="s">
        <v>1177</v>
      </c>
      <c r="E280" s="27">
        <v>-1</v>
      </c>
      <c r="F280" s="27">
        <v>-1</v>
      </c>
      <c r="H280" s="27">
        <v>13</v>
      </c>
      <c r="I280" s="27" t="str">
        <f>IF(H280="","",VLOOKUP(H280,'#状态名词'!$A$2:$C$99,2))</f>
        <v>arm</v>
      </c>
      <c r="J280" s="27" t="str">
        <f>IF(H280="","",VLOOKUP(H280,'#状态名词'!$A$2:$C$99,3))</f>
        <v>ARM+</v>
      </c>
      <c r="K280" s="26" t="s">
        <v>1178</v>
      </c>
    </row>
    <row r="281" spans="1:12">
      <c r="B281" s="27" t="s">
        <v>84</v>
      </c>
      <c r="H281" s="27">
        <v>15</v>
      </c>
      <c r="I281" s="27" t="str">
        <f>IF(H281="","",VLOOKUP(H281,'#状态名词'!$A$2:$C$99,2))</f>
        <v>mr</v>
      </c>
      <c r="J281" s="27" t="str">
        <f>IF(H281="","",VLOOKUP(H281,'#状态名词'!$A$2:$C$99,3))</f>
        <v>MR+</v>
      </c>
      <c r="K281" s="26" t="s">
        <v>812</v>
      </c>
    </row>
    <row r="282" spans="1:12">
      <c r="A282" s="27">
        <v>4704</v>
      </c>
      <c r="B282" s="27" t="s">
        <v>618</v>
      </c>
      <c r="C282" s="27" t="s">
        <v>2044</v>
      </c>
      <c r="E282" s="27">
        <v>-1</v>
      </c>
      <c r="F282" s="27">
        <v>1</v>
      </c>
      <c r="H282" s="27">
        <v>54</v>
      </c>
      <c r="I282" s="27" t="str">
        <f>IF(H282="","",VLOOKUP(H282,'#状态名词'!$A$2:$C$99,2))</f>
        <v>spi</v>
      </c>
      <c r="J282" s="27" t="str">
        <f>IF(H282="","",VLOOKUP(H282,'#状态名词'!$A$2:$C$99,3))</f>
        <v>精神</v>
      </c>
      <c r="K282" s="26" t="s">
        <v>1156</v>
      </c>
    </row>
    <row r="283" spans="1:12">
      <c r="A283" s="27">
        <v>4801</v>
      </c>
      <c r="B283" s="27" t="s">
        <v>4178</v>
      </c>
      <c r="C283" s="27" t="s">
        <v>1179</v>
      </c>
      <c r="E283" s="27">
        <v>-1</v>
      </c>
      <c r="F283" s="27">
        <v>-1</v>
      </c>
      <c r="H283" s="27">
        <v>18</v>
      </c>
      <c r="I283" s="27" t="str">
        <f>IF(H283="","",VLOOKUP(H283,'#状态名词'!$A$2:$C$99,2))</f>
        <v>api</v>
      </c>
      <c r="J283" s="27" t="str">
        <f>IF(H283="","",VLOOKUP(H283,'#状态名词'!$A$2:$C$99,3))</f>
        <v>法穿</v>
      </c>
      <c r="K283" s="26" t="s">
        <v>1180</v>
      </c>
    </row>
    <row r="284" spans="1:12">
      <c r="A284" s="27">
        <v>4802</v>
      </c>
      <c r="B284" s="27" t="s">
        <v>4182</v>
      </c>
      <c r="C284" s="27" t="s">
        <v>799</v>
      </c>
      <c r="E284" s="27">
        <v>-1</v>
      </c>
      <c r="F284" s="27">
        <v>-1</v>
      </c>
      <c r="H284" s="27">
        <v>18</v>
      </c>
      <c r="I284" s="27" t="str">
        <f>IF(H284="","",VLOOKUP(H284,'#状态名词'!$A$2:$C$99,2))</f>
        <v>api</v>
      </c>
      <c r="J284" s="27" t="str">
        <f>IF(H284="","",VLOOKUP(H284,'#状态名词'!$A$2:$C$99,3))</f>
        <v>法穿</v>
      </c>
      <c r="K284" s="26" t="s">
        <v>1181</v>
      </c>
    </row>
    <row r="285" spans="1:12">
      <c r="B285" s="27" t="s">
        <v>84</v>
      </c>
      <c r="E285" s="27">
        <v>-1</v>
      </c>
      <c r="F285" s="27">
        <v>-1</v>
      </c>
      <c r="H285" s="27">
        <v>25</v>
      </c>
      <c r="I285" s="27" t="str">
        <f>IF(H285="","",VLOOKUP(H285,'#状态名词'!$A$2:$C$99,2))</f>
        <v>duochong</v>
      </c>
      <c r="J285" s="27" t="str">
        <f>IF(H285="","",VLOOKUP(H285,'#状态名词'!$A$2:$C$99,3))</f>
        <v>多重施法</v>
      </c>
      <c r="K285" s="26" t="s">
        <v>1182</v>
      </c>
    </row>
    <row r="286" spans="1:12">
      <c r="A286" s="27">
        <v>4803</v>
      </c>
      <c r="B286" s="27" t="s">
        <v>4183</v>
      </c>
      <c r="C286" s="27" t="s">
        <v>1628</v>
      </c>
      <c r="E286" s="27">
        <v>3</v>
      </c>
      <c r="F286" s="27">
        <v>-1</v>
      </c>
      <c r="H286" s="27">
        <v>25</v>
      </c>
      <c r="I286" s="27" t="str">
        <f>IF(H286="","",VLOOKUP(H286,'#状态名词'!$A$2:$C$99,2))</f>
        <v>duochong</v>
      </c>
      <c r="J286" s="27" t="str">
        <f>IF(H286="","",VLOOKUP(H286,'#状态名词'!$A$2:$C$99,3))</f>
        <v>多重施法</v>
      </c>
      <c r="K286" s="26" t="s">
        <v>1183</v>
      </c>
    </row>
    <row r="287" spans="1:12">
      <c r="B287" s="27" t="s">
        <v>84</v>
      </c>
      <c r="E287" s="27">
        <v>1</v>
      </c>
      <c r="F287" s="27">
        <v>0</v>
      </c>
      <c r="H287" s="27">
        <v>1</v>
      </c>
      <c r="I287" s="27" t="str">
        <f>IF(H287="","",VLOOKUP(H287,'#状态名词'!$A$2:$C$99,2))</f>
        <v>skilldama</v>
      </c>
      <c r="J287" s="27" t="str">
        <f>IF(H287="","",VLOOKUP(H287,'#状态名词'!$A$2:$C$99,3))</f>
        <v>技能伤害和治疗效果提升B类</v>
      </c>
      <c r="K287" s="26" t="s">
        <v>1184</v>
      </c>
      <c r="L287" s="27">
        <v>4802</v>
      </c>
    </row>
    <row r="288" spans="1:12">
      <c r="A288" s="27">
        <v>4804</v>
      </c>
      <c r="B288" s="27" t="s">
        <v>4184</v>
      </c>
      <c r="C288" s="27" t="s">
        <v>1185</v>
      </c>
      <c r="E288" s="27">
        <v>1</v>
      </c>
      <c r="F288" s="27">
        <v>0</v>
      </c>
      <c r="H288" s="27">
        <v>61</v>
      </c>
      <c r="I288" s="27" t="str">
        <f>IF(H288="","",VLOOKUP(H288,'#状态名词'!$A$2:$C$99,2))</f>
        <v>team_ad</v>
      </c>
      <c r="J288" s="27" t="str">
        <f>IF(H288="","",VLOOKUP(H288,'#状态名词'!$A$2:$C$99,3))</f>
        <v>队伍AD</v>
      </c>
      <c r="K288" s="26" t="s">
        <v>1186</v>
      </c>
    </row>
    <row r="289" spans="1:12">
      <c r="B289" s="27" t="s">
        <v>84</v>
      </c>
      <c r="E289" s="27">
        <v>1</v>
      </c>
      <c r="F289" s="27">
        <v>0</v>
      </c>
      <c r="H289" s="27">
        <v>62</v>
      </c>
      <c r="I289" s="27" t="str">
        <f>IF(H289="","",VLOOKUP(H289,'#状态名词'!$A$2:$C$99,2))</f>
        <v>team_ap</v>
      </c>
      <c r="J289" s="27" t="str">
        <f>IF(H289="","",VLOOKUP(H289,'#状态名词'!$A$2:$C$99,3))</f>
        <v>队伍AP</v>
      </c>
      <c r="K289" s="26" t="s">
        <v>1186</v>
      </c>
    </row>
    <row r="290" spans="1:12">
      <c r="A290" s="27">
        <v>4901</v>
      </c>
      <c r="B290" s="27" t="s">
        <v>4187</v>
      </c>
      <c r="C290" s="27" t="s">
        <v>778</v>
      </c>
      <c r="E290" s="27">
        <v>-1</v>
      </c>
      <c r="F290" s="27">
        <v>-1</v>
      </c>
      <c r="H290" s="27">
        <v>9</v>
      </c>
      <c r="I290" s="27" t="str">
        <f>IF(H290="","",VLOOKUP(H290,'#状态名词'!$A$2:$C$99,2))</f>
        <v>ad</v>
      </c>
      <c r="J290" s="27" t="str">
        <f>IF(H290="","",VLOOKUP(H290,'#状态名词'!$A$2:$C$99,3))</f>
        <v>AD+</v>
      </c>
      <c r="K290" s="26" t="s">
        <v>1166</v>
      </c>
    </row>
    <row r="291" spans="1:12">
      <c r="B291" s="27" t="s">
        <v>84</v>
      </c>
      <c r="E291" s="27">
        <v>-1</v>
      </c>
      <c r="F291" s="27">
        <v>-1</v>
      </c>
      <c r="H291" s="27">
        <v>21</v>
      </c>
      <c r="I291" s="27" t="str">
        <f>IF(H291="","",VLOOKUP(H291,'#状态名词'!$A$2:$C$99,2))</f>
        <v>speed</v>
      </c>
      <c r="J291" s="27" t="str">
        <f>IF(H291="","",VLOOKUP(H291,'#状态名词'!$A$2:$C$99,3))</f>
        <v>速度+</v>
      </c>
      <c r="K291" s="26" t="s">
        <v>1176</v>
      </c>
    </row>
    <row r="292" spans="1:12">
      <c r="A292" s="27">
        <v>4902</v>
      </c>
      <c r="B292" s="27" t="s">
        <v>4188</v>
      </c>
      <c r="C292" s="27" t="s">
        <v>779</v>
      </c>
      <c r="E292" s="27">
        <v>-1</v>
      </c>
      <c r="F292" s="27">
        <v>-1</v>
      </c>
      <c r="H292" s="27">
        <v>19</v>
      </c>
      <c r="I292" s="27" t="str">
        <f>IF(H292="","",VLOOKUP(H292,'#状态名词'!$A$2:$C$99,2))</f>
        <v>rating</v>
      </c>
      <c r="J292" s="27" t="str">
        <f>IF(H292="","",VLOOKUP(H292,'#状态名词'!$A$2:$C$99,3))</f>
        <v>暴击+</v>
      </c>
      <c r="K292" s="26" t="s">
        <v>1167</v>
      </c>
    </row>
    <row r="293" spans="1:12">
      <c r="B293" s="27" t="s">
        <v>84</v>
      </c>
      <c r="E293" s="27">
        <v>-1</v>
      </c>
      <c r="F293" s="27">
        <v>-1</v>
      </c>
      <c r="H293" s="27">
        <v>20</v>
      </c>
      <c r="I293" s="27" t="str">
        <f>IF(H293="","",VLOOKUP(H293,'#状态名词'!$A$2:$C$99,2))</f>
        <v>ratingdamage</v>
      </c>
      <c r="J293" s="27" t="str">
        <f>IF(H293="","",VLOOKUP(H293,'#状态名词'!$A$2:$C$99,3))</f>
        <v>暴伤+</v>
      </c>
      <c r="K293" s="26" t="s">
        <v>1020</v>
      </c>
    </row>
    <row r="294" spans="1:12">
      <c r="A294" s="27">
        <v>4903</v>
      </c>
      <c r="B294" s="27" t="s">
        <v>4189</v>
      </c>
      <c r="C294" s="27" t="s">
        <v>1187</v>
      </c>
      <c r="E294" s="27">
        <v>-1</v>
      </c>
      <c r="F294" s="27">
        <v>-1</v>
      </c>
      <c r="H294" s="27">
        <v>13</v>
      </c>
      <c r="I294" s="27" t="str">
        <f>IF(H294="","",VLOOKUP(H294,'#状态名词'!$A$2:$C$99,2))</f>
        <v>arm</v>
      </c>
      <c r="J294" s="27" t="str">
        <f>IF(H294="","",VLOOKUP(H294,'#状态名词'!$A$2:$C$99,3))</f>
        <v>ARM+</v>
      </c>
      <c r="K294" s="26" t="s">
        <v>1143</v>
      </c>
    </row>
    <row r="295" spans="1:12">
      <c r="B295" s="27" t="s">
        <v>84</v>
      </c>
      <c r="E295" s="27">
        <v>-1</v>
      </c>
      <c r="F295" s="27">
        <v>-1</v>
      </c>
      <c r="H295" s="27">
        <v>15</v>
      </c>
      <c r="I295" s="27" t="str">
        <f>IF(H295="","",VLOOKUP(H295,'#状态名词'!$A$2:$C$99,2))</f>
        <v>mr</v>
      </c>
      <c r="J295" s="27" t="str">
        <f>IF(H295="","",VLOOKUP(H295,'#状态名词'!$A$2:$C$99,3))</f>
        <v>MR+</v>
      </c>
      <c r="K295" s="26" t="s">
        <v>1143</v>
      </c>
    </row>
    <row r="296" spans="1:12">
      <c r="B296" s="27" t="s">
        <v>84</v>
      </c>
      <c r="E296" s="27">
        <v>-1</v>
      </c>
      <c r="F296" s="27">
        <v>-1</v>
      </c>
      <c r="H296" s="27">
        <v>33</v>
      </c>
      <c r="I296" s="27" t="str">
        <f>IF(H296="","",VLOOKUP(H296,'#状态名词'!$A$2:$C$99,2))</f>
        <v>relight</v>
      </c>
      <c r="J296" s="27" t="str">
        <f>IF(H296="","",VLOOKUP(H296,'#状态名词'!$A$2:$C$99,3))</f>
        <v>光属性抗性</v>
      </c>
      <c r="K296" s="26" t="s">
        <v>1188</v>
      </c>
    </row>
    <row r="297" spans="1:12">
      <c r="A297" s="27">
        <v>5001</v>
      </c>
      <c r="B297" s="27" t="s">
        <v>4194</v>
      </c>
      <c r="C297" s="27" t="s">
        <v>1189</v>
      </c>
      <c r="E297" s="27">
        <v>1</v>
      </c>
      <c r="F297" s="27">
        <v>-1</v>
      </c>
      <c r="H297" s="27">
        <v>1</v>
      </c>
      <c r="I297" s="27" t="str">
        <f>IF(H297="","",VLOOKUP(H297,'#状态名词'!$A$2:$C$99,2))</f>
        <v>skilldama</v>
      </c>
      <c r="J297" s="27" t="str">
        <f>IF(H297="","",VLOOKUP(H297,'#状态名词'!$A$2:$C$99,3))</f>
        <v>技能伤害和治疗效果提升B类</v>
      </c>
      <c r="K297" s="26" t="s">
        <v>1190</v>
      </c>
      <c r="L297" s="27">
        <v>5001</v>
      </c>
    </row>
    <row r="298" spans="1:12">
      <c r="A298" s="27">
        <v>5002</v>
      </c>
      <c r="B298" s="27" t="s">
        <v>4195</v>
      </c>
      <c r="C298" s="27" t="s">
        <v>1191</v>
      </c>
      <c r="E298" s="27">
        <v>-1</v>
      </c>
      <c r="F298" s="27">
        <v>-1</v>
      </c>
      <c r="H298" s="27">
        <v>53</v>
      </c>
      <c r="I298" s="27" t="str">
        <f>IF(H298="","",VLOOKUP(H298,'#状态名词'!$A$2:$C$99,2))</f>
        <v>manaupper</v>
      </c>
      <c r="J298" s="27" t="str">
        <f>IF(H298="","",VLOOKUP(H298,'#状态名词'!$A$2:$C$99,3))</f>
        <v>法力上限</v>
      </c>
      <c r="K298" s="26" t="s">
        <v>785</v>
      </c>
    </row>
    <row r="299" spans="1:12">
      <c r="A299" s="27">
        <v>5003</v>
      </c>
      <c r="B299" s="27" t="s">
        <v>4196</v>
      </c>
      <c r="C299" s="27" t="s">
        <v>1192</v>
      </c>
      <c r="E299" s="27">
        <v>-1</v>
      </c>
      <c r="F299" s="27">
        <v>-1</v>
      </c>
      <c r="H299" s="27">
        <v>18</v>
      </c>
      <c r="I299" s="27" t="str">
        <f>IF(H299="","",VLOOKUP(H299,'#状态名词'!$A$2:$C$99,2))</f>
        <v>api</v>
      </c>
      <c r="J299" s="27" t="str">
        <f>IF(H299="","",VLOOKUP(H299,'#状态名词'!$A$2:$C$99,3))</f>
        <v>法穿</v>
      </c>
      <c r="K299" s="26" t="s">
        <v>1193</v>
      </c>
    </row>
    <row r="300" spans="1:12">
      <c r="B300" s="27" t="s">
        <v>84</v>
      </c>
      <c r="E300" s="27">
        <v>-1</v>
      </c>
      <c r="F300" s="27">
        <v>-1</v>
      </c>
      <c r="H300" s="27">
        <v>21</v>
      </c>
      <c r="I300" s="27" t="str">
        <f>IF(H300="","",VLOOKUP(H300,'#状态名词'!$A$2:$C$99,2))</f>
        <v>speed</v>
      </c>
      <c r="J300" s="27" t="str">
        <f>IF(H300="","",VLOOKUP(H300,'#状态名词'!$A$2:$C$99,3))</f>
        <v>速度+</v>
      </c>
      <c r="K300" s="26" t="s">
        <v>1194</v>
      </c>
    </row>
    <row r="301" spans="1:12">
      <c r="A301" s="27">
        <v>5004</v>
      </c>
      <c r="B301" s="27" t="s">
        <v>4199</v>
      </c>
      <c r="C301" s="27" t="s">
        <v>2112</v>
      </c>
      <c r="E301" s="27">
        <v>-1</v>
      </c>
      <c r="F301" s="27">
        <v>-1</v>
      </c>
      <c r="H301" s="27">
        <v>67</v>
      </c>
      <c r="I301" s="27" t="str">
        <f>IF(H301="","",VLOOKUP(H301,'#状态名词'!$A$2:$C$99,2))</f>
        <v>inte</v>
      </c>
      <c r="J301" s="27" t="str">
        <f>IF(H301="","",VLOOKUP(H301,'#状态名词'!$A$2:$C$99,3))</f>
        <v>智力</v>
      </c>
      <c r="K301" s="26" t="s">
        <v>1153</v>
      </c>
    </row>
    <row r="302" spans="1:12">
      <c r="A302" s="27">
        <v>5102</v>
      </c>
      <c r="B302" s="27" t="s">
        <v>4201</v>
      </c>
      <c r="C302" s="20" t="s">
        <v>7189</v>
      </c>
      <c r="E302" s="27">
        <v>1</v>
      </c>
      <c r="F302" s="27">
        <v>-1</v>
      </c>
      <c r="H302" s="27">
        <v>18</v>
      </c>
      <c r="I302" s="27" t="str">
        <f>IF(H302="","",VLOOKUP(H302,'#状态名词'!$A$2:$C$99,2))</f>
        <v>api</v>
      </c>
      <c r="J302" s="27" t="str">
        <f>IF(H302="","",VLOOKUP(H302,'#状态名词'!$A$2:$C$99,3))</f>
        <v>法穿</v>
      </c>
      <c r="K302" s="26" t="s">
        <v>7190</v>
      </c>
      <c r="L302" s="27">
        <v>5101</v>
      </c>
    </row>
    <row r="303" spans="1:12">
      <c r="B303" s="27" t="s">
        <v>84</v>
      </c>
      <c r="C303" s="35"/>
      <c r="E303" s="27">
        <v>1</v>
      </c>
      <c r="F303" s="27">
        <v>-1</v>
      </c>
      <c r="H303" s="27">
        <v>20</v>
      </c>
      <c r="I303" s="27" t="str">
        <f>IF(H303="","",VLOOKUP(H303,'#状态名词'!$A$2:$C$99,2))</f>
        <v>ratingdamage</v>
      </c>
      <c r="J303" s="27" t="str">
        <f>IF(H303="","",VLOOKUP(H303,'#状态名词'!$A$2:$C$99,3))</f>
        <v>暴伤+</v>
      </c>
      <c r="K303" s="26" t="s">
        <v>7191</v>
      </c>
      <c r="L303" s="27">
        <v>5101</v>
      </c>
    </row>
    <row r="304" spans="1:12">
      <c r="A304" s="27">
        <v>5103</v>
      </c>
      <c r="B304" s="27" t="s">
        <v>4202</v>
      </c>
      <c r="C304" s="21" t="s">
        <v>8058</v>
      </c>
      <c r="E304" s="27">
        <v>-1</v>
      </c>
      <c r="F304" s="27">
        <v>-1</v>
      </c>
      <c r="H304" s="27">
        <v>24</v>
      </c>
      <c r="I304" s="27" t="str">
        <f>IF(H304="","",VLOOKUP(H304,'#状态名词'!$A$2:$C$99,2))</f>
        <v>heal</v>
      </c>
      <c r="J304" s="27" t="str">
        <f>IF(H304="","",VLOOKUP(H304,'#状态名词'!$A$2:$C$99,3))</f>
        <v>治疗效果+</v>
      </c>
      <c r="K304" s="26" t="s">
        <v>7195</v>
      </c>
    </row>
    <row r="305" spans="1:11">
      <c r="A305" s="27">
        <v>5105</v>
      </c>
      <c r="B305" s="27" t="s">
        <v>4203</v>
      </c>
      <c r="C305" s="20" t="s">
        <v>7188</v>
      </c>
      <c r="E305" s="27">
        <v>-1</v>
      </c>
      <c r="F305" s="27">
        <v>-1</v>
      </c>
      <c r="H305" s="27">
        <v>29</v>
      </c>
      <c r="I305" s="27" t="str">
        <f>IF(H305="","",VLOOKUP(H305,'#状态名词'!$A$2:$C$99,2))</f>
        <v>darkup</v>
      </c>
      <c r="J305" s="27" t="str">
        <f>IF(H305="","",VLOOKUP(H305,'#状态名词'!$A$2:$C$99,3))</f>
        <v>暗属性强化</v>
      </c>
      <c r="K305" s="26" t="s">
        <v>7201</v>
      </c>
    </row>
    <row r="306" spans="1:11">
      <c r="B306" s="27" t="s">
        <v>84</v>
      </c>
      <c r="C306" s="35"/>
      <c r="H306" s="27">
        <v>33</v>
      </c>
      <c r="I306" s="27" t="str">
        <f>IF(H306="","",VLOOKUP(H306,'#状态名词'!$A$2:$C$99,2))</f>
        <v>relight</v>
      </c>
      <c r="J306" s="27" t="str">
        <f>IF(H306="","",VLOOKUP(H306,'#状态名词'!$A$2:$C$99,3))</f>
        <v>光属性抗性</v>
      </c>
      <c r="K306" s="26" t="s">
        <v>1262</v>
      </c>
    </row>
    <row r="307" spans="1:11">
      <c r="A307" s="27">
        <v>5107</v>
      </c>
      <c r="B307" s="27" t="s">
        <v>4204</v>
      </c>
      <c r="C307" s="20" t="s">
        <v>6731</v>
      </c>
      <c r="E307" s="27">
        <v>-1</v>
      </c>
      <c r="F307" s="27">
        <v>-1</v>
      </c>
      <c r="H307" s="27">
        <v>62</v>
      </c>
      <c r="I307" s="27" t="str">
        <f>IF(H307="","",VLOOKUP(H307,'#状态名词'!$A$2:$C$99,2))</f>
        <v>team_ap</v>
      </c>
      <c r="J307" s="27" t="str">
        <f>IF(H307="","",VLOOKUP(H307,'#状态名词'!$A$2:$C$99,3))</f>
        <v>队伍AP</v>
      </c>
      <c r="K307" s="26" t="s">
        <v>1196</v>
      </c>
    </row>
    <row r="308" spans="1:11">
      <c r="B308" s="27" t="s">
        <v>84</v>
      </c>
      <c r="C308" s="35"/>
      <c r="E308" s="27">
        <v>-1</v>
      </c>
      <c r="F308" s="27">
        <v>-1</v>
      </c>
      <c r="H308" s="27">
        <v>21</v>
      </c>
      <c r="I308" s="27" t="str">
        <f>IF(H308="","",VLOOKUP(H308,'#状态名词'!$A$2:$C$99,2))</f>
        <v>speed</v>
      </c>
      <c r="J308" s="27" t="str">
        <f>IF(H308="","",VLOOKUP(H308,'#状态名词'!$A$2:$C$99,3))</f>
        <v>速度+</v>
      </c>
      <c r="K308" s="26" t="s">
        <v>1197</v>
      </c>
    </row>
    <row r="309" spans="1:11" ht="27">
      <c r="A309" s="27">
        <v>5201</v>
      </c>
      <c r="B309" s="27" t="s">
        <v>4205</v>
      </c>
      <c r="C309" s="21" t="s">
        <v>7222</v>
      </c>
      <c r="E309" s="27">
        <v>1</v>
      </c>
      <c r="F309" s="27">
        <v>1</v>
      </c>
      <c r="H309" s="27">
        <v>30</v>
      </c>
      <c r="I309" s="27" t="str">
        <f>IF(H309="","",VLOOKUP(H309,'#状态名词'!$A$2:$C$99,2))</f>
        <v>elementup</v>
      </c>
      <c r="J309" s="27" t="str">
        <f>IF(H309="","",VLOOKUP(H309,'#状态名词'!$A$2:$C$99,3))</f>
        <v>全属性强化</v>
      </c>
      <c r="K309" s="26" t="s">
        <v>652</v>
      </c>
    </row>
    <row r="310" spans="1:11">
      <c r="B310" s="27" t="s">
        <v>84</v>
      </c>
      <c r="C310" s="35"/>
      <c r="H310" s="27">
        <v>35</v>
      </c>
      <c r="I310" s="27" t="str">
        <f>IF(H310="","",VLOOKUP(H310,'#状态名词'!$A$2:$C$99,2))</f>
        <v>reelement</v>
      </c>
      <c r="J310" s="27" t="str">
        <f>IF(H310="","",VLOOKUP(H310,'#状态名词'!$A$2:$C$99,3))</f>
        <v>全属性抗性</v>
      </c>
      <c r="K310" s="26" t="s">
        <v>7221</v>
      </c>
    </row>
    <row r="311" spans="1:11">
      <c r="A311" s="27">
        <v>5202</v>
      </c>
      <c r="B311" s="27" t="s">
        <v>619</v>
      </c>
      <c r="C311" s="27" t="s">
        <v>7203</v>
      </c>
      <c r="E311" s="27">
        <v>1</v>
      </c>
      <c r="F311" s="27">
        <v>-1</v>
      </c>
      <c r="H311" s="27">
        <v>54</v>
      </c>
      <c r="I311" s="27" t="str">
        <f>IF(H311="","",VLOOKUP(H311,'#状态名词'!$A$2:$C$99,2))</f>
        <v>spi</v>
      </c>
      <c r="J311" s="27" t="str">
        <f>IF(H311="","",VLOOKUP(H311,'#状态名词'!$A$2:$C$99,3))</f>
        <v>精神</v>
      </c>
      <c r="K311" s="26" t="s">
        <v>7202</v>
      </c>
    </row>
    <row r="312" spans="1:11">
      <c r="B312" s="27" t="s">
        <v>84</v>
      </c>
      <c r="H312" s="27">
        <v>58</v>
      </c>
      <c r="I312" s="27" t="str">
        <f>IF(H312="","",VLOOKUP(H312,'#状态名词'!$A$2:$C$99,2))</f>
        <v>vit</v>
      </c>
      <c r="J312" s="27" t="str">
        <f>IF(H312="","",VLOOKUP(H312,'#状态名词'!$A$2:$C$99,3))</f>
        <v>体力</v>
      </c>
      <c r="K312" s="26" t="s">
        <v>7202</v>
      </c>
    </row>
    <row r="313" spans="1:11">
      <c r="A313" s="27">
        <v>5203</v>
      </c>
      <c r="B313" s="27" t="s">
        <v>620</v>
      </c>
      <c r="C313" s="27" t="s">
        <v>1198</v>
      </c>
      <c r="E313" s="27">
        <v>-1</v>
      </c>
      <c r="F313" s="27">
        <v>-1</v>
      </c>
      <c r="H313" s="27">
        <v>26</v>
      </c>
      <c r="I313" s="27" t="str">
        <f>IF(H313="","",VLOOKUP(H313,'#状态名词'!$A$2:$C$99,2))</f>
        <v>fireup</v>
      </c>
      <c r="J313" s="27" t="str">
        <f>IF(H313="","",VLOOKUP(H313,'#状态名词'!$A$2:$C$99,3))</f>
        <v>火属性强化</v>
      </c>
      <c r="K313" s="26" t="s">
        <v>785</v>
      </c>
    </row>
    <row r="314" spans="1:11" ht="27">
      <c r="A314" s="27">
        <v>5205</v>
      </c>
      <c r="B314" s="27" t="s">
        <v>622</v>
      </c>
      <c r="C314" s="21" t="s">
        <v>8013</v>
      </c>
      <c r="E314" s="27">
        <v>-1</v>
      </c>
      <c r="F314" s="27">
        <v>0</v>
      </c>
      <c r="H314" s="27">
        <v>38</v>
      </c>
      <c r="I314" s="27" t="str">
        <f>IF(H314="","",VLOOKUP(H314,'#状态名词'!$A$2:$C$99,2))</f>
        <v>hurt_damage</v>
      </c>
      <c r="J314" s="27" t="str">
        <f>IF(H314="","",VLOOKUP(H314,'#状态名词'!$A$2:$C$99,3))</f>
        <v>被攻击造成伤害</v>
      </c>
      <c r="K314" s="26" t="s">
        <v>8014</v>
      </c>
    </row>
    <row r="315" spans="1:11">
      <c r="A315" s="27">
        <v>5301</v>
      </c>
      <c r="B315" s="27" t="s">
        <v>623</v>
      </c>
      <c r="C315" s="27" t="s">
        <v>1199</v>
      </c>
      <c r="E315" s="27">
        <v>-1</v>
      </c>
      <c r="F315" s="27">
        <v>-1</v>
      </c>
      <c r="H315" s="27">
        <v>24</v>
      </c>
      <c r="I315" s="27" t="str">
        <f>IF(H315="","",VLOOKUP(H315,'#状态名词'!$A$2:$C$99,2))</f>
        <v>heal</v>
      </c>
      <c r="J315" s="27" t="str">
        <f>IF(H315="","",VLOOKUP(H315,'#状态名词'!$A$2:$C$99,3))</f>
        <v>治疗效果+</v>
      </c>
      <c r="K315" s="26" t="s">
        <v>804</v>
      </c>
    </row>
    <row r="316" spans="1:11">
      <c r="A316" s="27">
        <v>5302</v>
      </c>
      <c r="B316" s="27" t="s">
        <v>625</v>
      </c>
      <c r="C316" s="27" t="s">
        <v>1200</v>
      </c>
      <c r="E316" s="27">
        <v>-1</v>
      </c>
      <c r="F316" s="27">
        <v>-1</v>
      </c>
      <c r="H316" s="27">
        <v>31</v>
      </c>
      <c r="I316" s="27" t="str">
        <f>IF(H316="","",VLOOKUP(H316,'#状态名词'!$A$2:$C$99,2))</f>
        <v>refire</v>
      </c>
      <c r="J316" s="27" t="str">
        <f>IF(H316="","",VLOOKUP(H316,'#状态名词'!$A$2:$C$99,3))</f>
        <v>火属性抗性</v>
      </c>
      <c r="K316" s="26" t="s">
        <v>1188</v>
      </c>
    </row>
    <row r="317" spans="1:11">
      <c r="B317" s="27" t="s">
        <v>84</v>
      </c>
      <c r="E317" s="27">
        <v>-1</v>
      </c>
      <c r="F317" s="27">
        <v>-1</v>
      </c>
      <c r="H317" s="27">
        <v>33</v>
      </c>
      <c r="I317" s="27" t="str">
        <f>IF(H317="","",VLOOKUP(H317,'#状态名词'!$A$2:$C$99,2))</f>
        <v>relight</v>
      </c>
      <c r="J317" s="27" t="str">
        <f>IF(H317="","",VLOOKUP(H317,'#状态名词'!$A$2:$C$99,3))</f>
        <v>光属性抗性</v>
      </c>
      <c r="K317" s="26" t="s">
        <v>1188</v>
      </c>
    </row>
    <row r="318" spans="1:11">
      <c r="A318" s="27">
        <v>5303</v>
      </c>
      <c r="B318" s="27" t="s">
        <v>7477</v>
      </c>
      <c r="C318" s="27" t="s">
        <v>2091</v>
      </c>
      <c r="E318" s="27">
        <v>-1</v>
      </c>
      <c r="F318" s="27">
        <v>-1</v>
      </c>
      <c r="H318" s="27">
        <v>54</v>
      </c>
      <c r="I318" s="27" t="str">
        <f>IF(H318="","",VLOOKUP(H318,'#状态名词'!$A$2:$C$99,2))</f>
        <v>spi</v>
      </c>
      <c r="J318" s="27" t="str">
        <f>IF(H318="","",VLOOKUP(H318,'#状态名词'!$A$2:$C$99,3))</f>
        <v>精神</v>
      </c>
      <c r="K318" s="26" t="s">
        <v>651</v>
      </c>
    </row>
    <row r="319" spans="1:11">
      <c r="A319" s="27">
        <v>5304</v>
      </c>
      <c r="B319" s="27" t="s">
        <v>626</v>
      </c>
      <c r="C319" s="27" t="s">
        <v>801</v>
      </c>
      <c r="E319" s="27">
        <v>-1</v>
      </c>
      <c r="F319" s="27">
        <v>-1</v>
      </c>
      <c r="H319" s="27">
        <v>58</v>
      </c>
      <c r="I319" s="27" t="str">
        <f>IF(H319="","",VLOOKUP(H319,'#状态名词'!$A$2:$C$99,2))</f>
        <v>vit</v>
      </c>
      <c r="J319" s="27" t="str">
        <f>IF(H319="","",VLOOKUP(H319,'#状态名词'!$A$2:$C$99,3))</f>
        <v>体力</v>
      </c>
      <c r="K319" s="26" t="s">
        <v>1201</v>
      </c>
    </row>
    <row r="320" spans="1:11">
      <c r="A320" s="27">
        <v>5401</v>
      </c>
      <c r="B320" s="27" t="s">
        <v>4208</v>
      </c>
      <c r="C320" s="27" t="s">
        <v>1202</v>
      </c>
      <c r="E320" s="27">
        <v>-1</v>
      </c>
      <c r="F320" s="27">
        <v>-1</v>
      </c>
      <c r="H320" s="27">
        <v>21</v>
      </c>
      <c r="I320" s="27" t="str">
        <f>IF(H320="","",VLOOKUP(H320,'#状态名词'!$A$2:$C$99,2))</f>
        <v>speed</v>
      </c>
      <c r="J320" s="27" t="str">
        <f>IF(H320="","",VLOOKUP(H320,'#状态名词'!$A$2:$C$99,3))</f>
        <v>速度+</v>
      </c>
      <c r="K320" s="26" t="s">
        <v>804</v>
      </c>
    </row>
    <row r="321" spans="1:12">
      <c r="A321" s="27">
        <v>5402</v>
      </c>
      <c r="B321" s="27" t="s">
        <v>4212</v>
      </c>
      <c r="C321" s="27" t="s">
        <v>1203</v>
      </c>
      <c r="E321" s="27">
        <v>-1</v>
      </c>
      <c r="F321" s="27">
        <v>0</v>
      </c>
      <c r="H321" s="27">
        <v>36</v>
      </c>
      <c r="I321" s="27" t="str">
        <f>IF(H321="","",VLOOKUP(H321,'#状态名词'!$A$2:$C$99,2))</f>
        <v>atk_damage</v>
      </c>
      <c r="J321" s="27" t="str">
        <f>IF(H321="","",VLOOKUP(H321,'#状态名词'!$A$2:$C$99,3))</f>
        <v>攻击附加伤害</v>
      </c>
      <c r="K321" s="26" t="s">
        <v>813</v>
      </c>
    </row>
    <row r="322" spans="1:12">
      <c r="A322" s="27">
        <v>5403</v>
      </c>
      <c r="B322" s="27" t="s">
        <v>4213</v>
      </c>
      <c r="C322" s="27" t="s">
        <v>1204</v>
      </c>
      <c r="E322" s="27">
        <v>1</v>
      </c>
      <c r="F322" s="27">
        <v>-1</v>
      </c>
      <c r="H322" s="27">
        <v>23</v>
      </c>
      <c r="I322" s="27" t="str">
        <f>IF(H322="","",VLOOKUP(H322,'#状态名词'!$A$2:$C$99,2))</f>
        <v>steal</v>
      </c>
      <c r="J322" s="27" t="str">
        <f>IF(H322="","",VLOOKUP(H322,'#状态名词'!$A$2:$C$99,3))</f>
        <v>生命偷取</v>
      </c>
      <c r="K322" s="26" t="s">
        <v>1036</v>
      </c>
      <c r="L322" s="27">
        <v>5402</v>
      </c>
    </row>
    <row r="323" spans="1:12">
      <c r="B323" s="27" t="s">
        <v>84</v>
      </c>
      <c r="E323" s="27">
        <v>1</v>
      </c>
      <c r="F323" s="27">
        <v>-1</v>
      </c>
      <c r="H323" s="27">
        <v>17</v>
      </c>
      <c r="I323" s="27" t="str">
        <f>IF(H323="","",VLOOKUP(H323,'#状态名词'!$A$2:$C$99,2))</f>
        <v>adi</v>
      </c>
      <c r="J323" s="27" t="str">
        <f>IF(H323="","",VLOOKUP(H323,'#状态名词'!$A$2:$C$99,3))</f>
        <v>物穿</v>
      </c>
      <c r="K323" s="26" t="s">
        <v>786</v>
      </c>
      <c r="L323" s="27">
        <v>5402</v>
      </c>
    </row>
    <row r="324" spans="1:12">
      <c r="A324" s="27">
        <v>5404</v>
      </c>
      <c r="B324" s="27" t="s">
        <v>4214</v>
      </c>
      <c r="C324" s="27" t="s">
        <v>1205</v>
      </c>
      <c r="E324" s="27">
        <v>-1</v>
      </c>
      <c r="F324" s="27">
        <v>-1</v>
      </c>
      <c r="H324" s="27">
        <v>21</v>
      </c>
      <c r="I324" s="27" t="str">
        <f>IF(H324="","",VLOOKUP(H324,'#状态名词'!$A$2:$C$99,2))</f>
        <v>speed</v>
      </c>
      <c r="J324" s="27" t="str">
        <f>IF(H324="","",VLOOKUP(H324,'#状态名词'!$A$2:$C$99,3))</f>
        <v>速度+</v>
      </c>
      <c r="K324" s="26" t="s">
        <v>1206</v>
      </c>
    </row>
    <row r="325" spans="1:12">
      <c r="B325" s="27" t="s">
        <v>84</v>
      </c>
      <c r="E325" s="27">
        <v>-1</v>
      </c>
      <c r="F325" s="27">
        <v>-1</v>
      </c>
      <c r="H325" s="27">
        <v>61</v>
      </c>
      <c r="I325" s="27" t="str">
        <f>IF(H325="","",VLOOKUP(H325,'#状态名词'!$A$2:$C$99,2))</f>
        <v>team_ad</v>
      </c>
      <c r="J325" s="27" t="str">
        <f>IF(H325="","",VLOOKUP(H325,'#状态名词'!$A$2:$C$99,3))</f>
        <v>队伍AD</v>
      </c>
      <c r="K325" s="26" t="s">
        <v>1207</v>
      </c>
    </row>
    <row r="326" spans="1:12">
      <c r="A326" s="27">
        <v>5501</v>
      </c>
      <c r="B326" s="27" t="s">
        <v>4218</v>
      </c>
      <c r="C326" s="27" t="s">
        <v>1208</v>
      </c>
      <c r="E326" s="27">
        <v>-1</v>
      </c>
      <c r="F326" s="27">
        <v>-1</v>
      </c>
      <c r="H326" s="27">
        <v>13</v>
      </c>
      <c r="I326" s="27" t="str">
        <f>IF(H326="","",VLOOKUP(H326,'#状态名词'!$A$2:$C$99,2))</f>
        <v>arm</v>
      </c>
      <c r="J326" s="27" t="str">
        <f>IF(H326="","",VLOOKUP(H326,'#状态名词'!$A$2:$C$99,3))</f>
        <v>ARM+</v>
      </c>
      <c r="K326" s="26" t="s">
        <v>1209</v>
      </c>
    </row>
    <row r="327" spans="1:12">
      <c r="B327" s="27" t="s">
        <v>84</v>
      </c>
      <c r="E327" s="27">
        <v>-1</v>
      </c>
      <c r="F327" s="27">
        <v>-1</v>
      </c>
      <c r="H327" s="27">
        <v>21</v>
      </c>
      <c r="I327" s="27" t="str">
        <f>IF(H327="","",VLOOKUP(H327,'#状态名词'!$A$2:$C$99,2))</f>
        <v>speed</v>
      </c>
      <c r="J327" s="27" t="str">
        <f>IF(H327="","",VLOOKUP(H327,'#状态名词'!$A$2:$C$99,3))</f>
        <v>速度+</v>
      </c>
      <c r="K327" s="26" t="s">
        <v>1210</v>
      </c>
    </row>
    <row r="328" spans="1:12">
      <c r="A328" s="27">
        <v>5502</v>
      </c>
      <c r="B328" s="27" t="s">
        <v>4219</v>
      </c>
      <c r="C328" s="27" t="s">
        <v>2115</v>
      </c>
      <c r="E328" s="27">
        <v>-1</v>
      </c>
      <c r="F328" s="27">
        <v>-1</v>
      </c>
      <c r="H328" s="27">
        <v>65</v>
      </c>
      <c r="I328" s="27" t="str">
        <f>IF(H328="","",VLOOKUP(H328,'#状态名词'!$A$2:$C$99,2))</f>
        <v>str</v>
      </c>
      <c r="J328" s="27" t="str">
        <f>IF(H328="","",VLOOKUP(H328,'#状态名词'!$A$2:$C$99,3))</f>
        <v>力量</v>
      </c>
      <c r="K328" s="26" t="s">
        <v>1063</v>
      </c>
    </row>
    <row r="329" spans="1:12">
      <c r="A329" s="27">
        <v>5503</v>
      </c>
      <c r="B329" s="27" t="s">
        <v>4220</v>
      </c>
      <c r="C329" s="27" t="s">
        <v>1211</v>
      </c>
      <c r="E329" s="27">
        <v>-1</v>
      </c>
      <c r="F329" s="27">
        <v>-1</v>
      </c>
      <c r="H329" s="27">
        <v>17</v>
      </c>
      <c r="I329" s="27" t="str">
        <f>IF(H329="","",VLOOKUP(H329,'#状态名词'!$A$2:$C$99,2))</f>
        <v>adi</v>
      </c>
      <c r="J329" s="27" t="str">
        <f>IF(H329="","",VLOOKUP(H329,'#状态名词'!$A$2:$C$99,3))</f>
        <v>物穿</v>
      </c>
      <c r="K329" s="26" t="s">
        <v>1114</v>
      </c>
    </row>
    <row r="330" spans="1:12">
      <c r="A330" s="27">
        <v>5504</v>
      </c>
      <c r="B330" s="27" t="s">
        <v>4221</v>
      </c>
      <c r="C330" s="27" t="s">
        <v>1212</v>
      </c>
      <c r="E330" s="27">
        <v>-1</v>
      </c>
      <c r="F330" s="27">
        <v>0</v>
      </c>
      <c r="H330" s="27">
        <v>36</v>
      </c>
      <c r="I330" s="27" t="str">
        <f>IF(H330="","",VLOOKUP(H330,'#状态名词'!$A$2:$C$99,2))</f>
        <v>atk_damage</v>
      </c>
      <c r="J330" s="27" t="str">
        <f>IF(H330="","",VLOOKUP(H330,'#状态名词'!$A$2:$C$99,3))</f>
        <v>攻击附加伤害</v>
      </c>
      <c r="K330" s="26" t="s">
        <v>1213</v>
      </c>
    </row>
    <row r="331" spans="1:12">
      <c r="A331" s="27">
        <v>5701</v>
      </c>
      <c r="B331" s="27" t="s">
        <v>4222</v>
      </c>
      <c r="C331" s="27" t="s">
        <v>752</v>
      </c>
      <c r="E331" s="27">
        <v>-1</v>
      </c>
      <c r="F331" s="27">
        <v>-1</v>
      </c>
      <c r="H331" s="27">
        <v>61</v>
      </c>
      <c r="I331" s="27" t="str">
        <f>IF(H331="","",VLOOKUP(H331,'#状态名词'!$A$2:$C$99,2))</f>
        <v>team_ad</v>
      </c>
      <c r="J331" s="27" t="str">
        <f>IF(H331="","",VLOOKUP(H331,'#状态名词'!$A$2:$C$99,3))</f>
        <v>队伍AD</v>
      </c>
      <c r="K331" s="26" t="s">
        <v>1214</v>
      </c>
    </row>
    <row r="332" spans="1:12">
      <c r="B332" s="27" t="s">
        <v>84</v>
      </c>
      <c r="E332" s="27">
        <v>-1</v>
      </c>
      <c r="F332" s="27">
        <v>-1</v>
      </c>
      <c r="H332" s="27">
        <v>62</v>
      </c>
      <c r="I332" s="27" t="str">
        <f>IF(H332="","",VLOOKUP(H332,'#状态名词'!$A$2:$C$99,2))</f>
        <v>team_ap</v>
      </c>
      <c r="J332" s="27" t="str">
        <f>IF(H332="","",VLOOKUP(H332,'#状态名词'!$A$2:$C$99,3))</f>
        <v>队伍AP</v>
      </c>
      <c r="K332" s="26" t="s">
        <v>1214</v>
      </c>
    </row>
    <row r="333" spans="1:12">
      <c r="A333" s="27">
        <v>5702</v>
      </c>
      <c r="B333" s="27" t="s">
        <v>4226</v>
      </c>
      <c r="C333" s="27" t="s">
        <v>1215</v>
      </c>
      <c r="E333" s="27">
        <v>-1</v>
      </c>
      <c r="F333" s="27">
        <v>0</v>
      </c>
      <c r="H333" s="27">
        <v>36</v>
      </c>
      <c r="I333" s="27" t="str">
        <f>IF(H333="","",VLOOKUP(H333,'#状态名词'!$A$2:$C$99,2))</f>
        <v>atk_damage</v>
      </c>
      <c r="J333" s="27" t="str">
        <f>IF(H333="","",VLOOKUP(H333,'#状态名词'!$A$2:$C$99,3))</f>
        <v>攻击附加伤害</v>
      </c>
      <c r="K333" s="26" t="s">
        <v>804</v>
      </c>
    </row>
    <row r="334" spans="1:12">
      <c r="A334" s="27">
        <v>5703</v>
      </c>
      <c r="B334" s="27" t="s">
        <v>4227</v>
      </c>
      <c r="C334" s="27" t="s">
        <v>1216</v>
      </c>
      <c r="E334" s="27">
        <v>1</v>
      </c>
      <c r="F334" s="27">
        <v>-1</v>
      </c>
      <c r="H334" s="27">
        <v>39</v>
      </c>
      <c r="I334" s="27" t="str">
        <f>IF(H334="","",VLOOKUP(H334,'#状态名词'!$A$2:$C$99,2))</f>
        <v>action_heal</v>
      </c>
      <c r="J334" s="27" t="str">
        <f>IF(H334="","",VLOOKUP(H334,'#状态名词'!$A$2:$C$99,3))</f>
        <v>行动时治疗</v>
      </c>
      <c r="K334" s="26" t="s">
        <v>1217</v>
      </c>
    </row>
    <row r="335" spans="1:12">
      <c r="A335" s="27">
        <v>5704</v>
      </c>
      <c r="B335" s="27" t="s">
        <v>7478</v>
      </c>
      <c r="C335" s="27" t="s">
        <v>807</v>
      </c>
      <c r="E335" s="27">
        <v>-1</v>
      </c>
      <c r="F335" s="27">
        <v>-1</v>
      </c>
      <c r="H335" s="27">
        <v>36</v>
      </c>
      <c r="I335" s="27" t="str">
        <f>IF(H335="","",VLOOKUP(H335,'#状态名词'!$A$2:$C$99,2))</f>
        <v>atk_damage</v>
      </c>
      <c r="J335" s="27" t="str">
        <f>IF(H335="","",VLOOKUP(H335,'#状态名词'!$A$2:$C$99,3))</f>
        <v>攻击附加伤害</v>
      </c>
      <c r="K335" s="26" t="s">
        <v>1218</v>
      </c>
    </row>
    <row r="336" spans="1:12">
      <c r="A336" s="27">
        <v>5705</v>
      </c>
      <c r="B336" s="27" t="s">
        <v>7479</v>
      </c>
      <c r="C336" s="27" t="s">
        <v>1219</v>
      </c>
      <c r="E336" s="27">
        <v>1</v>
      </c>
      <c r="F336" s="27">
        <v>-1</v>
      </c>
      <c r="H336" s="27">
        <v>1</v>
      </c>
      <c r="I336" s="27" t="str">
        <f>IF(H336="","",VLOOKUP(H336,'#状态名词'!$A$2:$C$99,2))</f>
        <v>skilldama</v>
      </c>
      <c r="J336" s="27" t="str">
        <f>IF(H336="","",VLOOKUP(H336,'#状态名词'!$A$2:$C$99,3))</f>
        <v>技能伤害和治疗效果提升B类</v>
      </c>
      <c r="K336" s="26" t="s">
        <v>808</v>
      </c>
      <c r="L336" s="27">
        <v>5704</v>
      </c>
    </row>
    <row r="337" spans="1:12">
      <c r="H337" s="27">
        <v>23</v>
      </c>
      <c r="I337" s="27" t="str">
        <f>IF(H337="","",VLOOKUP(H337,'#状态名词'!$A$2:$C$99,2))</f>
        <v>steal</v>
      </c>
      <c r="J337" s="27" t="str">
        <f>IF(H337="","",VLOOKUP(H337,'#状态名词'!$A$2:$C$99,3))</f>
        <v>生命偷取</v>
      </c>
      <c r="K337" s="26" t="s">
        <v>1220</v>
      </c>
      <c r="L337" s="27">
        <v>5704</v>
      </c>
    </row>
    <row r="338" spans="1:12">
      <c r="A338" s="27">
        <v>5706</v>
      </c>
      <c r="B338" s="27" t="s">
        <v>7480</v>
      </c>
      <c r="E338" s="27">
        <v>1</v>
      </c>
      <c r="F338" s="27">
        <v>-1</v>
      </c>
      <c r="G338" s="27">
        <v>5706</v>
      </c>
      <c r="I338" s="27" t="str">
        <f>IF(H338="","",VLOOKUP(H338,'#状态名词'!$A$2:$C$99,2))</f>
        <v/>
      </c>
      <c r="J338" s="27" t="str">
        <f>IF(H338="","",VLOOKUP(H338,'#状态名词'!$A$2:$C$99,3))</f>
        <v/>
      </c>
    </row>
    <row r="339" spans="1:12">
      <c r="A339" s="27">
        <v>5801</v>
      </c>
      <c r="B339" s="27" t="s">
        <v>4230</v>
      </c>
      <c r="C339" s="27" t="s">
        <v>780</v>
      </c>
      <c r="E339" s="27">
        <v>-1</v>
      </c>
      <c r="F339" s="27">
        <v>-1</v>
      </c>
      <c r="H339" s="27">
        <v>19</v>
      </c>
      <c r="I339" s="27" t="str">
        <f>IF(H339="","",VLOOKUP(H339,'#状态名词'!$A$2:$C$99,2))</f>
        <v>rating</v>
      </c>
      <c r="J339" s="27" t="str">
        <f>IF(H339="","",VLOOKUP(H339,'#状态名词'!$A$2:$C$99,3))</f>
        <v>暴击+</v>
      </c>
      <c r="K339" s="26" t="s">
        <v>1221</v>
      </c>
    </row>
    <row r="340" spans="1:12">
      <c r="A340" s="27">
        <v>5802</v>
      </c>
      <c r="B340" s="27" t="s">
        <v>4234</v>
      </c>
      <c r="C340" s="27" t="s">
        <v>1222</v>
      </c>
      <c r="E340" s="27">
        <v>-1</v>
      </c>
      <c r="F340" s="27">
        <v>-1</v>
      </c>
      <c r="H340" s="27">
        <v>17</v>
      </c>
      <c r="I340" s="27" t="str">
        <f>IF(H340="","",VLOOKUP(H340,'#状态名词'!$A$2:$C$99,2))</f>
        <v>adi</v>
      </c>
      <c r="J340" s="27" t="str">
        <f>IF(H340="","",VLOOKUP(H340,'#状态名词'!$A$2:$C$99,3))</f>
        <v>物穿</v>
      </c>
      <c r="K340" s="26" t="s">
        <v>1223</v>
      </c>
    </row>
    <row r="341" spans="1:12">
      <c r="A341" s="27">
        <v>5803</v>
      </c>
      <c r="B341" s="27" t="s">
        <v>4235</v>
      </c>
      <c r="C341" s="27" t="s">
        <v>1224</v>
      </c>
      <c r="E341" s="27">
        <v>-1</v>
      </c>
      <c r="F341" s="27">
        <v>0</v>
      </c>
      <c r="H341" s="27">
        <v>1</v>
      </c>
      <c r="I341" s="27" t="str">
        <f>IF(H341="","",VLOOKUP(H341,'#状态名词'!$A$2:$C$99,2))</f>
        <v>skilldama</v>
      </c>
      <c r="J341" s="27" t="str">
        <f>IF(H341="","",VLOOKUP(H341,'#状态名词'!$A$2:$C$99,3))</f>
        <v>技能伤害和治疗效果提升B类</v>
      </c>
      <c r="K341" s="26" t="s">
        <v>1225</v>
      </c>
      <c r="L341" s="27">
        <v>5802</v>
      </c>
    </row>
    <row r="342" spans="1:12">
      <c r="A342" s="27">
        <v>5901</v>
      </c>
      <c r="B342" s="27" t="s">
        <v>3843</v>
      </c>
      <c r="C342" s="27" t="s">
        <v>1226</v>
      </c>
      <c r="E342" s="27">
        <v>-1</v>
      </c>
      <c r="F342" s="27">
        <v>-1</v>
      </c>
      <c r="H342" s="27">
        <v>51</v>
      </c>
      <c r="I342" s="27" t="str">
        <f>IF(H342="","",VLOOKUP(H342,'#状态名词'!$A$2:$C$99,2))</f>
        <v>rageupper</v>
      </c>
      <c r="J342" s="27" t="str">
        <f>IF(H342="","",VLOOKUP(H342,'#状态名词'!$A$2:$C$99,3))</f>
        <v>怒气上限</v>
      </c>
      <c r="K342" s="26" t="s">
        <v>833</v>
      </c>
    </row>
    <row r="343" spans="1:12">
      <c r="A343" s="27">
        <v>5902</v>
      </c>
      <c r="B343" s="27" t="s">
        <v>4238</v>
      </c>
      <c r="C343" s="27" t="s">
        <v>1227</v>
      </c>
      <c r="E343" s="27">
        <v>1</v>
      </c>
      <c r="F343" s="27">
        <v>0</v>
      </c>
      <c r="H343" s="27">
        <v>14</v>
      </c>
      <c r="I343" s="27" t="str">
        <f>IF(H343="","",VLOOKUP(H343,'#状态名词'!$A$2:$C$99,2))</f>
        <v>arm_per</v>
      </c>
      <c r="J343" s="27" t="str">
        <f>IF(H343="","",VLOOKUP(H343,'#状态名词'!$A$2:$C$99,3))</f>
        <v>护甲百分比</v>
      </c>
      <c r="K343" s="26" t="s">
        <v>1228</v>
      </c>
    </row>
    <row r="344" spans="1:12">
      <c r="A344" s="27">
        <v>5903</v>
      </c>
      <c r="B344" s="27" t="s">
        <v>405</v>
      </c>
      <c r="C344" s="27" t="s">
        <v>1229</v>
      </c>
      <c r="E344" s="27">
        <v>-1</v>
      </c>
      <c r="F344" s="27">
        <v>-1</v>
      </c>
      <c r="H344" s="27">
        <v>20</v>
      </c>
      <c r="I344" s="27" t="str">
        <f>IF(H344="","",VLOOKUP(H344,'#状态名词'!$A$2:$C$99,2))</f>
        <v>ratingdamage</v>
      </c>
      <c r="J344" s="27" t="str">
        <f>IF(H344="","",VLOOKUP(H344,'#状态名词'!$A$2:$C$99,3))</f>
        <v>暴伤+</v>
      </c>
      <c r="K344" s="26" t="s">
        <v>1230</v>
      </c>
    </row>
    <row r="345" spans="1:12">
      <c r="A345" s="27">
        <v>6001</v>
      </c>
      <c r="B345" s="27" t="s">
        <v>4240</v>
      </c>
      <c r="C345" s="27" t="s">
        <v>1231</v>
      </c>
      <c r="E345" s="27">
        <v>-1</v>
      </c>
      <c r="F345" s="27">
        <v>-1</v>
      </c>
      <c r="H345" s="27">
        <v>13</v>
      </c>
      <c r="I345" s="27" t="str">
        <f>IF(H345="","",VLOOKUP(H345,'#状态名词'!$A$2:$C$99,2))</f>
        <v>arm</v>
      </c>
      <c r="J345" s="27" t="str">
        <f>IF(H345="","",VLOOKUP(H345,'#状态名词'!$A$2:$C$99,3))</f>
        <v>ARM+</v>
      </c>
      <c r="K345" s="26" t="s">
        <v>749</v>
      </c>
    </row>
    <row r="346" spans="1:12">
      <c r="B346" s="27" t="s">
        <v>84</v>
      </c>
      <c r="E346" s="27">
        <v>-1</v>
      </c>
      <c r="F346" s="27">
        <v>-1</v>
      </c>
      <c r="H346" s="27">
        <v>15</v>
      </c>
      <c r="I346" s="27" t="str">
        <f>IF(H346="","",VLOOKUP(H346,'#状态名词'!$A$2:$C$99,2))</f>
        <v>mr</v>
      </c>
      <c r="J346" s="27" t="str">
        <f>IF(H346="","",VLOOKUP(H346,'#状态名词'!$A$2:$C$99,3))</f>
        <v>MR+</v>
      </c>
      <c r="K346" s="26" t="s">
        <v>800</v>
      </c>
    </row>
    <row r="347" spans="1:12">
      <c r="A347" s="27">
        <v>6002</v>
      </c>
      <c r="B347" s="27" t="s">
        <v>4246</v>
      </c>
      <c r="C347" s="27" t="s">
        <v>1232</v>
      </c>
      <c r="E347" s="27">
        <v>1</v>
      </c>
      <c r="F347" s="27">
        <v>-1</v>
      </c>
      <c r="H347" s="27">
        <v>39</v>
      </c>
      <c r="I347" s="27" t="str">
        <f>IF(H347="","",VLOOKUP(H347,'#状态名词'!$A$2:$C$99,2))</f>
        <v>action_heal</v>
      </c>
      <c r="J347" s="27" t="str">
        <f>IF(H347="","",VLOOKUP(H347,'#状态名词'!$A$2:$C$99,3))</f>
        <v>行动时治疗</v>
      </c>
      <c r="K347" s="26" t="s">
        <v>1233</v>
      </c>
      <c r="L347" s="27">
        <v>6002</v>
      </c>
    </row>
    <row r="348" spans="1:12">
      <c r="A348" s="27">
        <v>6003</v>
      </c>
      <c r="B348" s="27" t="s">
        <v>4247</v>
      </c>
      <c r="C348" s="27" t="s">
        <v>1234</v>
      </c>
      <c r="E348" s="27">
        <v>-1</v>
      </c>
      <c r="F348" s="27">
        <v>-1</v>
      </c>
      <c r="H348" s="27">
        <v>21</v>
      </c>
      <c r="I348" s="27" t="str">
        <f>IF(H348="","",VLOOKUP(H348,'#状态名词'!$A$2:$C$99,2))</f>
        <v>speed</v>
      </c>
      <c r="J348" s="27" t="str">
        <f>IF(H348="","",VLOOKUP(H348,'#状态名词'!$A$2:$C$99,3))</f>
        <v>速度+</v>
      </c>
      <c r="K348" s="26" t="s">
        <v>1235</v>
      </c>
    </row>
    <row r="349" spans="1:12">
      <c r="A349" s="27">
        <v>6101</v>
      </c>
      <c r="B349" s="27" t="s">
        <v>4230</v>
      </c>
      <c r="C349" s="27" t="s">
        <v>1042</v>
      </c>
      <c r="E349" s="27">
        <v>-1</v>
      </c>
      <c r="F349" s="27">
        <v>-1</v>
      </c>
      <c r="H349" s="27">
        <v>19</v>
      </c>
      <c r="I349" s="27" t="str">
        <f>IF(H349="","",VLOOKUP(H349,'#状态名词'!$A$2:$C$99,2))</f>
        <v>rating</v>
      </c>
      <c r="J349" s="27" t="str">
        <f>IF(H349="","",VLOOKUP(H349,'#状态名词'!$A$2:$C$99,3))</f>
        <v>暴击+</v>
      </c>
      <c r="K349" s="26" t="s">
        <v>1030</v>
      </c>
    </row>
    <row r="350" spans="1:12">
      <c r="A350" s="27">
        <v>6102</v>
      </c>
      <c r="B350" s="27" t="s">
        <v>627</v>
      </c>
      <c r="C350" s="27" t="s">
        <v>1236</v>
      </c>
      <c r="E350" s="27">
        <v>-1</v>
      </c>
      <c r="F350" s="27">
        <v>-1</v>
      </c>
      <c r="H350" s="27">
        <v>20</v>
      </c>
      <c r="I350" s="27" t="str">
        <f>IF(H350="","",VLOOKUP(H350,'#状态名词'!$A$2:$C$99,2))</f>
        <v>ratingdamage</v>
      </c>
      <c r="J350" s="27" t="str">
        <f>IF(H350="","",VLOOKUP(H350,'#状态名词'!$A$2:$C$99,3))</f>
        <v>暴伤+</v>
      </c>
      <c r="K350" s="26" t="s">
        <v>1237</v>
      </c>
      <c r="L350" s="27">
        <v>1</v>
      </c>
    </row>
    <row r="351" spans="1:12">
      <c r="A351" s="27">
        <v>6103</v>
      </c>
      <c r="B351" s="27" t="s">
        <v>628</v>
      </c>
      <c r="C351" s="27" t="s">
        <v>1238</v>
      </c>
      <c r="E351" s="27">
        <v>-1</v>
      </c>
      <c r="F351" s="27">
        <v>-1</v>
      </c>
      <c r="H351" s="27">
        <v>17</v>
      </c>
      <c r="I351" s="27" t="str">
        <f>IF(H351="","",VLOOKUP(H351,'#状态名词'!$A$2:$C$99,2))</f>
        <v>adi</v>
      </c>
      <c r="J351" s="27" t="str">
        <f>IF(H351="","",VLOOKUP(H351,'#状态名词'!$A$2:$C$99,3))</f>
        <v>物穿</v>
      </c>
      <c r="K351" s="26" t="s">
        <v>1239</v>
      </c>
    </row>
    <row r="352" spans="1:12">
      <c r="B352" s="27" t="s">
        <v>84</v>
      </c>
      <c r="E352" s="27">
        <v>-1</v>
      </c>
      <c r="F352" s="27">
        <v>-1</v>
      </c>
      <c r="H352" s="27">
        <v>21</v>
      </c>
      <c r="I352" s="27" t="str">
        <f>IF(H352="","",VLOOKUP(H352,'#状态名词'!$A$2:$C$99,2))</f>
        <v>speed</v>
      </c>
      <c r="J352" s="27" t="str">
        <f>IF(H352="","",VLOOKUP(H352,'#状态名词'!$A$2:$C$99,3))</f>
        <v>速度+</v>
      </c>
      <c r="K352" s="26" t="s">
        <v>1240</v>
      </c>
    </row>
    <row r="353" spans="1:12">
      <c r="A353" s="27">
        <v>6104</v>
      </c>
      <c r="B353" s="27" t="s">
        <v>629</v>
      </c>
      <c r="C353" s="27" t="s">
        <v>781</v>
      </c>
      <c r="E353" s="27">
        <v>-1</v>
      </c>
      <c r="F353" s="27">
        <v>-1</v>
      </c>
      <c r="H353" s="27">
        <v>1</v>
      </c>
      <c r="I353" s="27" t="str">
        <f>IF(H353="","",VLOOKUP(H353,'#状态名词'!$A$2:$C$99,2))</f>
        <v>skilldama</v>
      </c>
      <c r="J353" s="27" t="str">
        <f>IF(H353="","",VLOOKUP(H353,'#状态名词'!$A$2:$C$99,3))</f>
        <v>技能伤害和治疗效果提升B类</v>
      </c>
      <c r="K353" s="26" t="s">
        <v>1241</v>
      </c>
      <c r="L353" s="27">
        <v>6102</v>
      </c>
    </row>
    <row r="354" spans="1:12">
      <c r="B354" s="27" t="s">
        <v>84</v>
      </c>
      <c r="E354" s="27">
        <v>-1</v>
      </c>
      <c r="F354" s="27">
        <v>-1</v>
      </c>
      <c r="H354" s="27">
        <v>25</v>
      </c>
      <c r="I354" s="27" t="str">
        <f>IF(H354="","",VLOOKUP(H354,'#状态名词'!$A$2:$C$99,2))</f>
        <v>duochong</v>
      </c>
      <c r="J354" s="27" t="str">
        <f>IF(H354="","",VLOOKUP(H354,'#状态名词'!$A$2:$C$99,3))</f>
        <v>多重施法</v>
      </c>
      <c r="K354" s="26" t="s">
        <v>1242</v>
      </c>
      <c r="L354" s="27">
        <v>6102</v>
      </c>
    </row>
    <row r="355" spans="1:12">
      <c r="A355" s="27">
        <v>6201</v>
      </c>
      <c r="B355" s="27" t="s">
        <v>4253</v>
      </c>
      <c r="C355" s="27" t="s">
        <v>1243</v>
      </c>
      <c r="E355" s="27">
        <v>-1</v>
      </c>
      <c r="F355" s="27">
        <v>-1</v>
      </c>
      <c r="H355" s="27">
        <v>1</v>
      </c>
      <c r="I355" s="27" t="str">
        <f>IF(H355="","",VLOOKUP(H355,'#状态名词'!$A$2:$C$99,2))</f>
        <v>skilldama</v>
      </c>
      <c r="J355" s="27" t="str">
        <f>IF(H355="","",VLOOKUP(H355,'#状态名词'!$A$2:$C$99,3))</f>
        <v>技能伤害和治疗效果提升B类</v>
      </c>
      <c r="K355" s="26" t="s">
        <v>832</v>
      </c>
      <c r="L355" s="27">
        <v>6201</v>
      </c>
    </row>
    <row r="356" spans="1:12">
      <c r="A356" s="27">
        <v>6202</v>
      </c>
      <c r="B356" s="27" t="s">
        <v>631</v>
      </c>
      <c r="C356" s="27" t="s">
        <v>1244</v>
      </c>
      <c r="E356" s="27">
        <v>-1</v>
      </c>
      <c r="F356" s="27">
        <v>-1</v>
      </c>
      <c r="H356" s="27">
        <v>21</v>
      </c>
      <c r="I356" s="27" t="str">
        <f>IF(H356="","",VLOOKUP(H356,'#状态名词'!$A$2:$C$99,2))</f>
        <v>speed</v>
      </c>
      <c r="J356" s="27" t="str">
        <f>IF(H356="","",VLOOKUP(H356,'#状态名词'!$A$2:$C$99,3))</f>
        <v>速度+</v>
      </c>
      <c r="K356" s="26" t="s">
        <v>1245</v>
      </c>
    </row>
    <row r="357" spans="1:12">
      <c r="A357" s="27">
        <v>6203</v>
      </c>
      <c r="B357" s="27" t="s">
        <v>4254</v>
      </c>
      <c r="C357" s="27" t="s">
        <v>2092</v>
      </c>
      <c r="E357" s="27">
        <v>-1</v>
      </c>
      <c r="F357" s="27">
        <v>0</v>
      </c>
      <c r="H357" s="27">
        <v>54</v>
      </c>
      <c r="I357" s="27" t="str">
        <f>IF(H357="","",VLOOKUP(H357,'#状态名词'!$A$2:$C$99,2))</f>
        <v>spi</v>
      </c>
      <c r="J357" s="27" t="str">
        <f>IF(H357="","",VLOOKUP(H357,'#状态名词'!$A$2:$C$99,3))</f>
        <v>精神</v>
      </c>
      <c r="K357" s="26" t="s">
        <v>1246</v>
      </c>
    </row>
    <row r="358" spans="1:12">
      <c r="A358" s="27">
        <v>6204</v>
      </c>
      <c r="B358" s="27" t="s">
        <v>632</v>
      </c>
      <c r="C358" s="27" t="s">
        <v>1247</v>
      </c>
      <c r="E358" s="27">
        <v>-1</v>
      </c>
      <c r="F358" s="27">
        <v>-1</v>
      </c>
      <c r="H358" s="27">
        <v>21</v>
      </c>
      <c r="I358" s="27" t="str">
        <f>IF(H358="","",VLOOKUP(H358,'#状态名词'!$A$2:$C$99,2))</f>
        <v>speed</v>
      </c>
      <c r="J358" s="27" t="str">
        <f>IF(H358="","",VLOOKUP(H358,'#状态名词'!$A$2:$C$99,3))</f>
        <v>速度+</v>
      </c>
      <c r="K358" s="26" t="s">
        <v>753</v>
      </c>
    </row>
    <row r="359" spans="1:12">
      <c r="A359" s="27">
        <v>6301</v>
      </c>
      <c r="B359" s="27" t="s">
        <v>3988</v>
      </c>
      <c r="C359" s="27" t="s">
        <v>1248</v>
      </c>
      <c r="E359" s="27">
        <v>-1</v>
      </c>
      <c r="F359" s="27">
        <v>-1</v>
      </c>
      <c r="H359" s="27">
        <v>61</v>
      </c>
      <c r="I359" s="27" t="str">
        <f>IF(H359="","",VLOOKUP(H359,'#状态名词'!$A$2:$C$99,2))</f>
        <v>team_ad</v>
      </c>
      <c r="J359" s="27" t="str">
        <f>IF(H359="","",VLOOKUP(H359,'#状态名词'!$A$2:$C$99,3))</f>
        <v>队伍AD</v>
      </c>
      <c r="K359" s="26" t="s">
        <v>929</v>
      </c>
    </row>
    <row r="360" spans="1:12">
      <c r="A360" s="27">
        <v>6302</v>
      </c>
      <c r="B360" s="27" t="s">
        <v>4256</v>
      </c>
      <c r="C360" s="27" t="s">
        <v>1249</v>
      </c>
      <c r="E360" s="27">
        <v>-1</v>
      </c>
      <c r="F360" s="27">
        <v>-1</v>
      </c>
      <c r="H360" s="27">
        <v>13</v>
      </c>
      <c r="I360" s="27" t="str">
        <f>IF(H360="","",VLOOKUP(H360,'#状态名词'!$A$2:$C$99,2))</f>
        <v>arm</v>
      </c>
      <c r="J360" s="27" t="str">
        <f>IF(H360="","",VLOOKUP(H360,'#状态名词'!$A$2:$C$99,3))</f>
        <v>ARM+</v>
      </c>
      <c r="K360" s="26" t="s">
        <v>1250</v>
      </c>
    </row>
    <row r="361" spans="1:12">
      <c r="A361" s="27">
        <v>6303</v>
      </c>
      <c r="B361" s="27" t="s">
        <v>4257</v>
      </c>
      <c r="C361" s="27" t="s">
        <v>1251</v>
      </c>
      <c r="E361" s="27">
        <v>-1</v>
      </c>
      <c r="F361" s="27">
        <v>-1</v>
      </c>
      <c r="H361" s="27">
        <v>23</v>
      </c>
      <c r="I361" s="27" t="str">
        <f>IF(H361="","",VLOOKUP(H361,'#状态名词'!$A$2:$C$99,2))</f>
        <v>steal</v>
      </c>
      <c r="J361" s="27" t="str">
        <f>IF(H361="","",VLOOKUP(H361,'#状态名词'!$A$2:$C$99,3))</f>
        <v>生命偷取</v>
      </c>
      <c r="K361" s="26" t="s">
        <v>1252</v>
      </c>
    </row>
    <row r="362" spans="1:12">
      <c r="B362" s="27" t="s">
        <v>84</v>
      </c>
      <c r="E362" s="27">
        <v>-1</v>
      </c>
      <c r="F362" s="27">
        <v>-1</v>
      </c>
      <c r="H362" s="27">
        <v>24</v>
      </c>
      <c r="I362" s="27" t="str">
        <f>IF(H362="","",VLOOKUP(H362,'#状态名词'!$A$2:$C$99,2))</f>
        <v>heal</v>
      </c>
      <c r="J362" s="27" t="str">
        <f>IF(H362="","",VLOOKUP(H362,'#状态名词'!$A$2:$C$99,3))</f>
        <v>治疗效果+</v>
      </c>
      <c r="K362" s="26" t="s">
        <v>1253</v>
      </c>
    </row>
    <row r="363" spans="1:12">
      <c r="A363" s="27">
        <v>6304</v>
      </c>
      <c r="B363" s="27" t="s">
        <v>4258</v>
      </c>
      <c r="C363" s="27" t="s">
        <v>1254</v>
      </c>
      <c r="E363" s="27">
        <v>-1</v>
      </c>
      <c r="F363" s="27">
        <v>-1</v>
      </c>
      <c r="H363" s="27">
        <v>13</v>
      </c>
      <c r="I363" s="27" t="str">
        <f>IF(H363="","",VLOOKUP(H363,'#状态名词'!$A$2:$C$99,2))</f>
        <v>arm</v>
      </c>
      <c r="J363" s="27" t="str">
        <f>IF(H363="","",VLOOKUP(H363,'#状态名词'!$A$2:$C$99,3))</f>
        <v>ARM+</v>
      </c>
      <c r="K363" s="26" t="s">
        <v>1255</v>
      </c>
    </row>
    <row r="364" spans="1:12">
      <c r="B364" s="27" t="s">
        <v>84</v>
      </c>
      <c r="E364" s="27">
        <v>-1</v>
      </c>
      <c r="F364" s="27">
        <v>-1</v>
      </c>
      <c r="H364" s="27">
        <v>15</v>
      </c>
      <c r="I364" s="27" t="str">
        <f>IF(H364="","",VLOOKUP(H364,'#状态名词'!$A$2:$C$99,2))</f>
        <v>mr</v>
      </c>
      <c r="J364" s="27" t="str">
        <f>IF(H364="","",VLOOKUP(H364,'#状态名词'!$A$2:$C$99,3))</f>
        <v>MR+</v>
      </c>
      <c r="K364" s="26" t="s">
        <v>1255</v>
      </c>
    </row>
    <row r="365" spans="1:12">
      <c r="A365" s="27">
        <v>6305</v>
      </c>
      <c r="B365" s="27" t="s">
        <v>4259</v>
      </c>
      <c r="C365" s="27" t="s">
        <v>1256</v>
      </c>
      <c r="E365" s="27">
        <v>-1</v>
      </c>
      <c r="F365" s="27">
        <v>-1</v>
      </c>
      <c r="H365" s="27">
        <v>19</v>
      </c>
      <c r="I365" s="27" t="str">
        <f>IF(H365="","",VLOOKUP(H365,'#状态名词'!$A$2:$C$99,2))</f>
        <v>rating</v>
      </c>
      <c r="J365" s="27" t="str">
        <f>IF(H365="","",VLOOKUP(H365,'#状态名词'!$A$2:$C$99,3))</f>
        <v>暴击+</v>
      </c>
      <c r="K365" s="26" t="s">
        <v>1176</v>
      </c>
    </row>
    <row r="366" spans="1:12">
      <c r="B366" s="27" t="s">
        <v>84</v>
      </c>
      <c r="E366" s="27">
        <v>-1</v>
      </c>
      <c r="F366" s="27">
        <v>-1</v>
      </c>
      <c r="H366" s="27">
        <v>20</v>
      </c>
      <c r="I366" s="27" t="str">
        <f>IF(H366="","",VLOOKUP(H366,'#状态名词'!$A$2:$C$99,2))</f>
        <v>ratingdamage</v>
      </c>
      <c r="J366" s="27" t="str">
        <f>IF(H366="","",VLOOKUP(H366,'#状态名词'!$A$2:$C$99,3))</f>
        <v>暴伤+</v>
      </c>
      <c r="K366" s="26" t="s">
        <v>1257</v>
      </c>
    </row>
    <row r="367" spans="1:12">
      <c r="A367" s="27">
        <v>6401</v>
      </c>
      <c r="B367" s="27" t="s">
        <v>4260</v>
      </c>
      <c r="C367" s="27" t="s">
        <v>1258</v>
      </c>
      <c r="E367" s="27">
        <v>-1</v>
      </c>
      <c r="F367" s="27">
        <v>-1</v>
      </c>
      <c r="H367" s="27">
        <v>62</v>
      </c>
      <c r="I367" s="27" t="str">
        <f>IF(H367="","",VLOOKUP(H367,'#状态名词'!$A$2:$C$99,2))</f>
        <v>team_ap</v>
      </c>
      <c r="J367" s="27" t="str">
        <f>IF(H367="","",VLOOKUP(H367,'#状态名词'!$A$2:$C$99,3))</f>
        <v>队伍AP</v>
      </c>
      <c r="K367" s="26" t="s">
        <v>753</v>
      </c>
    </row>
    <row r="368" spans="1:12">
      <c r="B368" s="27" t="s">
        <v>84</v>
      </c>
      <c r="E368" s="27">
        <v>-1</v>
      </c>
      <c r="F368" s="27">
        <v>-1</v>
      </c>
      <c r="H368" s="27">
        <v>18</v>
      </c>
      <c r="I368" s="27" t="str">
        <f>IF(H368="","",VLOOKUP(H368,'#状态名词'!$A$2:$C$99,2))</f>
        <v>api</v>
      </c>
      <c r="J368" s="27" t="str">
        <f>IF(H368="","",VLOOKUP(H368,'#状态名词'!$A$2:$C$99,3))</f>
        <v>法穿</v>
      </c>
      <c r="K368" s="26" t="s">
        <v>1259</v>
      </c>
    </row>
    <row r="369" spans="1:12">
      <c r="A369" s="27">
        <v>6402</v>
      </c>
      <c r="B369" s="27" t="s">
        <v>4261</v>
      </c>
      <c r="C369" s="27" t="s">
        <v>2045</v>
      </c>
      <c r="E369" s="27">
        <v>-1</v>
      </c>
      <c r="F369" s="27">
        <v>-1</v>
      </c>
      <c r="H369" s="27">
        <v>54</v>
      </c>
      <c r="I369" s="27" t="str">
        <f>IF(H369="","",VLOOKUP(H369,'#状态名词'!$A$2:$C$99,2))</f>
        <v>spi</v>
      </c>
      <c r="J369" s="27" t="str">
        <f>IF(H369="","",VLOOKUP(H369,'#状态名词'!$A$2:$C$99,3))</f>
        <v>精神</v>
      </c>
      <c r="K369" s="26" t="s">
        <v>1260</v>
      </c>
    </row>
    <row r="370" spans="1:12">
      <c r="A370" s="27">
        <v>6403</v>
      </c>
      <c r="B370" s="27" t="s">
        <v>4264</v>
      </c>
      <c r="C370" s="27" t="s">
        <v>1261</v>
      </c>
      <c r="E370" s="27">
        <v>-1</v>
      </c>
      <c r="F370" s="27">
        <v>-1</v>
      </c>
      <c r="H370" s="27">
        <v>28</v>
      </c>
      <c r="I370" s="27" t="str">
        <f>IF(H370="","",VLOOKUP(H370,'#状态名词'!$A$2:$C$99,2))</f>
        <v>lightup</v>
      </c>
      <c r="J370" s="27" t="str">
        <f>IF(H370="","",VLOOKUP(H370,'#状态名词'!$A$2:$C$99,3))</f>
        <v>光属性强化</v>
      </c>
      <c r="K370" s="26" t="s">
        <v>1262</v>
      </c>
    </row>
    <row r="371" spans="1:12">
      <c r="A371" s="27">
        <v>6404</v>
      </c>
      <c r="B371" s="27" t="s">
        <v>4265</v>
      </c>
      <c r="C371" s="27" t="s">
        <v>782</v>
      </c>
      <c r="E371" s="27">
        <v>-1</v>
      </c>
      <c r="F371" s="27">
        <v>-1</v>
      </c>
      <c r="H371" s="27">
        <v>33</v>
      </c>
      <c r="I371" s="27" t="str">
        <f>IF(H371="","",VLOOKUP(H371,'#状态名词'!$A$2:$C$99,2))</f>
        <v>relight</v>
      </c>
      <c r="J371" s="27" t="str">
        <f>IF(H371="","",VLOOKUP(H371,'#状态名词'!$A$2:$C$99,3))</f>
        <v>光属性抗性</v>
      </c>
      <c r="K371" s="26" t="s">
        <v>1263</v>
      </c>
    </row>
    <row r="372" spans="1:12">
      <c r="A372" s="20">
        <v>6501</v>
      </c>
      <c r="B372" s="75" t="s">
        <v>9083</v>
      </c>
      <c r="C372" s="21" t="s">
        <v>9094</v>
      </c>
      <c r="E372" s="27">
        <v>-1</v>
      </c>
      <c r="F372" s="27">
        <v>-1</v>
      </c>
      <c r="H372" s="27">
        <v>61</v>
      </c>
      <c r="I372" s="27" t="str">
        <f>IF(H372="","",VLOOKUP(H372,'#状态名词'!$A$2:$C$99,2))</f>
        <v>team_ad</v>
      </c>
      <c r="J372" s="27" t="str">
        <f>IF(H372="","",VLOOKUP(H372,'#状态名词'!$A$2:$C$99,3))</f>
        <v>队伍AD</v>
      </c>
      <c r="K372" s="26" t="s">
        <v>9123</v>
      </c>
    </row>
    <row r="373" spans="1:12">
      <c r="A373" s="20"/>
      <c r="B373" s="75"/>
      <c r="C373" s="21"/>
      <c r="E373" s="27">
        <v>-1</v>
      </c>
      <c r="F373" s="27">
        <v>-1</v>
      </c>
      <c r="H373" s="27">
        <v>62</v>
      </c>
      <c r="I373" s="27" t="str">
        <f>IF(H373="","",VLOOKUP(H373,'#状态名词'!$A$2:$C$99,2))</f>
        <v>team_ap</v>
      </c>
      <c r="J373" s="27" t="str">
        <f>IF(H373="","",VLOOKUP(H373,'#状态名词'!$A$2:$C$99,3))</f>
        <v>队伍AP</v>
      </c>
      <c r="K373" s="26" t="s">
        <v>9124</v>
      </c>
    </row>
    <row r="374" spans="1:12">
      <c r="A374" s="20">
        <v>6502</v>
      </c>
      <c r="B374" s="75" t="s">
        <v>9081</v>
      </c>
      <c r="C374" s="20" t="s">
        <v>9095</v>
      </c>
      <c r="E374" s="27">
        <v>-1</v>
      </c>
      <c r="F374" s="27">
        <v>-1</v>
      </c>
      <c r="H374" s="27">
        <v>19</v>
      </c>
      <c r="I374" s="27" t="str">
        <f>IF(H374="","",VLOOKUP(H374,'#状态名词'!$A$2:$C$99,2))</f>
        <v>rating</v>
      </c>
      <c r="J374" s="27" t="str">
        <f>IF(H374="","",VLOOKUP(H374,'#状态名词'!$A$2:$C$99,3))</f>
        <v>暴击+</v>
      </c>
      <c r="K374" s="26" t="s">
        <v>9125</v>
      </c>
    </row>
    <row r="375" spans="1:12">
      <c r="A375" s="20"/>
      <c r="B375" s="75"/>
      <c r="C375" s="20"/>
      <c r="E375" s="27">
        <v>-1</v>
      </c>
      <c r="F375" s="27">
        <v>-1</v>
      </c>
      <c r="H375" s="27">
        <v>20</v>
      </c>
      <c r="I375" s="27" t="str">
        <f>IF(H375="","",VLOOKUP(H375,'#状态名词'!$A$2:$C$99,2))</f>
        <v>ratingdamage</v>
      </c>
      <c r="J375" s="27" t="str">
        <f>IF(H375="","",VLOOKUP(H375,'#状态名词'!$A$2:$C$99,3))</f>
        <v>暴伤+</v>
      </c>
      <c r="K375" s="26" t="s">
        <v>9126</v>
      </c>
    </row>
    <row r="376" spans="1:12">
      <c r="A376" s="20">
        <v>6503</v>
      </c>
      <c r="B376" s="75" t="s">
        <v>9080</v>
      </c>
      <c r="C376" s="21" t="s">
        <v>9114</v>
      </c>
      <c r="E376" s="27">
        <v>-1</v>
      </c>
      <c r="F376" s="27">
        <v>-1</v>
      </c>
      <c r="H376" s="27">
        <v>70</v>
      </c>
      <c r="I376" s="27" t="str">
        <f>IF(H376="","",VLOOKUP(H376,'#状态名词'!$A$2:$C$99,2))</f>
        <v>eva</v>
      </c>
      <c r="J376" s="27" t="str">
        <f>IF(H376="","",VLOOKUP(H376,'#状态名词'!$A$2:$C$99,3))</f>
        <v>回避率</v>
      </c>
      <c r="K376" s="26" t="s">
        <v>9261</v>
      </c>
    </row>
    <row r="377" spans="1:12">
      <c r="A377" s="20">
        <v>6504</v>
      </c>
      <c r="B377" s="75" t="s">
        <v>9079</v>
      </c>
      <c r="C377" s="21" t="s">
        <v>9088</v>
      </c>
      <c r="E377" s="27">
        <v>-1</v>
      </c>
      <c r="F377" s="27">
        <v>-1</v>
      </c>
      <c r="H377" s="27">
        <v>21</v>
      </c>
      <c r="I377" s="27" t="str">
        <f>IF(H377="","",VLOOKUP(H377,'#状态名词'!$A$2:$C$99,2))</f>
        <v>speed</v>
      </c>
      <c r="J377" s="27" t="str">
        <f>IF(H377="","",VLOOKUP(H377,'#状态名词'!$A$2:$C$99,3))</f>
        <v>速度+</v>
      </c>
      <c r="K377" s="26" t="s">
        <v>9127</v>
      </c>
    </row>
    <row r="378" spans="1:12">
      <c r="A378" s="20"/>
      <c r="B378" s="75"/>
      <c r="C378" s="21"/>
      <c r="E378" s="27">
        <v>-1</v>
      </c>
      <c r="F378" s="27">
        <v>-1</v>
      </c>
      <c r="H378" s="27">
        <v>65</v>
      </c>
      <c r="I378" s="27" t="str">
        <f>IF(H378="","",VLOOKUP(H378,'#状态名词'!$A$2:$C$99,2))</f>
        <v>str</v>
      </c>
      <c r="J378" s="27" t="str">
        <f>IF(H378="","",VLOOKUP(H378,'#状态名词'!$A$2:$C$99,3))</f>
        <v>力量</v>
      </c>
      <c r="K378" s="26" t="s">
        <v>9131</v>
      </c>
    </row>
    <row r="379" spans="1:12">
      <c r="A379" s="20"/>
      <c r="B379" s="75"/>
      <c r="C379" s="21"/>
      <c r="E379" s="27">
        <v>-1</v>
      </c>
      <c r="F379" s="27">
        <v>-1</v>
      </c>
      <c r="H379" s="27">
        <v>67</v>
      </c>
      <c r="I379" s="27" t="str">
        <f>IF(H379="","",VLOOKUP(H379,'#状态名词'!$A$2:$C$99,2))</f>
        <v>inte</v>
      </c>
      <c r="J379" s="27" t="str">
        <f>IF(H379="","",VLOOKUP(H379,'#状态名词'!$A$2:$C$99,3))</f>
        <v>智力</v>
      </c>
      <c r="K379" s="26" t="s">
        <v>9132</v>
      </c>
    </row>
    <row r="380" spans="1:12">
      <c r="A380" s="20">
        <v>6505</v>
      </c>
      <c r="B380" s="20" t="s">
        <v>9082</v>
      </c>
      <c r="C380" s="21" t="s">
        <v>9128</v>
      </c>
      <c r="E380" s="27">
        <v>5</v>
      </c>
      <c r="F380" s="27">
        <v>-1</v>
      </c>
      <c r="H380" s="27">
        <v>36</v>
      </c>
      <c r="I380" s="27" t="str">
        <f>IF(H380="","",VLOOKUP(H380,'#状态名词'!$A$2:$C$99,2))</f>
        <v>atk_damage</v>
      </c>
      <c r="J380" s="27" t="str">
        <f>IF(H380="","",VLOOKUP(H380,'#状态名词'!$A$2:$C$99,3))</f>
        <v>攻击附加伤害</v>
      </c>
      <c r="K380" s="26" t="s">
        <v>9133</v>
      </c>
    </row>
    <row r="381" spans="1:12">
      <c r="A381" s="20">
        <v>6602</v>
      </c>
      <c r="B381" s="75" t="s">
        <v>9067</v>
      </c>
      <c r="C381" s="20" t="s">
        <v>9096</v>
      </c>
      <c r="E381" s="27">
        <v>1</v>
      </c>
      <c r="F381" s="27">
        <v>-1</v>
      </c>
      <c r="H381" s="27">
        <v>1</v>
      </c>
      <c r="I381" s="27" t="str">
        <f>IF(H381="","",VLOOKUP(H381,'#状态名词'!$A$2:$C$99,2))</f>
        <v>skilldama</v>
      </c>
      <c r="J381" s="27" t="str">
        <f>IF(H381="","",VLOOKUP(H381,'#状态名词'!$A$2:$C$99,3))</f>
        <v>技能伤害和治疗效果提升B类</v>
      </c>
      <c r="K381" s="26" t="s">
        <v>9134</v>
      </c>
      <c r="L381" s="27">
        <v>6601</v>
      </c>
    </row>
    <row r="382" spans="1:12">
      <c r="A382" s="20">
        <v>6603</v>
      </c>
      <c r="B382" s="75" t="s">
        <v>9065</v>
      </c>
      <c r="C382" s="21" t="s">
        <v>9097</v>
      </c>
      <c r="E382" s="27">
        <v>-1</v>
      </c>
      <c r="F382" s="27">
        <v>-1</v>
      </c>
      <c r="H382" s="27">
        <v>69</v>
      </c>
      <c r="I382" s="27" t="str">
        <f>IF(H382="","",VLOOKUP(H382,'#状态名词'!$A$2:$C$99,2))</f>
        <v>hit</v>
      </c>
      <c r="J382" s="27" t="str">
        <f>IF(H382="","",VLOOKUP(H382,'#状态名词'!$A$2:$C$99,3))</f>
        <v>命中率</v>
      </c>
      <c r="K382" s="26" t="s">
        <v>9135</v>
      </c>
    </row>
    <row r="383" spans="1:12">
      <c r="A383" s="20"/>
      <c r="B383" s="75"/>
      <c r="C383" s="21"/>
      <c r="E383" s="27">
        <v>-1</v>
      </c>
      <c r="F383" s="27">
        <v>-1</v>
      </c>
      <c r="H383" s="27">
        <v>65</v>
      </c>
      <c r="I383" s="27" t="str">
        <f>IF(H383="","",VLOOKUP(H383,'#状态名词'!$A$2:$C$99,2))</f>
        <v>str</v>
      </c>
      <c r="J383" s="27" t="str">
        <f>IF(H383="","",VLOOKUP(H383,'#状态名词'!$A$2:$C$99,3))</f>
        <v>力量</v>
      </c>
      <c r="K383" s="26" t="s">
        <v>9136</v>
      </c>
    </row>
    <row r="384" spans="1:12">
      <c r="A384" s="20">
        <v>6604</v>
      </c>
      <c r="B384" s="75" t="s">
        <v>9090</v>
      </c>
      <c r="C384" s="21" t="s">
        <v>9098</v>
      </c>
      <c r="E384" s="27">
        <v>1</v>
      </c>
      <c r="F384" s="27">
        <v>-1</v>
      </c>
      <c r="H384" s="27">
        <v>23</v>
      </c>
      <c r="I384" s="27" t="str">
        <f>IF(H384="","",VLOOKUP(H384,'#状态名词'!$A$2:$C$99,2))</f>
        <v>steal</v>
      </c>
      <c r="J384" s="27" t="str">
        <f>IF(H384="","",VLOOKUP(H384,'#状态名词'!$A$2:$C$99,3))</f>
        <v>生命偷取</v>
      </c>
      <c r="K384" s="26" t="s">
        <v>9137</v>
      </c>
      <c r="L384" s="27">
        <v>6601</v>
      </c>
    </row>
    <row r="385" spans="1:12">
      <c r="A385" s="20"/>
      <c r="B385" s="75"/>
      <c r="C385" s="21"/>
      <c r="E385" s="27">
        <v>1</v>
      </c>
      <c r="F385" s="27">
        <v>-1</v>
      </c>
      <c r="H385" s="27">
        <v>20</v>
      </c>
      <c r="I385" s="27" t="str">
        <f>IF(H385="","",VLOOKUP(H385,'#状态名词'!$A$2:$C$99,2))</f>
        <v>ratingdamage</v>
      </c>
      <c r="J385" s="27" t="str">
        <f>IF(H385="","",VLOOKUP(H385,'#状态名词'!$A$2:$C$99,3))</f>
        <v>暴伤+</v>
      </c>
      <c r="K385" s="26" t="s">
        <v>9138</v>
      </c>
      <c r="L385" s="27">
        <v>6601</v>
      </c>
    </row>
    <row r="386" spans="1:12">
      <c r="A386" s="20">
        <v>6605</v>
      </c>
      <c r="B386" s="75" t="s">
        <v>9064</v>
      </c>
      <c r="C386" s="21" t="s">
        <v>9099</v>
      </c>
      <c r="E386" s="27">
        <v>60</v>
      </c>
      <c r="F386" s="27">
        <v>-1</v>
      </c>
      <c r="H386" s="27">
        <v>2</v>
      </c>
      <c r="I386" s="27" t="str">
        <f>IF(H386="","",VLOOKUP(H386,'#状态名词'!$A$2:$C$99,2))</f>
        <v>damaup</v>
      </c>
      <c r="J386" s="27" t="str">
        <f>IF(H386="","",VLOOKUP(H386,'#状态名词'!$A$2:$C$99,3))</f>
        <v>伤害提升A类增伤</v>
      </c>
      <c r="K386" s="26" t="s">
        <v>9139</v>
      </c>
    </row>
    <row r="387" spans="1:12">
      <c r="A387" s="20">
        <v>6701</v>
      </c>
      <c r="B387" s="20" t="s">
        <v>9089</v>
      </c>
      <c r="C387" s="21" t="s">
        <v>9100</v>
      </c>
      <c r="E387" s="27">
        <v>-1</v>
      </c>
      <c r="F387" s="27">
        <v>-1</v>
      </c>
      <c r="H387" s="27">
        <v>21</v>
      </c>
      <c r="I387" s="27" t="str">
        <f>IF(H387="","",VLOOKUP(H387,'#状态名词'!$A$2:$C$99,2))</f>
        <v>speed</v>
      </c>
      <c r="J387" s="27" t="str">
        <f>IF(H387="","",VLOOKUP(H387,'#状态名词'!$A$2:$C$99,3))</f>
        <v>速度+</v>
      </c>
      <c r="K387" s="26" t="s">
        <v>9140</v>
      </c>
    </row>
    <row r="388" spans="1:12">
      <c r="A388" s="20"/>
      <c r="B388" s="20"/>
      <c r="C388" s="21"/>
      <c r="E388" s="27">
        <v>-1</v>
      </c>
      <c r="F388" s="27">
        <v>-1</v>
      </c>
      <c r="H388" s="27">
        <v>67</v>
      </c>
      <c r="I388" s="27" t="str">
        <f>IF(H388="","",VLOOKUP(H388,'#状态名词'!$A$2:$C$99,2))</f>
        <v>inte</v>
      </c>
      <c r="J388" s="27" t="str">
        <f>IF(H388="","",VLOOKUP(H388,'#状态名词'!$A$2:$C$99,3))</f>
        <v>智力</v>
      </c>
      <c r="K388" s="26" t="s">
        <v>9141</v>
      </c>
    </row>
    <row r="389" spans="1:12">
      <c r="A389" s="20"/>
      <c r="B389" s="20"/>
      <c r="C389" s="21"/>
      <c r="E389" s="27">
        <v>-1</v>
      </c>
      <c r="F389" s="27">
        <v>-1</v>
      </c>
      <c r="H389" s="27">
        <v>44</v>
      </c>
      <c r="I389" s="27" t="str">
        <f>IF(H389="","",VLOOKUP(H389,'#状态名词'!$A$2:$C$99,2))</f>
        <v>dotup</v>
      </c>
      <c r="J389" s="27" t="str">
        <f>IF(H389="","",VLOOKUP(H389,'#状态名词'!$A$2:$C$99,3))</f>
        <v>持续伤害强化</v>
      </c>
      <c r="K389" s="26" t="s">
        <v>9142</v>
      </c>
    </row>
    <row r="390" spans="1:12">
      <c r="A390" s="20">
        <v>6702</v>
      </c>
      <c r="B390" s="75" t="s">
        <v>9084</v>
      </c>
      <c r="C390" s="21" t="s">
        <v>9129</v>
      </c>
      <c r="E390" s="27">
        <v>1</v>
      </c>
      <c r="F390" s="27">
        <v>-1</v>
      </c>
      <c r="H390" s="27">
        <v>1</v>
      </c>
      <c r="I390" s="27" t="str">
        <f>IF(H390="","",VLOOKUP(H390,'#状态名词'!$A$2:$C$99,2))</f>
        <v>skilldama</v>
      </c>
      <c r="J390" s="27" t="str">
        <f>IF(H390="","",VLOOKUP(H390,'#状态名词'!$A$2:$C$99,3))</f>
        <v>技能伤害和治疗效果提升B类</v>
      </c>
      <c r="K390" s="26" t="s">
        <v>9143</v>
      </c>
      <c r="L390" s="27">
        <v>6701</v>
      </c>
    </row>
    <row r="391" spans="1:12" ht="27">
      <c r="A391" s="20">
        <v>6704</v>
      </c>
      <c r="B391" s="75" t="s">
        <v>9085</v>
      </c>
      <c r="C391" s="21" t="s">
        <v>9130</v>
      </c>
      <c r="E391" s="27">
        <v>-1</v>
      </c>
      <c r="F391" s="27">
        <v>0</v>
      </c>
      <c r="H391" s="27">
        <v>38</v>
      </c>
      <c r="I391" s="27" t="str">
        <f>IF(H391="","",VLOOKUP(H391,'#状态名词'!$A$2:$C$99,2))</f>
        <v>hurt_damage</v>
      </c>
      <c r="J391" s="27" t="str">
        <f>IF(H391="","",VLOOKUP(H391,'#状态名词'!$A$2:$C$99,3))</f>
        <v>被攻击造成伤害</v>
      </c>
      <c r="K391" s="26" t="s">
        <v>9144</v>
      </c>
    </row>
    <row r="392" spans="1:12">
      <c r="A392" s="20">
        <v>6705</v>
      </c>
      <c r="B392" s="75" t="s">
        <v>9069</v>
      </c>
      <c r="C392" s="21" t="s">
        <v>9101</v>
      </c>
      <c r="E392" s="27">
        <v>-1</v>
      </c>
      <c r="F392" s="27">
        <v>-1</v>
      </c>
      <c r="H392" s="27">
        <v>2</v>
      </c>
      <c r="I392" s="27" t="str">
        <f>IF(H392="","",VLOOKUP(H392,'#状态名词'!$A$2:$C$99,2))</f>
        <v>damaup</v>
      </c>
      <c r="J392" s="27" t="str">
        <f>IF(H392="","",VLOOKUP(H392,'#状态名词'!$A$2:$C$99,3))</f>
        <v>伤害提升A类增伤</v>
      </c>
      <c r="K392" s="26" t="s">
        <v>9145</v>
      </c>
    </row>
    <row r="393" spans="1:12">
      <c r="A393" s="20">
        <v>6801</v>
      </c>
      <c r="B393" s="75" t="s">
        <v>9115</v>
      </c>
      <c r="C393" s="21" t="s">
        <v>9119</v>
      </c>
      <c r="E393" s="27">
        <v>1</v>
      </c>
      <c r="F393" s="27">
        <v>-1</v>
      </c>
      <c r="H393" s="27">
        <v>1</v>
      </c>
      <c r="I393" s="27" t="str">
        <f>IF(H393="","",VLOOKUP(H393,'#状态名词'!$A$2:$C$99,2))</f>
        <v>skilldama</v>
      </c>
      <c r="J393" s="27" t="str">
        <f>IF(H393="","",VLOOKUP(H393,'#状态名词'!$A$2:$C$99,3))</f>
        <v>技能伤害和治疗效果提升B类</v>
      </c>
      <c r="K393" s="26" t="s">
        <v>9146</v>
      </c>
    </row>
    <row r="394" spans="1:12">
      <c r="A394" s="20">
        <v>6802</v>
      </c>
      <c r="B394" s="75" t="s">
        <v>9086</v>
      </c>
      <c r="C394" s="21" t="s">
        <v>9120</v>
      </c>
      <c r="E394" s="27">
        <v>-1</v>
      </c>
      <c r="F394" s="27">
        <v>-1</v>
      </c>
      <c r="H394" s="27">
        <v>21</v>
      </c>
      <c r="I394" s="27" t="str">
        <f>IF(H394="","",VLOOKUP(H394,'#状态名词'!$A$2:$C$99,2))</f>
        <v>speed</v>
      </c>
      <c r="J394" s="27" t="str">
        <f>IF(H394="","",VLOOKUP(H394,'#状态名词'!$A$2:$C$99,3))</f>
        <v>速度+</v>
      </c>
      <c r="K394" s="26" t="s">
        <v>9147</v>
      </c>
    </row>
    <row r="395" spans="1:12">
      <c r="A395" s="20">
        <v>6803</v>
      </c>
      <c r="B395" s="75" t="s">
        <v>9071</v>
      </c>
      <c r="C395" s="20" t="s">
        <v>9270</v>
      </c>
      <c r="E395" s="27">
        <v>40</v>
      </c>
      <c r="F395" s="27">
        <v>-1</v>
      </c>
      <c r="H395" s="27">
        <v>61</v>
      </c>
      <c r="I395" s="27" t="str">
        <f>IF(H395="","",VLOOKUP(H395,'#状态名词'!$A$2:$C$99,2))</f>
        <v>team_ad</v>
      </c>
      <c r="J395" s="27" t="str">
        <f>IF(H395="","",VLOOKUP(H395,'#状态名词'!$A$2:$C$99,3))</f>
        <v>队伍AD</v>
      </c>
      <c r="K395" s="26" t="s">
        <v>9271</v>
      </c>
    </row>
    <row r="396" spans="1:12">
      <c r="A396" s="20">
        <v>6804</v>
      </c>
      <c r="B396" s="75" t="s">
        <v>9070</v>
      </c>
      <c r="C396" s="21" t="s">
        <v>9122</v>
      </c>
      <c r="E396" s="27">
        <v>-1</v>
      </c>
      <c r="F396" s="27">
        <v>-1</v>
      </c>
      <c r="H396" s="27">
        <v>21</v>
      </c>
      <c r="I396" s="27" t="str">
        <f>IF(H396="","",VLOOKUP(H396,'#状态名词'!$A$2:$C$99,2))</f>
        <v>speed</v>
      </c>
      <c r="J396" s="27" t="str">
        <f>IF(H396="","",VLOOKUP(H396,'#状态名词'!$A$2:$C$99,3))</f>
        <v>速度+</v>
      </c>
      <c r="K396" s="26" t="s">
        <v>9148</v>
      </c>
    </row>
    <row r="397" spans="1:12">
      <c r="A397" s="20">
        <v>6805</v>
      </c>
      <c r="B397" s="75" t="s">
        <v>9072</v>
      </c>
      <c r="C397" s="21" t="s">
        <v>9121</v>
      </c>
      <c r="E397" s="27">
        <v>-1</v>
      </c>
      <c r="F397" s="27">
        <v>-1</v>
      </c>
      <c r="H397" s="27">
        <v>13</v>
      </c>
      <c r="I397" s="27" t="str">
        <f>IF(H397="","",VLOOKUP(H397,'#状态名词'!$A$2:$C$99,2))</f>
        <v>arm</v>
      </c>
      <c r="J397" s="27" t="str">
        <f>IF(H397="","",VLOOKUP(H397,'#状态名词'!$A$2:$C$99,3))</f>
        <v>ARM+</v>
      </c>
      <c r="K397" s="26" t="s">
        <v>9149</v>
      </c>
    </row>
    <row r="398" spans="1:12">
      <c r="A398" s="20"/>
      <c r="B398" s="75"/>
      <c r="C398" s="21"/>
      <c r="E398" s="27">
        <v>-1</v>
      </c>
      <c r="F398" s="27">
        <v>-1</v>
      </c>
      <c r="H398" s="27">
        <v>15</v>
      </c>
      <c r="I398" s="27" t="str">
        <f>IF(H398="","",VLOOKUP(H398,'#状态名词'!$A$2:$C$99,2))</f>
        <v>mr</v>
      </c>
      <c r="J398" s="27" t="str">
        <f>IF(H398="","",VLOOKUP(H398,'#状态名词'!$A$2:$C$99,3))</f>
        <v>MR+</v>
      </c>
      <c r="K398" s="26" t="s">
        <v>9149</v>
      </c>
    </row>
    <row r="399" spans="1:12">
      <c r="A399" s="20">
        <v>6806</v>
      </c>
      <c r="B399" s="75" t="s">
        <v>9087</v>
      </c>
      <c r="C399" s="21" t="s">
        <v>9104</v>
      </c>
      <c r="E399" s="27">
        <v>-1</v>
      </c>
      <c r="F399" s="27">
        <v>-1</v>
      </c>
      <c r="H399" s="27">
        <v>2</v>
      </c>
      <c r="I399" s="27" t="str">
        <f>IF(H399="","",VLOOKUP(H399,'#状态名词'!$A$2:$C$99,2))</f>
        <v>damaup</v>
      </c>
      <c r="J399" s="27" t="str">
        <f>IF(H399="","",VLOOKUP(H399,'#状态名词'!$A$2:$C$99,3))</f>
        <v>伤害提升A类增伤</v>
      </c>
      <c r="K399" s="26" t="s">
        <v>9150</v>
      </c>
    </row>
    <row r="400" spans="1:12">
      <c r="A400" s="27">
        <v>10002</v>
      </c>
      <c r="B400" s="27" t="s">
        <v>4268</v>
      </c>
      <c r="C400" s="27" t="s">
        <v>1264</v>
      </c>
      <c r="E400" s="27">
        <v>-1</v>
      </c>
      <c r="F400" s="27">
        <v>-1</v>
      </c>
      <c r="H400" s="27">
        <v>13</v>
      </c>
      <c r="I400" s="27" t="str">
        <f>IF(H400="","",VLOOKUP(H400,'#状态名词'!$A$2:$C$99,2))</f>
        <v>arm</v>
      </c>
      <c r="J400" s="27" t="str">
        <f>IF(H400="","",VLOOKUP(H400,'#状态名词'!$A$2:$C$99,3))</f>
        <v>ARM+</v>
      </c>
      <c r="K400" s="26">
        <v>100</v>
      </c>
    </row>
    <row r="401" spans="1:11">
      <c r="B401" s="27" t="s">
        <v>84</v>
      </c>
      <c r="H401" s="27">
        <v>15</v>
      </c>
      <c r="I401" s="27" t="str">
        <f>IF(H401="","",VLOOKUP(H401,'#状态名词'!$A$2:$C$99,2))</f>
        <v>mr</v>
      </c>
      <c r="J401" s="27" t="str">
        <f>IF(H401="","",VLOOKUP(H401,'#状态名词'!$A$2:$C$99,3))</f>
        <v>MR+</v>
      </c>
      <c r="K401" s="26">
        <v>100</v>
      </c>
    </row>
    <row r="402" spans="1:11">
      <c r="A402" s="27">
        <v>10003</v>
      </c>
      <c r="B402" s="20" t="s">
        <v>4269</v>
      </c>
      <c r="C402" s="20" t="s">
        <v>1530</v>
      </c>
      <c r="E402" s="27">
        <v>-1</v>
      </c>
      <c r="F402" s="27">
        <v>-1</v>
      </c>
      <c r="H402" s="27">
        <v>58</v>
      </c>
      <c r="I402" s="27" t="str">
        <f>IF(H402="","",VLOOKUP(H402,'#状态名词'!$A$2:$C$99,2))</f>
        <v>vit</v>
      </c>
      <c r="J402" s="27" t="str">
        <f>IF(H402="","",VLOOKUP(H402,'#状态名词'!$A$2:$C$99,3))</f>
        <v>体力</v>
      </c>
      <c r="K402" s="26" t="s">
        <v>1376</v>
      </c>
    </row>
    <row r="403" spans="1:11">
      <c r="B403" s="27" t="s">
        <v>84</v>
      </c>
      <c r="H403" s="27">
        <v>60</v>
      </c>
      <c r="I403" s="27" t="str">
        <f>IF(H403="","",VLOOKUP(H403,'#状态名词'!$A$2:$C$99,2))</f>
        <v>health</v>
      </c>
      <c r="J403" s="27" t="str">
        <f>IF(H403="","",VLOOKUP(H403,'#状态名词'!$A$2:$C$99,3))</f>
        <v>固定血量</v>
      </c>
      <c r="K403" s="26" t="s">
        <v>1447</v>
      </c>
    </row>
    <row r="404" spans="1:11">
      <c r="A404" s="27">
        <v>10006</v>
      </c>
      <c r="B404" s="27" t="s">
        <v>4722</v>
      </c>
      <c r="E404" s="27">
        <v>-1</v>
      </c>
      <c r="F404" s="27">
        <v>-1</v>
      </c>
      <c r="H404" s="27">
        <v>24</v>
      </c>
      <c r="I404" s="27" t="str">
        <f>IF(H404="","",VLOOKUP(H404,'#状态名词'!$A$2:$C$99,2))</f>
        <v>heal</v>
      </c>
      <c r="J404" s="27" t="str">
        <f>IF(H404="","",VLOOKUP(H404,'#状态名词'!$A$2:$C$99,3))</f>
        <v>治疗效果+</v>
      </c>
      <c r="K404" s="26" t="s">
        <v>7173</v>
      </c>
    </row>
    <row r="405" spans="1:11">
      <c r="A405" s="27">
        <v>10007</v>
      </c>
      <c r="B405" s="27" t="s">
        <v>7365</v>
      </c>
      <c r="E405" s="27">
        <v>-1</v>
      </c>
      <c r="F405" s="27">
        <v>-1</v>
      </c>
      <c r="H405" s="27">
        <v>35</v>
      </c>
      <c r="I405" s="27" t="str">
        <f>IF(H405="","",VLOOKUP(H405,'#状态名词'!$A$2:$C$99,2))</f>
        <v>reelement</v>
      </c>
      <c r="J405" s="27" t="str">
        <f>IF(H405="","",VLOOKUP(H405,'#状态名词'!$A$2:$C$99,3))</f>
        <v>全属性抗性</v>
      </c>
      <c r="K405" s="26" t="s">
        <v>7172</v>
      </c>
    </row>
    <row r="406" spans="1:11">
      <c r="A406" s="27">
        <v>20101</v>
      </c>
      <c r="B406" s="27" t="s">
        <v>4276</v>
      </c>
      <c r="C406" s="27" t="s">
        <v>741</v>
      </c>
      <c r="E406" s="27">
        <v>-1</v>
      </c>
      <c r="F406" s="27">
        <v>-1</v>
      </c>
      <c r="H406" s="27">
        <v>19</v>
      </c>
      <c r="I406" s="27" t="str">
        <f>IF(H406="","",VLOOKUP(H406,'#状态名词'!$A$2:$C$99,2))</f>
        <v>rating</v>
      </c>
      <c r="J406" s="27" t="str">
        <f>IF(H406="","",VLOOKUP(H406,'#状态名词'!$A$2:$C$99,3))</f>
        <v>暴击+</v>
      </c>
      <c r="K406" s="26" t="s">
        <v>1139</v>
      </c>
    </row>
    <row r="407" spans="1:11">
      <c r="A407" s="27">
        <v>20102</v>
      </c>
      <c r="B407" s="27" t="s">
        <v>4277</v>
      </c>
      <c r="C407" s="27" t="s">
        <v>1265</v>
      </c>
      <c r="E407" s="27">
        <v>-1</v>
      </c>
      <c r="F407" s="27">
        <v>-1</v>
      </c>
      <c r="H407" s="27">
        <v>13</v>
      </c>
      <c r="I407" s="27" t="str">
        <f>IF(H407="","",VLOOKUP(H407,'#状态名词'!$A$2:$C$99,2))</f>
        <v>arm</v>
      </c>
      <c r="J407" s="27" t="str">
        <f>IF(H407="","",VLOOKUP(H407,'#状态名词'!$A$2:$C$99,3))</f>
        <v>ARM+</v>
      </c>
      <c r="K407" s="26" t="s">
        <v>1172</v>
      </c>
    </row>
    <row r="408" spans="1:11">
      <c r="B408" s="27" t="s">
        <v>84</v>
      </c>
      <c r="H408" s="27">
        <v>15</v>
      </c>
      <c r="I408" s="27" t="str">
        <f>IF(H408="","",VLOOKUP(H408,'#状态名词'!$A$2:$C$99,2))</f>
        <v>mr</v>
      </c>
      <c r="J408" s="27" t="str">
        <f>IF(H408="","",VLOOKUP(H408,'#状态名词'!$A$2:$C$99,3))</f>
        <v>MR+</v>
      </c>
      <c r="K408" s="26" t="s">
        <v>1266</v>
      </c>
    </row>
    <row r="409" spans="1:11">
      <c r="A409" s="27">
        <v>20103</v>
      </c>
      <c r="B409" s="27" t="s">
        <v>4278</v>
      </c>
      <c r="C409" s="27" t="s">
        <v>1267</v>
      </c>
      <c r="E409" s="27">
        <v>-1</v>
      </c>
      <c r="F409" s="27">
        <v>-1</v>
      </c>
      <c r="H409" s="27">
        <v>60</v>
      </c>
      <c r="I409" s="27" t="str">
        <f>IF(H409="","",VLOOKUP(H409,'#状态名词'!$A$2:$C$99,2))</f>
        <v>health</v>
      </c>
      <c r="J409" s="27" t="str">
        <f>IF(H409="","",VLOOKUP(H409,'#状态名词'!$A$2:$C$99,3))</f>
        <v>固定血量</v>
      </c>
      <c r="K409" s="26" t="s">
        <v>1124</v>
      </c>
    </row>
    <row r="410" spans="1:11">
      <c r="A410" s="27">
        <v>20104</v>
      </c>
      <c r="B410" s="27" t="s">
        <v>4279</v>
      </c>
      <c r="C410" s="27" t="s">
        <v>1268</v>
      </c>
      <c r="E410" s="27">
        <v>-1</v>
      </c>
      <c r="F410" s="27">
        <v>-1</v>
      </c>
      <c r="H410" s="27">
        <v>19</v>
      </c>
      <c r="I410" s="27" t="str">
        <f>IF(H410="","",VLOOKUP(H410,'#状态名词'!$A$2:$C$99,2))</f>
        <v>rating</v>
      </c>
      <c r="J410" s="27" t="str">
        <f>IF(H410="","",VLOOKUP(H410,'#状态名词'!$A$2:$C$99,3))</f>
        <v>暴击+</v>
      </c>
      <c r="K410" s="26" t="s">
        <v>651</v>
      </c>
    </row>
    <row r="411" spans="1:11">
      <c r="A411" s="27">
        <v>20105</v>
      </c>
      <c r="B411" s="27" t="s">
        <v>4280</v>
      </c>
      <c r="C411" s="27" t="s">
        <v>1269</v>
      </c>
      <c r="E411" s="27">
        <v>-1</v>
      </c>
      <c r="F411" s="27">
        <v>-1</v>
      </c>
      <c r="H411" s="27">
        <v>19</v>
      </c>
      <c r="I411" s="27" t="str">
        <f>IF(H411="","",VLOOKUP(H411,'#状态名词'!$A$2:$C$99,2))</f>
        <v>rating</v>
      </c>
      <c r="J411" s="27" t="str">
        <f>IF(H411="","",VLOOKUP(H411,'#状态名词'!$A$2:$C$99,3))</f>
        <v>暴击+</v>
      </c>
      <c r="K411" s="26" t="s">
        <v>1197</v>
      </c>
    </row>
    <row r="412" spans="1:11">
      <c r="A412" s="27">
        <v>20106</v>
      </c>
      <c r="B412" s="27" t="s">
        <v>4281</v>
      </c>
      <c r="C412" s="27" t="s">
        <v>183</v>
      </c>
      <c r="E412" s="27">
        <v>-1</v>
      </c>
      <c r="F412" s="27">
        <v>-1</v>
      </c>
      <c r="H412" s="27">
        <v>13</v>
      </c>
      <c r="I412" s="27" t="str">
        <f>IF(H412="","",VLOOKUP(H412,'#状态名词'!$A$2:$C$99,2))</f>
        <v>arm</v>
      </c>
      <c r="J412" s="27" t="str">
        <f>IF(H412="","",VLOOKUP(H412,'#状态名词'!$A$2:$C$99,3))</f>
        <v>ARM+</v>
      </c>
      <c r="K412" s="26" t="s">
        <v>1270</v>
      </c>
    </row>
    <row r="413" spans="1:11">
      <c r="B413" s="27" t="s">
        <v>84</v>
      </c>
      <c r="H413" s="27">
        <v>15</v>
      </c>
      <c r="I413" s="27" t="str">
        <f>IF(H413="","",VLOOKUP(H413,'#状态名词'!$A$2:$C$99,2))</f>
        <v>mr</v>
      </c>
      <c r="J413" s="27" t="str">
        <f>IF(H413="","",VLOOKUP(H413,'#状态名词'!$A$2:$C$99,3))</f>
        <v>MR+</v>
      </c>
      <c r="K413" s="26" t="s">
        <v>1270</v>
      </c>
    </row>
    <row r="414" spans="1:11">
      <c r="A414" s="27">
        <v>20107</v>
      </c>
      <c r="B414" s="27" t="s">
        <v>4282</v>
      </c>
      <c r="C414" s="27" t="s">
        <v>1271</v>
      </c>
      <c r="E414" s="27">
        <v>-1</v>
      </c>
      <c r="F414" s="27">
        <v>-1</v>
      </c>
      <c r="H414" s="27">
        <v>13</v>
      </c>
      <c r="I414" s="27" t="str">
        <f>IF(H414="","",VLOOKUP(H414,'#状态名词'!$A$2:$C$99,2))</f>
        <v>arm</v>
      </c>
      <c r="J414" s="27" t="str">
        <f>IF(H414="","",VLOOKUP(H414,'#状态名词'!$A$2:$C$99,3))</f>
        <v>ARM+</v>
      </c>
      <c r="K414" s="26" t="s">
        <v>650</v>
      </c>
    </row>
    <row r="415" spans="1:11">
      <c r="B415" s="27" t="s">
        <v>84</v>
      </c>
      <c r="H415" s="27">
        <v>15</v>
      </c>
      <c r="I415" s="27" t="str">
        <f>IF(H415="","",VLOOKUP(H415,'#状态名词'!$A$2:$C$99,2))</f>
        <v>mr</v>
      </c>
      <c r="J415" s="27" t="str">
        <f>IF(H415="","",VLOOKUP(H415,'#状态名词'!$A$2:$C$99,3))</f>
        <v>MR+</v>
      </c>
      <c r="K415" s="26" t="s">
        <v>650</v>
      </c>
    </row>
    <row r="416" spans="1:11">
      <c r="A416" s="27">
        <v>20108</v>
      </c>
      <c r="B416" s="27" t="s">
        <v>4283</v>
      </c>
      <c r="C416" s="27" t="s">
        <v>740</v>
      </c>
      <c r="E416" s="27">
        <v>-1</v>
      </c>
      <c r="F416" s="27">
        <v>-1</v>
      </c>
      <c r="H416" s="27">
        <v>60</v>
      </c>
      <c r="I416" s="27" t="str">
        <f>IF(H416="","",VLOOKUP(H416,'#状态名词'!$A$2:$C$99,2))</f>
        <v>health</v>
      </c>
      <c r="J416" s="27" t="str">
        <f>IF(H416="","",VLOOKUP(H416,'#状态名词'!$A$2:$C$99,3))</f>
        <v>固定血量</v>
      </c>
      <c r="K416" s="26" t="s">
        <v>1272</v>
      </c>
    </row>
    <row r="417" spans="1:11">
      <c r="A417" s="27">
        <v>20109</v>
      </c>
      <c r="B417" s="27" t="s">
        <v>4284</v>
      </c>
      <c r="C417" s="27" t="s">
        <v>1273</v>
      </c>
      <c r="E417" s="27">
        <v>-1</v>
      </c>
      <c r="F417" s="27">
        <v>-1</v>
      </c>
      <c r="H417" s="27">
        <v>60</v>
      </c>
      <c r="I417" s="27" t="str">
        <f>IF(H417="","",VLOOKUP(H417,'#状态名词'!$A$2:$C$99,2))</f>
        <v>health</v>
      </c>
      <c r="J417" s="27" t="str">
        <f>IF(H417="","",VLOOKUP(H417,'#状态名词'!$A$2:$C$99,3))</f>
        <v>固定血量</v>
      </c>
      <c r="K417" s="26" t="s">
        <v>1274</v>
      </c>
    </row>
    <row r="418" spans="1:11">
      <c r="A418" s="27">
        <v>20110</v>
      </c>
      <c r="B418" s="27" t="s">
        <v>4296</v>
      </c>
      <c r="C418" s="27" t="s">
        <v>1275</v>
      </c>
      <c r="E418" s="27">
        <v>-1</v>
      </c>
      <c r="F418" s="27">
        <v>-1</v>
      </c>
      <c r="H418" s="27">
        <v>62</v>
      </c>
      <c r="I418" s="27" t="str">
        <f>IF(H418="","",VLOOKUP(H418,'#状态名词'!$A$2:$C$99,2))</f>
        <v>team_ap</v>
      </c>
      <c r="J418" s="27" t="str">
        <f>IF(H418="","",VLOOKUP(H418,'#状态名词'!$A$2:$C$99,3))</f>
        <v>队伍AP</v>
      </c>
      <c r="K418" s="26" t="s">
        <v>9013</v>
      </c>
    </row>
    <row r="419" spans="1:11">
      <c r="A419" s="27">
        <v>20111</v>
      </c>
      <c r="B419" s="27" t="s">
        <v>4297</v>
      </c>
      <c r="C419" s="27" t="s">
        <v>175</v>
      </c>
      <c r="E419" s="27">
        <v>-1</v>
      </c>
      <c r="F419" s="27">
        <v>-1</v>
      </c>
      <c r="H419" s="27">
        <v>62</v>
      </c>
      <c r="I419" s="27" t="str">
        <f>IF(H419="","",VLOOKUP(H419,'#状态名词'!$A$2:$C$99,2))</f>
        <v>team_ap</v>
      </c>
      <c r="J419" s="27" t="str">
        <f>IF(H419="","",VLOOKUP(H419,'#状态名词'!$A$2:$C$99,3))</f>
        <v>队伍AP</v>
      </c>
      <c r="K419" s="26" t="s">
        <v>9014</v>
      </c>
    </row>
    <row r="420" spans="1:11">
      <c r="A420" s="27">
        <v>20112</v>
      </c>
      <c r="B420" s="27" t="s">
        <v>4298</v>
      </c>
      <c r="C420" s="27" t="s">
        <v>1276</v>
      </c>
      <c r="E420" s="27">
        <v>-1</v>
      </c>
      <c r="F420" s="27">
        <v>-1</v>
      </c>
      <c r="H420" s="27">
        <v>62</v>
      </c>
      <c r="I420" s="27" t="str">
        <f>IF(H420="","",VLOOKUP(H420,'#状态名词'!$A$2:$C$99,2))</f>
        <v>team_ap</v>
      </c>
      <c r="J420" s="27" t="str">
        <f>IF(H420="","",VLOOKUP(H420,'#状态名词'!$A$2:$C$99,3))</f>
        <v>队伍AP</v>
      </c>
      <c r="K420" s="26" t="s">
        <v>1153</v>
      </c>
    </row>
    <row r="421" spans="1:11">
      <c r="A421" s="27">
        <v>20113</v>
      </c>
      <c r="B421" s="27" t="s">
        <v>4299</v>
      </c>
      <c r="C421" s="27" t="s">
        <v>1277</v>
      </c>
      <c r="E421" s="27">
        <v>-1</v>
      </c>
      <c r="F421" s="27">
        <v>-1</v>
      </c>
      <c r="H421" s="27">
        <v>61</v>
      </c>
      <c r="I421" s="27" t="str">
        <f>IF(H421="","",VLOOKUP(H421,'#状态名词'!$A$2:$C$99,2))</f>
        <v>team_ad</v>
      </c>
      <c r="J421" s="27" t="str">
        <f>IF(H421="","",VLOOKUP(H421,'#状态名词'!$A$2:$C$99,3))</f>
        <v>队伍AD</v>
      </c>
      <c r="K421" s="26" t="s">
        <v>9013</v>
      </c>
    </row>
    <row r="422" spans="1:11">
      <c r="A422" s="27">
        <v>20114</v>
      </c>
      <c r="B422" s="27" t="s">
        <v>4300</v>
      </c>
      <c r="C422" s="27" t="s">
        <v>1278</v>
      </c>
      <c r="E422" s="27">
        <v>-1</v>
      </c>
      <c r="F422" s="27">
        <v>-1</v>
      </c>
      <c r="H422" s="27">
        <v>61</v>
      </c>
      <c r="I422" s="27" t="str">
        <f>IF(H422="","",VLOOKUP(H422,'#状态名词'!$A$2:$C$99,2))</f>
        <v>team_ad</v>
      </c>
      <c r="J422" s="27" t="str">
        <f>IF(H422="","",VLOOKUP(H422,'#状态名词'!$A$2:$C$99,3))</f>
        <v>队伍AD</v>
      </c>
      <c r="K422" s="26" t="s">
        <v>9014</v>
      </c>
    </row>
    <row r="423" spans="1:11">
      <c r="A423" s="27">
        <v>20115</v>
      </c>
      <c r="B423" s="27" t="s">
        <v>4301</v>
      </c>
      <c r="C423" s="27" t="s">
        <v>1279</v>
      </c>
      <c r="E423" s="27">
        <v>-1</v>
      </c>
      <c r="F423" s="27">
        <v>-1</v>
      </c>
      <c r="H423" s="27">
        <v>61</v>
      </c>
      <c r="I423" s="27" t="str">
        <f>IF(H423="","",VLOOKUP(H423,'#状态名词'!$A$2:$C$99,2))</f>
        <v>team_ad</v>
      </c>
      <c r="J423" s="27" t="str">
        <f>IF(H423="","",VLOOKUP(H423,'#状态名词'!$A$2:$C$99,3))</f>
        <v>队伍AD</v>
      </c>
      <c r="K423" s="26" t="s">
        <v>1153</v>
      </c>
    </row>
    <row r="424" spans="1:11">
      <c r="A424" s="27">
        <v>20116</v>
      </c>
      <c r="B424" s="27" t="s">
        <v>4302</v>
      </c>
      <c r="C424" s="27" t="s">
        <v>1280</v>
      </c>
      <c r="E424" s="27">
        <v>-1</v>
      </c>
      <c r="F424" s="27">
        <v>-1</v>
      </c>
      <c r="H424" s="27">
        <v>21</v>
      </c>
      <c r="I424" s="27" t="str">
        <f>IF(H424="","",VLOOKUP(H424,'#状态名词'!$A$2:$C$99,2))</f>
        <v>speed</v>
      </c>
      <c r="J424" s="27" t="str">
        <f>IF(H424="","",VLOOKUP(H424,'#状态名词'!$A$2:$C$99,3))</f>
        <v>速度+</v>
      </c>
      <c r="K424" s="26" t="s">
        <v>1139</v>
      </c>
    </row>
    <row r="425" spans="1:11">
      <c r="A425" s="27">
        <v>20117</v>
      </c>
      <c r="B425" s="27" t="s">
        <v>4303</v>
      </c>
      <c r="C425" s="27" t="s">
        <v>1281</v>
      </c>
      <c r="E425" s="27">
        <v>-1</v>
      </c>
      <c r="F425" s="27">
        <v>-1</v>
      </c>
      <c r="H425" s="27">
        <v>21</v>
      </c>
      <c r="I425" s="27" t="str">
        <f>IF(H425="","",VLOOKUP(H425,'#状态名词'!$A$2:$C$99,2))</f>
        <v>speed</v>
      </c>
      <c r="J425" s="27" t="str">
        <f>IF(H425="","",VLOOKUP(H425,'#状态名词'!$A$2:$C$99,3))</f>
        <v>速度+</v>
      </c>
      <c r="K425" s="26" t="s">
        <v>1000</v>
      </c>
    </row>
    <row r="426" spans="1:11">
      <c r="A426" s="27">
        <v>20118</v>
      </c>
      <c r="B426" s="27" t="s">
        <v>4304</v>
      </c>
      <c r="C426" s="27" t="s">
        <v>742</v>
      </c>
      <c r="E426" s="27">
        <v>-1</v>
      </c>
      <c r="F426" s="27">
        <v>-1</v>
      </c>
      <c r="H426" s="27">
        <v>21</v>
      </c>
      <c r="I426" s="27" t="str">
        <f>IF(H426="","",VLOOKUP(H426,'#状态名词'!$A$2:$C$99,2))</f>
        <v>speed</v>
      </c>
      <c r="J426" s="27" t="str">
        <f>IF(H426="","",VLOOKUP(H426,'#状态名词'!$A$2:$C$99,3))</f>
        <v>速度+</v>
      </c>
      <c r="K426" s="26" t="s">
        <v>1282</v>
      </c>
    </row>
    <row r="427" spans="1:11">
      <c r="A427" s="27">
        <v>20119</v>
      </c>
      <c r="B427" s="27" t="s">
        <v>3986</v>
      </c>
      <c r="C427" s="27" t="s">
        <v>2046</v>
      </c>
      <c r="E427" s="27">
        <v>-1</v>
      </c>
      <c r="F427" s="27">
        <v>-1</v>
      </c>
      <c r="H427" s="27">
        <v>54</v>
      </c>
      <c r="I427" s="27" t="str">
        <f>IF(H427="","",VLOOKUP(H427,'#状态名词'!$A$2:$C$99,2))</f>
        <v>spi</v>
      </c>
      <c r="J427" s="27" t="str">
        <f>IF(H427="","",VLOOKUP(H427,'#状态名词'!$A$2:$C$99,3))</f>
        <v>精神</v>
      </c>
      <c r="K427" s="26" t="s">
        <v>1283</v>
      </c>
    </row>
    <row r="428" spans="1:11">
      <c r="A428" s="27">
        <v>20120</v>
      </c>
      <c r="B428" s="27" t="s">
        <v>4305</v>
      </c>
      <c r="C428" s="27" t="s">
        <v>2047</v>
      </c>
      <c r="E428" s="27">
        <v>-1</v>
      </c>
      <c r="F428" s="27">
        <v>-1</v>
      </c>
      <c r="H428" s="27">
        <v>54</v>
      </c>
      <c r="I428" s="27" t="str">
        <f>IF(H428="","",VLOOKUP(H428,'#状态名词'!$A$2:$C$99,2))</f>
        <v>spi</v>
      </c>
      <c r="J428" s="27" t="str">
        <f>IF(H428="","",VLOOKUP(H428,'#状态名词'!$A$2:$C$99,3))</f>
        <v>精神</v>
      </c>
      <c r="K428" s="26" t="s">
        <v>1284</v>
      </c>
    </row>
    <row r="429" spans="1:11">
      <c r="A429" s="27">
        <v>20121</v>
      </c>
      <c r="B429" s="27" t="s">
        <v>4306</v>
      </c>
      <c r="C429" s="27" t="s">
        <v>2048</v>
      </c>
      <c r="E429" s="27">
        <v>-1</v>
      </c>
      <c r="F429" s="27">
        <v>-1</v>
      </c>
      <c r="H429" s="27">
        <v>54</v>
      </c>
      <c r="I429" s="27" t="str">
        <f>IF(H429="","",VLOOKUP(H429,'#状态名词'!$A$2:$C$99,2))</f>
        <v>spi</v>
      </c>
      <c r="J429" s="27" t="str">
        <f>IF(H429="","",VLOOKUP(H429,'#状态名词'!$A$2:$C$99,3))</f>
        <v>精神</v>
      </c>
      <c r="K429" s="26" t="s">
        <v>985</v>
      </c>
    </row>
    <row r="430" spans="1:11">
      <c r="A430" s="27">
        <v>20122</v>
      </c>
      <c r="B430" s="27" t="s">
        <v>4307</v>
      </c>
      <c r="C430" s="27" t="s">
        <v>1285</v>
      </c>
      <c r="E430" s="27">
        <v>-1</v>
      </c>
      <c r="F430" s="27">
        <v>-1</v>
      </c>
      <c r="H430" s="27">
        <v>17</v>
      </c>
      <c r="I430" s="27" t="str">
        <f>IF(H430="","",VLOOKUP(H430,'#状态名词'!$A$2:$C$99,2))</f>
        <v>adi</v>
      </c>
      <c r="J430" s="27" t="str">
        <f>IF(H430="","",VLOOKUP(H430,'#状态名词'!$A$2:$C$99,3))</f>
        <v>物穿</v>
      </c>
      <c r="K430" s="26" t="s">
        <v>1139</v>
      </c>
    </row>
    <row r="431" spans="1:11">
      <c r="A431" s="27">
        <v>20123</v>
      </c>
      <c r="B431" s="27" t="s">
        <v>4308</v>
      </c>
      <c r="C431" s="27" t="s">
        <v>1286</v>
      </c>
      <c r="E431" s="27">
        <v>-1</v>
      </c>
      <c r="F431" s="27">
        <v>-1</v>
      </c>
      <c r="H431" s="27">
        <v>17</v>
      </c>
      <c r="I431" s="27" t="str">
        <f>IF(H431="","",VLOOKUP(H431,'#状态名词'!$A$2:$C$99,2))</f>
        <v>adi</v>
      </c>
      <c r="J431" s="27" t="str">
        <f>IF(H431="","",VLOOKUP(H431,'#状态名词'!$A$2:$C$99,3))</f>
        <v>物穿</v>
      </c>
      <c r="K431" s="26" t="s">
        <v>1000</v>
      </c>
    </row>
    <row r="432" spans="1:11">
      <c r="A432" s="27">
        <v>20124</v>
      </c>
      <c r="B432" s="27" t="s">
        <v>4309</v>
      </c>
      <c r="C432" s="27" t="s">
        <v>1287</v>
      </c>
      <c r="E432" s="27">
        <v>-1</v>
      </c>
      <c r="F432" s="27">
        <v>-1</v>
      </c>
      <c r="H432" s="27">
        <v>17</v>
      </c>
      <c r="I432" s="27" t="str">
        <f>IF(H432="","",VLOOKUP(H432,'#状态名词'!$A$2:$C$99,2))</f>
        <v>adi</v>
      </c>
      <c r="J432" s="27" t="str">
        <f>IF(H432="","",VLOOKUP(H432,'#状态名词'!$A$2:$C$99,3))</f>
        <v>物穿</v>
      </c>
      <c r="K432" s="26" t="s">
        <v>1197</v>
      </c>
    </row>
    <row r="433" spans="1:12">
      <c r="A433" s="27">
        <v>20125</v>
      </c>
      <c r="B433" s="27" t="s">
        <v>4310</v>
      </c>
      <c r="C433" s="27" t="s">
        <v>1288</v>
      </c>
      <c r="E433" s="27">
        <v>-1</v>
      </c>
      <c r="F433" s="27">
        <v>-1</v>
      </c>
      <c r="H433" s="27">
        <v>18</v>
      </c>
      <c r="I433" s="27" t="str">
        <f>IF(H433="","",VLOOKUP(H433,'#状态名词'!$A$2:$C$99,2))</f>
        <v>api</v>
      </c>
      <c r="J433" s="27" t="str">
        <f>IF(H433="","",VLOOKUP(H433,'#状态名词'!$A$2:$C$99,3))</f>
        <v>法穿</v>
      </c>
      <c r="K433" s="26" t="s">
        <v>1139</v>
      </c>
    </row>
    <row r="434" spans="1:12">
      <c r="A434" s="27">
        <v>20126</v>
      </c>
      <c r="B434" s="27" t="s">
        <v>4311</v>
      </c>
      <c r="C434" s="27" t="s">
        <v>1289</v>
      </c>
      <c r="E434" s="27">
        <v>-1</v>
      </c>
      <c r="F434" s="27">
        <v>-1</v>
      </c>
      <c r="H434" s="27">
        <v>18</v>
      </c>
      <c r="I434" s="27" t="str">
        <f>IF(H434="","",VLOOKUP(H434,'#状态名词'!$A$2:$C$99,2))</f>
        <v>api</v>
      </c>
      <c r="J434" s="27" t="str">
        <f>IF(H434="","",VLOOKUP(H434,'#状态名词'!$A$2:$C$99,3))</f>
        <v>法穿</v>
      </c>
      <c r="K434" s="26" t="s">
        <v>651</v>
      </c>
    </row>
    <row r="435" spans="1:12">
      <c r="A435" s="27">
        <v>20127</v>
      </c>
      <c r="B435" s="27" t="s">
        <v>4312</v>
      </c>
      <c r="C435" s="27" t="s">
        <v>1290</v>
      </c>
      <c r="E435" s="27">
        <v>-1</v>
      </c>
      <c r="F435" s="27">
        <v>-1</v>
      </c>
      <c r="H435" s="27">
        <v>18</v>
      </c>
      <c r="I435" s="27" t="str">
        <f>IF(H435="","",VLOOKUP(H435,'#状态名词'!$A$2:$C$99,2))</f>
        <v>api</v>
      </c>
      <c r="J435" s="27" t="str">
        <f>IF(H435="","",VLOOKUP(H435,'#状态名词'!$A$2:$C$99,3))</f>
        <v>法穿</v>
      </c>
      <c r="K435" s="26" t="s">
        <v>1197</v>
      </c>
    </row>
    <row r="436" spans="1:12">
      <c r="A436" s="27">
        <v>20128</v>
      </c>
      <c r="B436" s="27" t="s">
        <v>4330</v>
      </c>
      <c r="C436" s="27" t="s">
        <v>1291</v>
      </c>
      <c r="E436" s="27">
        <v>1</v>
      </c>
      <c r="F436" s="27">
        <v>-1</v>
      </c>
      <c r="H436" s="27">
        <v>1</v>
      </c>
      <c r="I436" s="27" t="str">
        <f>IF(H436="","",VLOOKUP(H436,'#状态名词'!$A$2:$C$99,2))</f>
        <v>skilldama</v>
      </c>
      <c r="J436" s="27" t="str">
        <f>IF(H436="","",VLOOKUP(H436,'#状态名词'!$A$2:$C$99,3))</f>
        <v>技能伤害和治疗效果提升B类</v>
      </c>
      <c r="K436" s="26" t="s">
        <v>1292</v>
      </c>
      <c r="L436" s="27">
        <v>20140</v>
      </c>
    </row>
    <row r="437" spans="1:12">
      <c r="A437" s="27">
        <v>20129</v>
      </c>
      <c r="B437" s="27" t="s">
        <v>4331</v>
      </c>
      <c r="C437" s="27" t="s">
        <v>1293</v>
      </c>
      <c r="E437" s="27">
        <v>1</v>
      </c>
      <c r="F437" s="27">
        <v>-1</v>
      </c>
      <c r="H437" s="27">
        <v>1</v>
      </c>
      <c r="I437" s="27" t="str">
        <f>IF(H437="","",VLOOKUP(H437,'#状态名词'!$A$2:$C$99,2))</f>
        <v>skilldama</v>
      </c>
      <c r="J437" s="27" t="str">
        <f>IF(H437="","",VLOOKUP(H437,'#状态名词'!$A$2:$C$99,3))</f>
        <v>技能伤害和治疗效果提升B类</v>
      </c>
      <c r="K437" s="26" t="s">
        <v>1294</v>
      </c>
      <c r="L437" s="27">
        <v>20141</v>
      </c>
    </row>
    <row r="438" spans="1:12">
      <c r="A438" s="27">
        <v>20130</v>
      </c>
      <c r="B438" s="27" t="s">
        <v>4332</v>
      </c>
      <c r="C438" s="27" t="s">
        <v>1295</v>
      </c>
      <c r="E438" s="27">
        <v>1</v>
      </c>
      <c r="F438" s="27">
        <v>-1</v>
      </c>
      <c r="H438" s="27">
        <v>1</v>
      </c>
      <c r="I438" s="27" t="str">
        <f>IF(H438="","",VLOOKUP(H438,'#状态名词'!$A$2:$C$99,2))</f>
        <v>skilldama</v>
      </c>
      <c r="J438" s="27" t="str">
        <f>IF(H438="","",VLOOKUP(H438,'#状态名词'!$A$2:$C$99,3))</f>
        <v>技能伤害和治疗效果提升B类</v>
      </c>
      <c r="K438" s="26" t="s">
        <v>1081</v>
      </c>
      <c r="L438" s="27">
        <v>20142</v>
      </c>
    </row>
    <row r="439" spans="1:12">
      <c r="A439" s="27">
        <v>20152</v>
      </c>
      <c r="B439" s="27" t="s">
        <v>4345</v>
      </c>
      <c r="C439" s="27" t="s">
        <v>1296</v>
      </c>
      <c r="E439" s="27">
        <v>-1</v>
      </c>
      <c r="F439" s="27">
        <v>-1</v>
      </c>
      <c r="H439" s="27">
        <v>17</v>
      </c>
      <c r="I439" s="27" t="str">
        <f>IF(H439="","",VLOOKUP(H439,'#状态名词'!$A$2:$C$99,2))</f>
        <v>adi</v>
      </c>
      <c r="J439" s="27" t="str">
        <f>IF(H439="","",VLOOKUP(H439,'#状态名词'!$A$2:$C$99,3))</f>
        <v>物穿</v>
      </c>
      <c r="K439" s="26" t="s">
        <v>1297</v>
      </c>
    </row>
    <row r="440" spans="1:12">
      <c r="B440" s="27" t="s">
        <v>84</v>
      </c>
      <c r="H440" s="27">
        <v>18</v>
      </c>
      <c r="I440" s="27" t="str">
        <f>IF(H440="","",VLOOKUP(H440,'#状态名词'!$A$2:$C$99,2))</f>
        <v>api</v>
      </c>
      <c r="J440" s="27" t="str">
        <f>IF(H440="","",VLOOKUP(H440,'#状态名词'!$A$2:$C$99,3))</f>
        <v>法穿</v>
      </c>
      <c r="K440" s="26" t="s">
        <v>1298</v>
      </c>
    </row>
    <row r="441" spans="1:12">
      <c r="A441" s="27">
        <v>20154</v>
      </c>
      <c r="B441" s="27" t="s">
        <v>4348</v>
      </c>
      <c r="C441" s="27" t="s">
        <v>1299</v>
      </c>
      <c r="E441" s="27">
        <v>1</v>
      </c>
      <c r="F441" s="27">
        <v>0</v>
      </c>
      <c r="H441" s="27">
        <v>19</v>
      </c>
      <c r="I441" s="27" t="str">
        <f>IF(H441="","",VLOOKUP(H441,'#状态名词'!$A$2:$C$99,2))</f>
        <v>rating</v>
      </c>
      <c r="J441" s="27" t="str">
        <f>IF(H441="","",VLOOKUP(H441,'#状态名词'!$A$2:$C$99,3))</f>
        <v>暴击+</v>
      </c>
      <c r="K441" s="26" t="s">
        <v>1300</v>
      </c>
    </row>
    <row r="442" spans="1:12">
      <c r="B442" s="27" t="s">
        <v>84</v>
      </c>
      <c r="H442" s="27">
        <v>20</v>
      </c>
      <c r="I442" s="27" t="str">
        <f>IF(H442="","",VLOOKUP(H442,'#状态名词'!$A$2:$C$99,2))</f>
        <v>ratingdamage</v>
      </c>
      <c r="J442" s="27" t="str">
        <f>IF(H442="","",VLOOKUP(H442,'#状态名词'!$A$2:$C$99,3))</f>
        <v>暴伤+</v>
      </c>
      <c r="K442" s="26" t="s">
        <v>745</v>
      </c>
    </row>
    <row r="443" spans="1:12">
      <c r="A443" s="27">
        <v>20155</v>
      </c>
      <c r="B443" s="27" t="s">
        <v>7481</v>
      </c>
      <c r="C443" s="27" t="s">
        <v>1301</v>
      </c>
      <c r="E443" s="27">
        <v>1</v>
      </c>
      <c r="F443" s="27">
        <v>1</v>
      </c>
      <c r="H443" s="27">
        <v>23</v>
      </c>
      <c r="I443" s="27" t="str">
        <f>IF(H443="","",VLOOKUP(H443,'#状态名词'!$A$2:$C$99,2))</f>
        <v>steal</v>
      </c>
      <c r="J443" s="27" t="str">
        <f>IF(H443="","",VLOOKUP(H443,'#状态名词'!$A$2:$C$99,3))</f>
        <v>生命偷取</v>
      </c>
      <c r="K443" s="26" t="s">
        <v>1036</v>
      </c>
    </row>
    <row r="444" spans="1:12">
      <c r="A444" s="27">
        <v>20156</v>
      </c>
      <c r="B444" s="27" t="s">
        <v>4349</v>
      </c>
      <c r="C444" s="27" t="s">
        <v>2111</v>
      </c>
      <c r="E444" s="27">
        <v>-1</v>
      </c>
      <c r="F444" s="27">
        <v>-1</v>
      </c>
      <c r="G444" s="27">
        <v>20156</v>
      </c>
      <c r="I444" s="27" t="str">
        <f>IF(H444="","",VLOOKUP(H444,'#状态名词'!$A$2:$C$99,2))</f>
        <v/>
      </c>
      <c r="J444" s="27" t="str">
        <f>IF(H444="","",VLOOKUP(H444,'#状态名词'!$A$2:$C$99,3))</f>
        <v/>
      </c>
    </row>
    <row r="445" spans="1:12">
      <c r="A445" s="27">
        <v>20157</v>
      </c>
      <c r="B445" s="27" t="s">
        <v>4351</v>
      </c>
      <c r="C445" s="27" t="s">
        <v>2093</v>
      </c>
      <c r="E445" s="27">
        <v>-1</v>
      </c>
      <c r="F445" s="27">
        <v>1</v>
      </c>
      <c r="H445" s="27">
        <v>54</v>
      </c>
      <c r="I445" s="27" t="str">
        <f>IF(H445="","",VLOOKUP(H445,'#状态名词'!$A$2:$C$99,2))</f>
        <v>spi</v>
      </c>
      <c r="J445" s="27" t="str">
        <f>IF(H445="","",VLOOKUP(H445,'#状态名词'!$A$2:$C$99,3))</f>
        <v>精神</v>
      </c>
      <c r="K445" s="26" t="s">
        <v>1302</v>
      </c>
    </row>
    <row r="446" spans="1:12">
      <c r="A446" s="27">
        <v>20158</v>
      </c>
      <c r="B446" s="27" t="s">
        <v>4354</v>
      </c>
      <c r="C446" s="27" t="s">
        <v>191</v>
      </c>
      <c r="E446" s="27">
        <v>1</v>
      </c>
      <c r="F446" s="27">
        <v>-1</v>
      </c>
      <c r="H446" s="27">
        <v>1</v>
      </c>
      <c r="I446" s="27" t="str">
        <f>IF(H446="","",VLOOKUP(H446,'#状态名词'!$A$2:$C$99,2))</f>
        <v>skilldama</v>
      </c>
      <c r="J446" s="27" t="str">
        <f>IF(H446="","",VLOOKUP(H446,'#状态名词'!$A$2:$C$99,3))</f>
        <v>技能伤害和治疗效果提升B类</v>
      </c>
      <c r="K446" s="26" t="s">
        <v>744</v>
      </c>
    </row>
    <row r="447" spans="1:12">
      <c r="A447" s="27">
        <v>20159</v>
      </c>
      <c r="B447" s="27" t="s">
        <v>4355</v>
      </c>
      <c r="C447" s="27" t="s">
        <v>1303</v>
      </c>
      <c r="E447" s="27">
        <v>-1</v>
      </c>
      <c r="F447" s="27">
        <v>1</v>
      </c>
      <c r="H447" s="27">
        <v>21</v>
      </c>
      <c r="I447" s="27" t="str">
        <f>IF(H447="","",VLOOKUP(H447,'#状态名词'!$A$2:$C$99,2))</f>
        <v>speed</v>
      </c>
      <c r="J447" s="27" t="str">
        <f>IF(H447="","",VLOOKUP(H447,'#状态名词'!$A$2:$C$99,3))</f>
        <v>速度+</v>
      </c>
      <c r="K447" s="26" t="s">
        <v>1036</v>
      </c>
    </row>
    <row r="448" spans="1:12">
      <c r="A448" s="27">
        <v>23101</v>
      </c>
      <c r="B448" s="27" t="s">
        <v>7366</v>
      </c>
      <c r="C448" s="27" t="s">
        <v>1304</v>
      </c>
      <c r="E448" s="27">
        <v>-1</v>
      </c>
      <c r="F448" s="27">
        <v>-1</v>
      </c>
      <c r="H448" s="27">
        <v>61</v>
      </c>
      <c r="I448" s="27" t="str">
        <f>IF(H448="","",VLOOKUP(H448,'#状态名词'!$A$2:$C$99,2))</f>
        <v>team_ad</v>
      </c>
      <c r="J448" s="27" t="str">
        <f>IF(H448="","",VLOOKUP(H448,'#状态名词'!$A$2:$C$99,3))</f>
        <v>队伍AD</v>
      </c>
      <c r="K448" s="26" t="s">
        <v>1195</v>
      </c>
    </row>
    <row r="449" spans="1:12">
      <c r="A449" s="27">
        <v>23102</v>
      </c>
      <c r="B449" s="27" t="s">
        <v>7367</v>
      </c>
      <c r="C449" s="27" t="s">
        <v>783</v>
      </c>
      <c r="E449" s="27">
        <v>-1</v>
      </c>
      <c r="F449" s="27">
        <v>-1</v>
      </c>
      <c r="H449" s="27">
        <v>13</v>
      </c>
      <c r="I449" s="27" t="str">
        <f>IF(H449="","",VLOOKUP(H449,'#状态名词'!$A$2:$C$99,2))</f>
        <v>arm</v>
      </c>
      <c r="J449" s="27" t="str">
        <f>IF(H449="","",VLOOKUP(H449,'#状态名词'!$A$2:$C$99,3))</f>
        <v>ARM+</v>
      </c>
      <c r="K449" s="26" t="s">
        <v>1305</v>
      </c>
    </row>
    <row r="450" spans="1:12">
      <c r="B450" s="27" t="s">
        <v>84</v>
      </c>
      <c r="E450" s="27">
        <v>-1</v>
      </c>
      <c r="F450" s="27">
        <v>-1</v>
      </c>
      <c r="H450" s="27">
        <v>15</v>
      </c>
      <c r="I450" s="27" t="str">
        <f>IF(H450="","",VLOOKUP(H450,'#状态名词'!$A$2:$C$99,2))</f>
        <v>mr</v>
      </c>
      <c r="J450" s="27" t="str">
        <f>IF(H450="","",VLOOKUP(H450,'#状态名词'!$A$2:$C$99,3))</f>
        <v>MR+</v>
      </c>
      <c r="K450" s="26" t="s">
        <v>1306</v>
      </c>
    </row>
    <row r="451" spans="1:12">
      <c r="A451" s="27">
        <v>23103</v>
      </c>
      <c r="B451" s="27" t="s">
        <v>4359</v>
      </c>
      <c r="C451" s="27" t="s">
        <v>2049</v>
      </c>
      <c r="E451" s="27">
        <v>-1</v>
      </c>
      <c r="F451" s="27">
        <v>-1</v>
      </c>
      <c r="H451" s="27">
        <v>54</v>
      </c>
      <c r="I451" s="27" t="str">
        <f>IF(H451="","",VLOOKUP(H451,'#状态名词'!$A$2:$C$99,2))</f>
        <v>spi</v>
      </c>
      <c r="J451" s="27" t="str">
        <f>IF(H451="","",VLOOKUP(H451,'#状态名词'!$A$2:$C$99,3))</f>
        <v>精神</v>
      </c>
      <c r="K451" s="26" t="s">
        <v>1307</v>
      </c>
    </row>
    <row r="452" spans="1:12">
      <c r="A452" s="27">
        <v>23104</v>
      </c>
      <c r="B452" s="27" t="s">
        <v>4360</v>
      </c>
      <c r="C452" s="27" t="s">
        <v>1308</v>
      </c>
      <c r="E452" s="27">
        <v>-1</v>
      </c>
      <c r="F452" s="27">
        <v>-1</v>
      </c>
      <c r="H452" s="27">
        <v>36</v>
      </c>
      <c r="I452" s="27" t="str">
        <f>IF(H452="","",VLOOKUP(H452,'#状态名词'!$A$2:$C$99,2))</f>
        <v>atk_damage</v>
      </c>
      <c r="J452" s="27" t="str">
        <f>IF(H452="","",VLOOKUP(H452,'#状态名词'!$A$2:$C$99,3))</f>
        <v>攻击附加伤害</v>
      </c>
      <c r="K452" s="26" t="s">
        <v>1309</v>
      </c>
      <c r="L452" s="27">
        <v>23101</v>
      </c>
    </row>
    <row r="453" spans="1:12">
      <c r="A453" s="27">
        <v>23201</v>
      </c>
      <c r="B453" s="27" t="s">
        <v>4364</v>
      </c>
      <c r="C453" s="27" t="s">
        <v>834</v>
      </c>
      <c r="E453" s="27">
        <v>1</v>
      </c>
      <c r="F453" s="27">
        <v>-1</v>
      </c>
      <c r="H453" s="27">
        <v>1</v>
      </c>
      <c r="I453" s="27" t="str">
        <f>IF(H453="","",VLOOKUP(H453,'#状态名词'!$A$2:$C$99,2))</f>
        <v>skilldama</v>
      </c>
      <c r="J453" s="27" t="str">
        <f>IF(H453="","",VLOOKUP(H453,'#状态名词'!$A$2:$C$99,3))</f>
        <v>技能伤害和治疗效果提升B类</v>
      </c>
      <c r="K453" s="26" t="s">
        <v>8061</v>
      </c>
      <c r="L453" s="27">
        <v>23201</v>
      </c>
    </row>
    <row r="454" spans="1:12">
      <c r="A454" s="27">
        <v>23202</v>
      </c>
      <c r="B454" s="27" t="s">
        <v>4365</v>
      </c>
      <c r="C454" s="27" t="s">
        <v>1310</v>
      </c>
      <c r="E454" s="27">
        <v>-1</v>
      </c>
      <c r="F454" s="27">
        <v>-1</v>
      </c>
      <c r="H454" s="27">
        <v>21</v>
      </c>
      <c r="I454" s="27" t="str">
        <f>IF(H454="","",VLOOKUP(H454,'#状态名词'!$A$2:$C$99,2))</f>
        <v>speed</v>
      </c>
      <c r="J454" s="27" t="str">
        <f>IF(H454="","",VLOOKUP(H454,'#状态名词'!$A$2:$C$99,3))</f>
        <v>速度+</v>
      </c>
      <c r="K454" s="26" t="s">
        <v>1311</v>
      </c>
    </row>
    <row r="455" spans="1:12">
      <c r="A455" s="27">
        <v>23203</v>
      </c>
      <c r="B455" s="27" t="s">
        <v>4366</v>
      </c>
      <c r="C455" s="27" t="s">
        <v>1312</v>
      </c>
      <c r="E455" s="27">
        <v>-1</v>
      </c>
      <c r="F455" s="27">
        <v>-1</v>
      </c>
      <c r="H455" s="27">
        <v>18</v>
      </c>
      <c r="I455" s="27" t="str">
        <f>IF(H455="","",VLOOKUP(H455,'#状态名词'!$A$2:$C$99,2))</f>
        <v>api</v>
      </c>
      <c r="J455" s="27" t="str">
        <f>IF(H455="","",VLOOKUP(H455,'#状态名词'!$A$2:$C$99,3))</f>
        <v>法穿</v>
      </c>
      <c r="K455" s="26" t="s">
        <v>649</v>
      </c>
    </row>
    <row r="456" spans="1:12">
      <c r="A456" s="27">
        <v>23204</v>
      </c>
      <c r="B456" s="27" t="s">
        <v>4367</v>
      </c>
      <c r="C456" s="27" t="s">
        <v>1313</v>
      </c>
      <c r="E456" s="27">
        <v>-1</v>
      </c>
      <c r="F456" s="27">
        <v>-1</v>
      </c>
      <c r="H456" s="27">
        <v>19</v>
      </c>
      <c r="I456" s="27" t="str">
        <f>IF(H456="","",VLOOKUP(H456,'#状态名词'!$A$2:$C$99,2))</f>
        <v>rating</v>
      </c>
      <c r="J456" s="27" t="str">
        <f>IF(H456="","",VLOOKUP(H456,'#状态名词'!$A$2:$C$99,3))</f>
        <v>暴击+</v>
      </c>
      <c r="K456" s="26" t="s">
        <v>1314</v>
      </c>
    </row>
    <row r="457" spans="1:12">
      <c r="A457" s="27">
        <v>23301</v>
      </c>
      <c r="B457" s="27" t="s">
        <v>4369</v>
      </c>
      <c r="C457" s="27" t="s">
        <v>648</v>
      </c>
      <c r="E457" s="27">
        <v>-1</v>
      </c>
      <c r="F457" s="27">
        <v>-1</v>
      </c>
      <c r="H457" s="27">
        <v>36</v>
      </c>
      <c r="I457" s="27" t="str">
        <f>IF(H457="","",VLOOKUP(H457,'#状态名词'!$A$2:$C$99,2))</f>
        <v>atk_damage</v>
      </c>
      <c r="J457" s="27" t="str">
        <f>IF(H457="","",VLOOKUP(H457,'#状态名词'!$A$2:$C$99,3))</f>
        <v>攻击附加伤害</v>
      </c>
      <c r="K457" s="26" t="s">
        <v>1315</v>
      </c>
    </row>
    <row r="458" spans="1:12">
      <c r="A458" s="27">
        <v>23302</v>
      </c>
      <c r="B458" s="27" t="s">
        <v>4370</v>
      </c>
      <c r="C458" s="27" t="s">
        <v>1316</v>
      </c>
      <c r="E458" s="27">
        <v>-1</v>
      </c>
      <c r="F458" s="27">
        <v>-1</v>
      </c>
      <c r="H458" s="27">
        <v>24</v>
      </c>
      <c r="I458" s="27" t="str">
        <f>IF(H458="","",VLOOKUP(H458,'#状态名词'!$A$2:$C$99,2))</f>
        <v>heal</v>
      </c>
      <c r="J458" s="27" t="str">
        <f>IF(H458="","",VLOOKUP(H458,'#状态名词'!$A$2:$C$99,3))</f>
        <v>治疗效果+</v>
      </c>
      <c r="K458" s="26" t="s">
        <v>1317</v>
      </c>
    </row>
    <row r="459" spans="1:12">
      <c r="A459" s="27">
        <v>23303</v>
      </c>
      <c r="B459" s="27" t="s">
        <v>4371</v>
      </c>
      <c r="C459" s="27" t="s">
        <v>1318</v>
      </c>
      <c r="E459" s="27">
        <v>-1</v>
      </c>
      <c r="F459" s="27">
        <v>-1</v>
      </c>
      <c r="H459" s="27">
        <v>42</v>
      </c>
      <c r="I459" s="27" t="str">
        <f>IF(H459="","",VLOOKUP(H459,'#状态名词'!$A$2:$C$99,2))</f>
        <v>turn_heal</v>
      </c>
      <c r="J459" s="27" t="str">
        <f>IF(H459="","",VLOOKUP(H459,'#状态名词'!$A$2:$C$99,3))</f>
        <v>回合回复</v>
      </c>
      <c r="K459" s="26" t="s">
        <v>1319</v>
      </c>
    </row>
    <row r="460" spans="1:12">
      <c r="A460" s="27">
        <v>23304</v>
      </c>
      <c r="B460" s="27" t="s">
        <v>4372</v>
      </c>
      <c r="C460" s="27" t="s">
        <v>1320</v>
      </c>
      <c r="E460" s="27">
        <v>-1</v>
      </c>
      <c r="F460" s="27">
        <v>-1</v>
      </c>
      <c r="H460" s="27">
        <v>38</v>
      </c>
      <c r="I460" s="27" t="str">
        <f>IF(H460="","",VLOOKUP(H460,'#状态名词'!$A$2:$C$99,2))</f>
        <v>hurt_damage</v>
      </c>
      <c r="J460" s="27" t="str">
        <f>IF(H460="","",VLOOKUP(H460,'#状态名词'!$A$2:$C$99,3))</f>
        <v>被攻击造成伤害</v>
      </c>
      <c r="K460" s="26" t="s">
        <v>1321</v>
      </c>
    </row>
    <row r="461" spans="1:12">
      <c r="A461" s="27">
        <v>23305</v>
      </c>
      <c r="B461" s="27" t="s">
        <v>4374</v>
      </c>
      <c r="C461" s="27" t="s">
        <v>1322</v>
      </c>
      <c r="E461" s="27">
        <v>-1</v>
      </c>
      <c r="F461" s="27">
        <v>-1</v>
      </c>
      <c r="H461" s="27">
        <v>21</v>
      </c>
      <c r="I461" s="27" t="str">
        <f>IF(H461="","",VLOOKUP(H461,'#状态名词'!$A$2:$C$99,2))</f>
        <v>speed</v>
      </c>
      <c r="J461" s="27" t="str">
        <f>IF(H461="","",VLOOKUP(H461,'#状态名词'!$A$2:$C$99,3))</f>
        <v>速度+</v>
      </c>
      <c r="K461" s="26" t="s">
        <v>1323</v>
      </c>
    </row>
    <row r="462" spans="1:12">
      <c r="A462" s="27">
        <v>23401</v>
      </c>
      <c r="B462" s="27" t="s">
        <v>4376</v>
      </c>
      <c r="C462" s="27" t="s">
        <v>1324</v>
      </c>
      <c r="E462" s="27">
        <v>-1</v>
      </c>
      <c r="F462" s="27">
        <v>-1</v>
      </c>
      <c r="H462" s="27">
        <v>61</v>
      </c>
      <c r="I462" s="27" t="str">
        <f>IF(H462="","",VLOOKUP(H462,'#状态名词'!$A$2:$C$99,2))</f>
        <v>team_ad</v>
      </c>
      <c r="J462" s="27" t="str">
        <f>IF(H462="","",VLOOKUP(H462,'#状态名词'!$A$2:$C$99,3))</f>
        <v>队伍AD</v>
      </c>
      <c r="K462" s="26" t="s">
        <v>1325</v>
      </c>
    </row>
    <row r="463" spans="1:12">
      <c r="B463" s="27" t="s">
        <v>84</v>
      </c>
      <c r="E463" s="27">
        <v>-1</v>
      </c>
      <c r="F463" s="27">
        <v>-1</v>
      </c>
      <c r="H463" s="27">
        <v>62</v>
      </c>
      <c r="I463" s="27" t="str">
        <f>IF(H463="","",VLOOKUP(H463,'#状态名词'!$A$2:$C$99,2))</f>
        <v>team_ap</v>
      </c>
      <c r="J463" s="27" t="str">
        <f>IF(H463="","",VLOOKUP(H463,'#状态名词'!$A$2:$C$99,3))</f>
        <v>队伍AP</v>
      </c>
      <c r="K463" s="26" t="s">
        <v>1325</v>
      </c>
    </row>
    <row r="464" spans="1:12">
      <c r="A464" s="27">
        <v>23402</v>
      </c>
      <c r="B464" s="27" t="s">
        <v>4377</v>
      </c>
      <c r="C464" s="27" t="s">
        <v>1326</v>
      </c>
      <c r="E464" s="27">
        <v>-1</v>
      </c>
      <c r="F464" s="27">
        <v>-1</v>
      </c>
      <c r="H464" s="27">
        <v>19</v>
      </c>
      <c r="I464" s="27" t="str">
        <f>IF(H464="","",VLOOKUP(H464,'#状态名词'!$A$2:$C$99,2))</f>
        <v>rating</v>
      </c>
      <c r="J464" s="27" t="str">
        <f>IF(H464="","",VLOOKUP(H464,'#状态名词'!$A$2:$C$99,3))</f>
        <v>暴击+</v>
      </c>
      <c r="K464" s="26" t="s">
        <v>1327</v>
      </c>
    </row>
    <row r="465" spans="1:11">
      <c r="A465" s="27">
        <v>23403</v>
      </c>
      <c r="B465" s="27" t="s">
        <v>4378</v>
      </c>
      <c r="C465" s="27" t="s">
        <v>1328</v>
      </c>
      <c r="E465" s="27">
        <v>5</v>
      </c>
      <c r="F465" s="27">
        <v>3</v>
      </c>
      <c r="H465" s="27">
        <v>19</v>
      </c>
      <c r="I465" s="27" t="str">
        <f>IF(H465="","",VLOOKUP(H465,'#状态名词'!$A$2:$C$99,2))</f>
        <v>rating</v>
      </c>
      <c r="J465" s="27" t="str">
        <f>IF(H465="","",VLOOKUP(H465,'#状态名词'!$A$2:$C$99,3))</f>
        <v>暴击+</v>
      </c>
      <c r="K465" s="26" t="s">
        <v>786</v>
      </c>
    </row>
    <row r="466" spans="1:11">
      <c r="A466" s="27">
        <v>23404</v>
      </c>
      <c r="B466" s="27" t="s">
        <v>4381</v>
      </c>
      <c r="C466" s="27" t="s">
        <v>1329</v>
      </c>
      <c r="E466" s="27">
        <v>10</v>
      </c>
      <c r="F466" s="27">
        <v>-1</v>
      </c>
      <c r="H466" s="27">
        <v>21</v>
      </c>
      <c r="I466" s="27" t="str">
        <f>IF(H466="","",VLOOKUP(H466,'#状态名词'!$A$2:$C$99,2))</f>
        <v>speed</v>
      </c>
      <c r="J466" s="27" t="str">
        <f>IF(H466="","",VLOOKUP(H466,'#状态名词'!$A$2:$C$99,3))</f>
        <v>速度+</v>
      </c>
      <c r="K466" s="26" t="s">
        <v>837</v>
      </c>
    </row>
    <row r="467" spans="1:11">
      <c r="A467" s="27">
        <v>23501</v>
      </c>
      <c r="B467" s="27" t="s">
        <v>4387</v>
      </c>
      <c r="C467" s="27" t="s">
        <v>2050</v>
      </c>
      <c r="E467" s="27">
        <v>-1</v>
      </c>
      <c r="F467" s="27">
        <v>-1</v>
      </c>
      <c r="H467" s="27">
        <v>21</v>
      </c>
      <c r="I467" s="27" t="str">
        <f>IF(H467="","",VLOOKUP(H467,'#状态名词'!$A$2:$C$99,2))</f>
        <v>speed</v>
      </c>
      <c r="J467" s="27" t="str">
        <f>IF(H467="","",VLOOKUP(H467,'#状态名词'!$A$2:$C$99,3))</f>
        <v>速度+</v>
      </c>
      <c r="K467" s="26" t="s">
        <v>1330</v>
      </c>
    </row>
    <row r="468" spans="1:11">
      <c r="B468" s="27" t="s">
        <v>84</v>
      </c>
      <c r="E468" s="27">
        <v>-1</v>
      </c>
      <c r="F468" s="27">
        <v>-1</v>
      </c>
      <c r="H468" s="27">
        <v>54</v>
      </c>
      <c r="I468" s="27" t="str">
        <f>IF(H468="","",VLOOKUP(H468,'#状态名词'!$A$2:$C$99,2))</f>
        <v>spi</v>
      </c>
      <c r="J468" s="27" t="str">
        <f>IF(H468="","",VLOOKUP(H468,'#状态名词'!$A$2:$C$99,3))</f>
        <v>精神</v>
      </c>
      <c r="K468" s="26" t="s">
        <v>1331</v>
      </c>
    </row>
    <row r="469" spans="1:11">
      <c r="A469" s="27">
        <v>23502</v>
      </c>
      <c r="B469" s="27" t="s">
        <v>4388</v>
      </c>
      <c r="C469" s="27" t="s">
        <v>1332</v>
      </c>
      <c r="E469" s="27">
        <v>-1</v>
      </c>
      <c r="F469" s="27">
        <v>-1</v>
      </c>
      <c r="H469" s="27">
        <v>19</v>
      </c>
      <c r="I469" s="27" t="str">
        <f>IF(H469="","",VLOOKUP(H469,'#状态名词'!$A$2:$C$99,2))</f>
        <v>rating</v>
      </c>
      <c r="J469" s="27" t="str">
        <f>IF(H469="","",VLOOKUP(H469,'#状态名词'!$A$2:$C$99,3))</f>
        <v>暴击+</v>
      </c>
      <c r="K469" s="26" t="s">
        <v>964</v>
      </c>
    </row>
    <row r="470" spans="1:11">
      <c r="A470" s="27">
        <v>23503</v>
      </c>
      <c r="B470" s="27" t="s">
        <v>4389</v>
      </c>
      <c r="C470" s="27" t="s">
        <v>835</v>
      </c>
      <c r="E470" s="27">
        <v>-1</v>
      </c>
      <c r="F470" s="27">
        <v>-1</v>
      </c>
      <c r="H470" s="27">
        <v>61</v>
      </c>
      <c r="I470" s="27" t="str">
        <f>IF(H470="","",VLOOKUP(H470,'#状态名词'!$A$2:$C$99,2))</f>
        <v>team_ad</v>
      </c>
      <c r="J470" s="27" t="str">
        <f>IF(H470="","",VLOOKUP(H470,'#状态名词'!$A$2:$C$99,3))</f>
        <v>队伍AD</v>
      </c>
      <c r="K470" s="26" t="s">
        <v>1333</v>
      </c>
    </row>
    <row r="471" spans="1:11">
      <c r="B471" s="27" t="s">
        <v>84</v>
      </c>
      <c r="E471" s="27">
        <v>-1</v>
      </c>
      <c r="F471" s="27">
        <v>-1</v>
      </c>
      <c r="H471" s="27">
        <v>17</v>
      </c>
      <c r="I471" s="27" t="str">
        <f>IF(H471="","",VLOOKUP(H471,'#状态名词'!$A$2:$C$99,2))</f>
        <v>adi</v>
      </c>
      <c r="J471" s="27" t="str">
        <f>IF(H471="","",VLOOKUP(H471,'#状态名词'!$A$2:$C$99,3))</f>
        <v>物穿</v>
      </c>
      <c r="K471" s="26" t="s">
        <v>651</v>
      </c>
    </row>
    <row r="472" spans="1:11">
      <c r="A472" s="27">
        <v>23601</v>
      </c>
      <c r="B472" s="27" t="s">
        <v>4390</v>
      </c>
      <c r="C472" s="27" t="s">
        <v>2051</v>
      </c>
      <c r="E472" s="27">
        <v>-1</v>
      </c>
      <c r="F472" s="27">
        <v>-1</v>
      </c>
      <c r="H472" s="27">
        <v>54</v>
      </c>
      <c r="I472" s="27" t="str">
        <f>IF(H472="","",VLOOKUP(H472,'#状态名词'!$A$2:$C$99,2))</f>
        <v>spi</v>
      </c>
      <c r="J472" s="27" t="str">
        <f>IF(H472="","",VLOOKUP(H472,'#状态名词'!$A$2:$C$99,3))</f>
        <v>精神</v>
      </c>
      <c r="K472" s="26" t="s">
        <v>1334</v>
      </c>
    </row>
    <row r="473" spans="1:11">
      <c r="A473" s="27">
        <v>23602</v>
      </c>
      <c r="B473" s="27" t="s">
        <v>4392</v>
      </c>
      <c r="C473" s="27" t="s">
        <v>1335</v>
      </c>
      <c r="E473" s="27">
        <v>-1</v>
      </c>
      <c r="F473" s="27">
        <v>-1</v>
      </c>
      <c r="H473" s="27">
        <v>61</v>
      </c>
      <c r="I473" s="27" t="str">
        <f>IF(H473="","",VLOOKUP(H473,'#状态名词'!$A$2:$C$99,2))</f>
        <v>team_ad</v>
      </c>
      <c r="J473" s="27" t="str">
        <f>IF(H473="","",VLOOKUP(H473,'#状态名词'!$A$2:$C$99,3))</f>
        <v>队伍AD</v>
      </c>
      <c r="K473" s="26" t="s">
        <v>1002</v>
      </c>
    </row>
    <row r="474" spans="1:11">
      <c r="B474" s="27" t="s">
        <v>84</v>
      </c>
      <c r="E474" s="27">
        <v>-1</v>
      </c>
      <c r="F474" s="27">
        <v>-1</v>
      </c>
      <c r="H474" s="27">
        <v>62</v>
      </c>
      <c r="I474" s="27" t="str">
        <f>IF(H474="","",VLOOKUP(H474,'#状态名词'!$A$2:$C$99,2))</f>
        <v>team_ap</v>
      </c>
      <c r="J474" s="27" t="str">
        <f>IF(H474="","",VLOOKUP(H474,'#状态名词'!$A$2:$C$99,3))</f>
        <v>队伍AP</v>
      </c>
      <c r="K474" s="26" t="s">
        <v>656</v>
      </c>
    </row>
    <row r="475" spans="1:11">
      <c r="B475" s="27" t="s">
        <v>84</v>
      </c>
      <c r="E475" s="27">
        <v>-1</v>
      </c>
      <c r="F475" s="27">
        <v>-1</v>
      </c>
      <c r="H475" s="27">
        <v>13</v>
      </c>
      <c r="I475" s="27" t="str">
        <f>IF(H475="","",VLOOKUP(H475,'#状态名词'!$A$2:$C$99,2))</f>
        <v>arm</v>
      </c>
      <c r="J475" s="27" t="str">
        <f>IF(H475="","",VLOOKUP(H475,'#状态名词'!$A$2:$C$99,3))</f>
        <v>ARM+</v>
      </c>
      <c r="K475" s="26" t="s">
        <v>1336</v>
      </c>
    </row>
    <row r="476" spans="1:11">
      <c r="B476" s="27" t="s">
        <v>84</v>
      </c>
      <c r="E476" s="27">
        <v>-1</v>
      </c>
      <c r="F476" s="27">
        <v>-1</v>
      </c>
      <c r="H476" s="27">
        <v>15</v>
      </c>
      <c r="I476" s="27" t="str">
        <f>IF(H476="","",VLOOKUP(H476,'#状态名词'!$A$2:$C$99,2))</f>
        <v>mr</v>
      </c>
      <c r="J476" s="27" t="str">
        <f>IF(H476="","",VLOOKUP(H476,'#状态名词'!$A$2:$C$99,3))</f>
        <v>MR+</v>
      </c>
      <c r="K476" s="26" t="s">
        <v>830</v>
      </c>
    </row>
    <row r="477" spans="1:11">
      <c r="A477" s="27">
        <v>23603</v>
      </c>
      <c r="B477" s="27" t="s">
        <v>4393</v>
      </c>
      <c r="C477" s="27" t="s">
        <v>1337</v>
      </c>
      <c r="E477" s="27">
        <v>-1</v>
      </c>
      <c r="F477" s="27">
        <v>-1</v>
      </c>
      <c r="H477" s="27">
        <v>62</v>
      </c>
      <c r="I477" s="27" t="str">
        <f>IF(H477="","",VLOOKUP(H477,'#状态名词'!$A$2:$C$99,2))</f>
        <v>team_ap</v>
      </c>
      <c r="J477" s="27" t="str">
        <f>IF(H477="","",VLOOKUP(H477,'#状态名词'!$A$2:$C$99,3))</f>
        <v>队伍AP</v>
      </c>
      <c r="K477" s="26" t="s">
        <v>1338</v>
      </c>
    </row>
    <row r="478" spans="1:11">
      <c r="A478" s="27">
        <v>23604</v>
      </c>
      <c r="B478" s="27" t="s">
        <v>4394</v>
      </c>
      <c r="C478" s="27" t="s">
        <v>1339</v>
      </c>
      <c r="E478" s="27">
        <v>-1</v>
      </c>
      <c r="F478" s="27">
        <v>-1</v>
      </c>
      <c r="H478" s="27">
        <v>21</v>
      </c>
      <c r="I478" s="27" t="str">
        <f>IF(H478="","",VLOOKUP(H478,'#状态名词'!$A$2:$C$99,2))</f>
        <v>speed</v>
      </c>
      <c r="J478" s="27" t="str">
        <f>IF(H478="","",VLOOKUP(H478,'#状态名词'!$A$2:$C$99,3))</f>
        <v>速度+</v>
      </c>
      <c r="K478" s="26" t="s">
        <v>1340</v>
      </c>
    </row>
    <row r="479" spans="1:11">
      <c r="A479" s="27">
        <v>23701</v>
      </c>
      <c r="B479" s="27" t="s">
        <v>4398</v>
      </c>
      <c r="C479" s="27" t="s">
        <v>1341</v>
      </c>
      <c r="E479" s="27">
        <v>-1</v>
      </c>
      <c r="F479" s="27">
        <v>-1</v>
      </c>
      <c r="H479" s="27">
        <v>17</v>
      </c>
      <c r="I479" s="27" t="str">
        <f>IF(H479="","",VLOOKUP(H479,'#状态名词'!$A$2:$C$99,2))</f>
        <v>adi</v>
      </c>
      <c r="J479" s="27" t="str">
        <f>IF(H479="","",VLOOKUP(H479,'#状态名词'!$A$2:$C$99,3))</f>
        <v>物穿</v>
      </c>
      <c r="K479" s="26" t="s">
        <v>1342</v>
      </c>
    </row>
    <row r="480" spans="1:11">
      <c r="A480" s="27">
        <v>23702</v>
      </c>
      <c r="B480" s="27" t="s">
        <v>4399</v>
      </c>
      <c r="C480" s="27" t="s">
        <v>1343</v>
      </c>
      <c r="E480" s="27">
        <v>-1</v>
      </c>
      <c r="F480" s="27">
        <v>-1</v>
      </c>
      <c r="H480" s="27">
        <v>20</v>
      </c>
      <c r="I480" s="27" t="str">
        <f>IF(H480="","",VLOOKUP(H480,'#状态名词'!$A$2:$C$99,2))</f>
        <v>ratingdamage</v>
      </c>
      <c r="J480" s="27" t="str">
        <f>IF(H480="","",VLOOKUP(H480,'#状态名词'!$A$2:$C$99,3))</f>
        <v>暴伤+</v>
      </c>
      <c r="K480" s="26" t="s">
        <v>1327</v>
      </c>
    </row>
    <row r="481" spans="1:11">
      <c r="A481" s="27">
        <v>23703</v>
      </c>
      <c r="B481" s="27" t="s">
        <v>4400</v>
      </c>
      <c r="C481" s="27" t="s">
        <v>1344</v>
      </c>
      <c r="E481" s="27">
        <v>-1</v>
      </c>
      <c r="F481" s="27">
        <v>-1</v>
      </c>
      <c r="H481" s="27">
        <v>14</v>
      </c>
      <c r="I481" s="27" t="str">
        <f>IF(H481="","",VLOOKUP(H481,'#状态名词'!$A$2:$C$99,2))</f>
        <v>arm_per</v>
      </c>
      <c r="J481" s="27" t="str">
        <f>IF(H481="","",VLOOKUP(H481,'#状态名词'!$A$2:$C$99,3))</f>
        <v>护甲百分比</v>
      </c>
      <c r="K481" s="26" t="s">
        <v>1345</v>
      </c>
    </row>
    <row r="482" spans="1:11">
      <c r="A482" s="27">
        <v>23801</v>
      </c>
      <c r="B482" s="27" t="s">
        <v>4403</v>
      </c>
      <c r="C482" s="27" t="s">
        <v>1346</v>
      </c>
      <c r="E482" s="27">
        <v>-1</v>
      </c>
      <c r="F482" s="27">
        <v>-1</v>
      </c>
      <c r="H482" s="27">
        <v>19</v>
      </c>
      <c r="I482" s="27" t="str">
        <f>IF(H482="","",VLOOKUP(H482,'#状态名词'!$A$2:$C$99,2))</f>
        <v>rating</v>
      </c>
      <c r="J482" s="27" t="str">
        <f>IF(H482="","",VLOOKUP(H482,'#状态名词'!$A$2:$C$99,3))</f>
        <v>暴击+</v>
      </c>
      <c r="K482" s="26" t="s">
        <v>1237</v>
      </c>
    </row>
    <row r="483" spans="1:11">
      <c r="A483" s="27">
        <v>23802</v>
      </c>
      <c r="B483" s="27" t="s">
        <v>4404</v>
      </c>
      <c r="C483" s="27" t="s">
        <v>1347</v>
      </c>
      <c r="E483" s="27">
        <v>-1</v>
      </c>
      <c r="F483" s="27">
        <v>-1</v>
      </c>
      <c r="H483" s="27">
        <v>18</v>
      </c>
      <c r="I483" s="27" t="str">
        <f>IF(H483="","",VLOOKUP(H483,'#状态名词'!$A$2:$C$99,2))</f>
        <v>api</v>
      </c>
      <c r="J483" s="27" t="str">
        <f>IF(H483="","",VLOOKUP(H483,'#状态名词'!$A$2:$C$99,3))</f>
        <v>法穿</v>
      </c>
      <c r="K483" s="26" t="s">
        <v>1348</v>
      </c>
    </row>
    <row r="484" spans="1:11">
      <c r="A484" s="27">
        <v>23803</v>
      </c>
      <c r="B484" s="27" t="s">
        <v>4405</v>
      </c>
      <c r="C484" s="27" t="s">
        <v>653</v>
      </c>
      <c r="E484" s="27">
        <v>-1</v>
      </c>
      <c r="F484" s="27">
        <v>-1</v>
      </c>
      <c r="H484" s="27">
        <v>20</v>
      </c>
      <c r="I484" s="27" t="str">
        <f>IF(H484="","",VLOOKUP(H484,'#状态名词'!$A$2:$C$99,2))</f>
        <v>ratingdamage</v>
      </c>
      <c r="J484" s="27" t="str">
        <f>IF(H484="","",VLOOKUP(H484,'#状态名词'!$A$2:$C$99,3))</f>
        <v>暴伤+</v>
      </c>
      <c r="K484" s="26" t="s">
        <v>1182</v>
      </c>
    </row>
    <row r="485" spans="1:11">
      <c r="A485" s="27">
        <v>23804</v>
      </c>
      <c r="B485" s="27" t="s">
        <v>4409</v>
      </c>
      <c r="C485" s="27" t="s">
        <v>1349</v>
      </c>
      <c r="E485" s="27">
        <v>-1</v>
      </c>
      <c r="F485" s="27">
        <v>-1</v>
      </c>
      <c r="H485" s="27">
        <v>30</v>
      </c>
      <c r="I485" s="27" t="str">
        <f>IF(H485="","",VLOOKUP(H485,'#状态名词'!$A$2:$C$99,2))</f>
        <v>elementup</v>
      </c>
      <c r="J485" s="27" t="str">
        <f>IF(H485="","",VLOOKUP(H485,'#状态名词'!$A$2:$C$99,3))</f>
        <v>全属性强化</v>
      </c>
      <c r="K485" s="26" t="s">
        <v>922</v>
      </c>
    </row>
    <row r="486" spans="1:11">
      <c r="A486" s="27">
        <v>23901</v>
      </c>
      <c r="B486" s="27" t="s">
        <v>4411</v>
      </c>
      <c r="C486" s="27" t="s">
        <v>836</v>
      </c>
      <c r="E486" s="27">
        <v>-1</v>
      </c>
      <c r="F486" s="27">
        <v>-1</v>
      </c>
      <c r="H486" s="27">
        <v>61</v>
      </c>
      <c r="I486" s="27" t="str">
        <f>IF(H486="","",VLOOKUP(H486,'#状态名词'!$A$2:$C$99,2))</f>
        <v>team_ad</v>
      </c>
      <c r="J486" s="27" t="str">
        <f>IF(H486="","",VLOOKUP(H486,'#状态名词'!$A$2:$C$99,3))</f>
        <v>队伍AD</v>
      </c>
      <c r="K486" s="26" t="s">
        <v>1350</v>
      </c>
    </row>
    <row r="487" spans="1:11">
      <c r="A487" s="27">
        <v>23902</v>
      </c>
      <c r="B487" s="27" t="s">
        <v>457</v>
      </c>
      <c r="C487" s="27" t="s">
        <v>1351</v>
      </c>
      <c r="E487" s="27">
        <v>-1</v>
      </c>
      <c r="F487" s="27">
        <v>-1</v>
      </c>
      <c r="H487" s="27">
        <v>17</v>
      </c>
      <c r="I487" s="27" t="str">
        <f>IF(H487="","",VLOOKUP(H487,'#状态名词'!$A$2:$C$99,2))</f>
        <v>adi</v>
      </c>
      <c r="J487" s="27" t="str">
        <f>IF(H487="","",VLOOKUP(H487,'#状态名词'!$A$2:$C$99,3))</f>
        <v>物穿</v>
      </c>
      <c r="K487" s="26" t="s">
        <v>1352</v>
      </c>
    </row>
    <row r="488" spans="1:11">
      <c r="B488" s="27" t="s">
        <v>84</v>
      </c>
      <c r="E488" s="27">
        <v>-1</v>
      </c>
      <c r="F488" s="27">
        <v>-1</v>
      </c>
      <c r="H488" s="27">
        <v>21</v>
      </c>
      <c r="I488" s="27" t="str">
        <f>IF(H488="","",VLOOKUP(H488,'#状态名词'!$A$2:$C$99,2))</f>
        <v>speed</v>
      </c>
      <c r="J488" s="27" t="str">
        <f>IF(H488="","",VLOOKUP(H488,'#状态名词'!$A$2:$C$99,3))</f>
        <v>速度+</v>
      </c>
      <c r="K488" s="26" t="s">
        <v>1353</v>
      </c>
    </row>
    <row r="489" spans="1:11">
      <c r="A489" s="27">
        <v>23903</v>
      </c>
      <c r="B489" s="27" t="s">
        <v>4415</v>
      </c>
      <c r="C489" s="27" t="s">
        <v>1354</v>
      </c>
      <c r="E489" s="27">
        <v>-1</v>
      </c>
      <c r="F489" s="27">
        <v>-1</v>
      </c>
      <c r="H489" s="27">
        <v>21</v>
      </c>
      <c r="I489" s="27" t="str">
        <f>IF(H489="","",VLOOKUP(H489,'#状态名词'!$A$2:$C$99,2))</f>
        <v>speed</v>
      </c>
      <c r="J489" s="27" t="str">
        <f>IF(H489="","",VLOOKUP(H489,'#状态名词'!$A$2:$C$99,3))</f>
        <v>速度+</v>
      </c>
      <c r="K489" s="26" t="s">
        <v>1355</v>
      </c>
    </row>
    <row r="490" spans="1:11">
      <c r="A490" s="27">
        <v>23904</v>
      </c>
      <c r="B490" s="27" t="s">
        <v>4416</v>
      </c>
      <c r="C490" s="27" t="s">
        <v>2052</v>
      </c>
      <c r="E490" s="27">
        <v>-1</v>
      </c>
      <c r="F490" s="27">
        <v>-1</v>
      </c>
      <c r="H490" s="27">
        <v>54</v>
      </c>
      <c r="I490" s="27" t="str">
        <f>IF(H490="","",VLOOKUP(H490,'#状态名词'!$A$2:$C$99,2))</f>
        <v>spi</v>
      </c>
      <c r="J490" s="27" t="str">
        <f>IF(H490="","",VLOOKUP(H490,'#状态名词'!$A$2:$C$99,3))</f>
        <v>精神</v>
      </c>
      <c r="K490" s="26" t="s">
        <v>1356</v>
      </c>
    </row>
    <row r="491" spans="1:11">
      <c r="A491" s="27">
        <v>24001</v>
      </c>
      <c r="B491" s="27" t="s">
        <v>4420</v>
      </c>
      <c r="C491" s="27" t="s">
        <v>1357</v>
      </c>
      <c r="E491" s="27">
        <v>-1</v>
      </c>
      <c r="F491" s="27">
        <v>-1</v>
      </c>
      <c r="H491" s="27">
        <v>20</v>
      </c>
      <c r="I491" s="27" t="str">
        <f>IF(H491="","",VLOOKUP(H491,'#状态名词'!$A$2:$C$99,2))</f>
        <v>ratingdamage</v>
      </c>
      <c r="J491" s="27" t="str">
        <f>IF(H491="","",VLOOKUP(H491,'#状态名词'!$A$2:$C$99,3))</f>
        <v>暴伤+</v>
      </c>
      <c r="K491" s="26" t="s">
        <v>1358</v>
      </c>
    </row>
    <row r="492" spans="1:11">
      <c r="A492" s="27">
        <v>24002</v>
      </c>
      <c r="B492" s="27" t="s">
        <v>4421</v>
      </c>
      <c r="C492" s="27" t="s">
        <v>1359</v>
      </c>
      <c r="E492" s="27">
        <v>-1</v>
      </c>
      <c r="F492" s="27">
        <v>-1</v>
      </c>
      <c r="H492" s="27">
        <v>62</v>
      </c>
      <c r="I492" s="27" t="str">
        <f>IF(H492="","",VLOOKUP(H492,'#状态名词'!$A$2:$C$99,2))</f>
        <v>team_ap</v>
      </c>
      <c r="J492" s="27" t="str">
        <f>IF(H492="","",VLOOKUP(H492,'#状态名词'!$A$2:$C$99,3))</f>
        <v>队伍AP</v>
      </c>
      <c r="K492" s="26" t="s">
        <v>1360</v>
      </c>
    </row>
    <row r="493" spans="1:11">
      <c r="A493" s="27">
        <v>24003</v>
      </c>
      <c r="B493" s="27" t="s">
        <v>4422</v>
      </c>
      <c r="C493" s="27" t="s">
        <v>1361</v>
      </c>
      <c r="E493" s="27">
        <v>-1</v>
      </c>
      <c r="F493" s="27">
        <v>-1</v>
      </c>
      <c r="H493" s="27">
        <v>21</v>
      </c>
      <c r="I493" s="27" t="str">
        <f>IF(H493="","",VLOOKUP(H493,'#状态名词'!$A$2:$C$99,2))</f>
        <v>speed</v>
      </c>
      <c r="J493" s="27" t="str">
        <f>IF(H493="","",VLOOKUP(H493,'#状态名词'!$A$2:$C$99,3))</f>
        <v>速度+</v>
      </c>
      <c r="K493" s="26" t="s">
        <v>654</v>
      </c>
    </row>
    <row r="494" spans="1:11">
      <c r="A494" s="27">
        <v>24101</v>
      </c>
      <c r="B494" s="27" t="s">
        <v>4426</v>
      </c>
      <c r="C494" s="27" t="s">
        <v>1362</v>
      </c>
      <c r="E494" s="27">
        <v>-1</v>
      </c>
      <c r="F494" s="27">
        <v>-1</v>
      </c>
      <c r="H494" s="27">
        <v>13</v>
      </c>
      <c r="I494" s="27" t="str">
        <f>IF(H494="","",VLOOKUP(H494,'#状态名词'!$A$2:$C$99,2))</f>
        <v>arm</v>
      </c>
      <c r="J494" s="27" t="str">
        <f>IF(H494="","",VLOOKUP(H494,'#状态名词'!$A$2:$C$99,3))</f>
        <v>ARM+</v>
      </c>
      <c r="K494" s="26" t="s">
        <v>1363</v>
      </c>
    </row>
    <row r="495" spans="1:11">
      <c r="A495" s="27">
        <v>24102</v>
      </c>
      <c r="B495" s="27" t="s">
        <v>4427</v>
      </c>
      <c r="C495" s="27" t="s">
        <v>1364</v>
      </c>
      <c r="E495" s="27">
        <v>-1</v>
      </c>
      <c r="F495" s="27">
        <v>-1</v>
      </c>
      <c r="H495" s="27">
        <v>21</v>
      </c>
      <c r="I495" s="27" t="str">
        <f>IF(H495="","",VLOOKUP(H495,'#状态名词'!$A$2:$C$99,2))</f>
        <v>speed</v>
      </c>
      <c r="J495" s="27" t="str">
        <f>IF(H495="","",VLOOKUP(H495,'#状态名词'!$A$2:$C$99,3))</f>
        <v>速度+</v>
      </c>
      <c r="K495" s="26" t="s">
        <v>1365</v>
      </c>
    </row>
    <row r="496" spans="1:11">
      <c r="A496" s="27">
        <v>24103</v>
      </c>
      <c r="B496" s="27" t="s">
        <v>4428</v>
      </c>
      <c r="C496" s="27" t="s">
        <v>1366</v>
      </c>
      <c r="E496" s="27">
        <v>-1</v>
      </c>
      <c r="F496" s="27">
        <v>-1</v>
      </c>
      <c r="H496" s="27">
        <v>13</v>
      </c>
      <c r="I496" s="27" t="str">
        <f>IF(H496="","",VLOOKUP(H496,'#状态名词'!$A$2:$C$99,2))</f>
        <v>arm</v>
      </c>
      <c r="J496" s="27" t="str">
        <f>IF(H496="","",VLOOKUP(H496,'#状态名词'!$A$2:$C$99,3))</f>
        <v>ARM+</v>
      </c>
      <c r="K496" s="26" t="s">
        <v>655</v>
      </c>
    </row>
    <row r="497" spans="1:12">
      <c r="B497" s="27" t="s">
        <v>84</v>
      </c>
      <c r="E497" s="27">
        <v>-1</v>
      </c>
      <c r="F497" s="27">
        <v>-1</v>
      </c>
      <c r="H497" s="27">
        <v>15</v>
      </c>
      <c r="I497" s="27" t="str">
        <f>IF(H497="","",VLOOKUP(H497,'#状态名词'!$A$2:$C$99,2))</f>
        <v>mr</v>
      </c>
      <c r="J497" s="27" t="str">
        <f>IF(H497="","",VLOOKUP(H497,'#状态名词'!$A$2:$C$99,3))</f>
        <v>MR+</v>
      </c>
      <c r="K497" s="26" t="s">
        <v>1367</v>
      </c>
    </row>
    <row r="498" spans="1:12">
      <c r="A498" s="27">
        <v>24104</v>
      </c>
      <c r="B498" s="27" t="s">
        <v>4429</v>
      </c>
      <c r="C498" s="27" t="s">
        <v>1368</v>
      </c>
      <c r="E498" s="27">
        <v>-1</v>
      </c>
      <c r="F498" s="27">
        <v>-1</v>
      </c>
      <c r="H498" s="27">
        <v>36</v>
      </c>
      <c r="I498" s="27" t="str">
        <f>IF(H498="","",VLOOKUP(H498,'#状态名词'!$A$2:$C$99,2))</f>
        <v>atk_damage</v>
      </c>
      <c r="J498" s="27" t="str">
        <f>IF(H498="","",VLOOKUP(H498,'#状态名词'!$A$2:$C$99,3))</f>
        <v>攻击附加伤害</v>
      </c>
      <c r="K498" s="26" t="s">
        <v>1369</v>
      </c>
      <c r="L498" s="27">
        <v>24101</v>
      </c>
    </row>
    <row r="499" spans="1:12">
      <c r="A499" s="27">
        <v>24201</v>
      </c>
      <c r="B499" s="27" t="s">
        <v>4433</v>
      </c>
      <c r="C499" s="27" t="s">
        <v>1370</v>
      </c>
      <c r="E499" s="27">
        <v>-1</v>
      </c>
      <c r="F499" s="27">
        <v>-1</v>
      </c>
      <c r="H499" s="27">
        <v>18</v>
      </c>
      <c r="I499" s="27" t="str">
        <f>IF(H499="","",VLOOKUP(H499,'#状态名词'!$A$2:$C$99,2))</f>
        <v>api</v>
      </c>
      <c r="J499" s="27" t="str">
        <f>IF(H499="","",VLOOKUP(H499,'#状态名词'!$A$2:$C$99,3))</f>
        <v>法穿</v>
      </c>
      <c r="K499" s="26" t="s">
        <v>1371</v>
      </c>
    </row>
    <row r="500" spans="1:12">
      <c r="A500" s="27">
        <v>24202</v>
      </c>
      <c r="B500" s="27" t="s">
        <v>4434</v>
      </c>
      <c r="C500" s="27" t="s">
        <v>1372</v>
      </c>
      <c r="E500" s="27">
        <v>-1</v>
      </c>
      <c r="F500" s="27">
        <v>-1</v>
      </c>
      <c r="H500" s="27">
        <v>21</v>
      </c>
      <c r="I500" s="27" t="str">
        <f>IF(H500="","",VLOOKUP(H500,'#状态名词'!$A$2:$C$99,2))</f>
        <v>speed</v>
      </c>
      <c r="J500" s="27" t="str">
        <f>IF(H500="","",VLOOKUP(H500,'#状态名词'!$A$2:$C$99,3))</f>
        <v>速度+</v>
      </c>
      <c r="K500" s="26" t="s">
        <v>1373</v>
      </c>
    </row>
    <row r="501" spans="1:12">
      <c r="A501" s="27">
        <v>24203</v>
      </c>
      <c r="B501" s="27" t="s">
        <v>4435</v>
      </c>
      <c r="C501" s="27" t="s">
        <v>1374</v>
      </c>
      <c r="E501" s="27">
        <v>-1</v>
      </c>
      <c r="F501" s="27">
        <v>-1</v>
      </c>
      <c r="H501" s="27">
        <v>19</v>
      </c>
      <c r="I501" s="27" t="str">
        <f>IF(H501="","",VLOOKUP(H501,'#状态名词'!$A$2:$C$99,2))</f>
        <v>rating</v>
      </c>
      <c r="J501" s="27" t="str">
        <f>IF(H501="","",VLOOKUP(H501,'#状态名词'!$A$2:$C$99,3))</f>
        <v>暴击+</v>
      </c>
      <c r="K501" s="26" t="s">
        <v>651</v>
      </c>
    </row>
    <row r="502" spans="1:12">
      <c r="B502" s="27" t="s">
        <v>84</v>
      </c>
      <c r="E502" s="27">
        <v>-1</v>
      </c>
      <c r="F502" s="27">
        <v>-1</v>
      </c>
      <c r="H502" s="27">
        <v>20</v>
      </c>
      <c r="I502" s="27" t="str">
        <f>IF(H502="","",VLOOKUP(H502,'#状态名词'!$A$2:$C$99,2))</f>
        <v>ratingdamage</v>
      </c>
      <c r="J502" s="27" t="str">
        <f>IF(H502="","",VLOOKUP(H502,'#状态名词'!$A$2:$C$99,3))</f>
        <v>暴伤+</v>
      </c>
      <c r="K502" s="26" t="s">
        <v>1003</v>
      </c>
    </row>
    <row r="503" spans="1:12">
      <c r="A503" s="27">
        <v>24204</v>
      </c>
      <c r="B503" s="27" t="s">
        <v>4436</v>
      </c>
      <c r="C503" s="27" t="s">
        <v>1375</v>
      </c>
      <c r="E503" s="27">
        <v>-1</v>
      </c>
      <c r="F503" s="27">
        <v>-1</v>
      </c>
      <c r="H503" s="27">
        <v>35</v>
      </c>
      <c r="I503" s="27" t="str">
        <f>IF(H503="","",VLOOKUP(H503,'#状态名词'!$A$2:$C$99,2))</f>
        <v>reelement</v>
      </c>
      <c r="J503" s="27" t="str">
        <f>IF(H503="","",VLOOKUP(H503,'#状态名词'!$A$2:$C$99,3))</f>
        <v>全属性抗性</v>
      </c>
      <c r="K503" s="26" t="s">
        <v>833</v>
      </c>
    </row>
    <row r="504" spans="1:12">
      <c r="A504" s="27">
        <v>30004</v>
      </c>
      <c r="B504" s="27" t="s">
        <v>4444</v>
      </c>
      <c r="C504" s="27" t="s">
        <v>4445</v>
      </c>
      <c r="E504" s="27">
        <v>-1</v>
      </c>
      <c r="F504" s="27">
        <v>-1</v>
      </c>
      <c r="H504" s="27">
        <v>7</v>
      </c>
      <c r="I504" s="27" t="str">
        <f>IF(H504="","",VLOOKUP(H504,'#状态名词'!$A$2:$C$99,2))</f>
        <v>pvpjs_per</v>
      </c>
      <c r="J504" s="27" t="str">
        <f>IF(H504="","",VLOOKUP(H504,'#状态名词'!$A$2:$C$99,3))</f>
        <v>pvp减伤</v>
      </c>
      <c r="K504" s="26">
        <v>1</v>
      </c>
    </row>
    <row r="505" spans="1:12">
      <c r="A505" s="27">
        <v>30005</v>
      </c>
      <c r="B505" s="27" t="s">
        <v>4446</v>
      </c>
      <c r="C505" s="27" t="s">
        <v>5318</v>
      </c>
      <c r="E505" s="27">
        <v>-1</v>
      </c>
      <c r="F505" s="27">
        <v>-1</v>
      </c>
      <c r="H505" s="27">
        <v>1</v>
      </c>
      <c r="I505" s="27" t="str">
        <f>IF(H505="","",VLOOKUP(H505,'#状态名词'!$A$2:$C$99,2))</f>
        <v>skilldama</v>
      </c>
      <c r="J505" s="27" t="str">
        <f>IF(H505="","",VLOOKUP(H505,'#状态名词'!$A$2:$C$99,3))</f>
        <v>技能伤害和治疗效果提升B类</v>
      </c>
      <c r="K505" s="26">
        <v>1500</v>
      </c>
      <c r="L505" s="27">
        <v>3701</v>
      </c>
    </row>
    <row r="506" spans="1:12">
      <c r="A506" s="27">
        <v>30006</v>
      </c>
      <c r="B506" s="27" t="s">
        <v>4447</v>
      </c>
      <c r="C506" s="27" t="s">
        <v>5319</v>
      </c>
      <c r="E506" s="27">
        <v>-1</v>
      </c>
      <c r="F506" s="27">
        <v>-1</v>
      </c>
      <c r="H506" s="27">
        <v>1</v>
      </c>
      <c r="I506" s="27" t="str">
        <f>IF(H506="","",VLOOKUP(H506,'#状态名词'!$A$2:$C$99,2))</f>
        <v>skilldama</v>
      </c>
      <c r="J506" s="27" t="str">
        <f>IF(H506="","",VLOOKUP(H506,'#状态名词'!$A$2:$C$99,3))</f>
        <v>技能伤害和治疗效果提升B类</v>
      </c>
      <c r="K506" s="26">
        <v>3000</v>
      </c>
      <c r="L506" s="27">
        <v>3701</v>
      </c>
    </row>
    <row r="507" spans="1:12">
      <c r="A507" s="27">
        <v>30008</v>
      </c>
      <c r="B507" s="27" t="s">
        <v>4450</v>
      </c>
      <c r="C507" s="27" t="s">
        <v>4451</v>
      </c>
      <c r="E507" s="27">
        <v>-1</v>
      </c>
      <c r="F507" s="27">
        <v>1</v>
      </c>
      <c r="G507" s="27">
        <v>30008</v>
      </c>
      <c r="I507" s="27" t="str">
        <f>IF(H507="","",VLOOKUP(H507,'#状态名词'!$A$2:$C$99,2))</f>
        <v/>
      </c>
      <c r="J507" s="27" t="str">
        <f>IF(H507="","",VLOOKUP(H507,'#状态名词'!$A$2:$C$99,3))</f>
        <v/>
      </c>
    </row>
    <row r="508" spans="1:12">
      <c r="A508" s="27">
        <v>30009</v>
      </c>
      <c r="B508" s="27" t="s">
        <v>4452</v>
      </c>
      <c r="C508" s="27" t="s">
        <v>4453</v>
      </c>
      <c r="E508" s="27">
        <v>-1</v>
      </c>
      <c r="F508" s="27">
        <v>1</v>
      </c>
      <c r="G508" s="27">
        <v>30009</v>
      </c>
      <c r="I508" s="27" t="str">
        <f>IF(H508="","",VLOOKUP(H508,'#状态名词'!$A$2:$C$99,2))</f>
        <v/>
      </c>
      <c r="J508" s="27" t="str">
        <f>IF(H508="","",VLOOKUP(H508,'#状态名词'!$A$2:$C$99,3))</f>
        <v/>
      </c>
    </row>
    <row r="509" spans="1:12">
      <c r="A509" s="27">
        <v>30010</v>
      </c>
      <c r="B509" s="27" t="s">
        <v>4454</v>
      </c>
      <c r="C509" s="27" t="s">
        <v>3809</v>
      </c>
      <c r="E509" s="27">
        <v>-1</v>
      </c>
      <c r="F509" s="27">
        <v>-1</v>
      </c>
      <c r="H509" s="27">
        <v>2</v>
      </c>
      <c r="I509" s="27" t="str">
        <f>IF(H509="","",VLOOKUP(H509,'#状态名词'!$A$2:$C$99,2))</f>
        <v>damaup</v>
      </c>
      <c r="J509" s="27" t="str">
        <f>IF(H509="","",VLOOKUP(H509,'#状态名词'!$A$2:$C$99,3))</f>
        <v>伤害提升A类增伤</v>
      </c>
      <c r="K509" s="26">
        <v>3</v>
      </c>
    </row>
    <row r="510" spans="1:12">
      <c r="A510" s="27">
        <v>30011</v>
      </c>
      <c r="B510" s="27" t="s">
        <v>4455</v>
      </c>
      <c r="C510" s="27" t="s">
        <v>5320</v>
      </c>
      <c r="E510" s="27">
        <v>-1</v>
      </c>
      <c r="F510" s="27">
        <v>-1</v>
      </c>
      <c r="H510" s="27">
        <v>1</v>
      </c>
      <c r="I510" s="27" t="str">
        <f>IF(H510="","",VLOOKUP(H510,'#状态名词'!$A$2:$C$99,2))</f>
        <v>skilldama</v>
      </c>
      <c r="J510" s="27" t="str">
        <f>IF(H510="","",VLOOKUP(H510,'#状态名词'!$A$2:$C$99,3))</f>
        <v>技能伤害和治疗效果提升B类</v>
      </c>
      <c r="K510" s="26">
        <v>2500</v>
      </c>
      <c r="L510" s="27">
        <v>603</v>
      </c>
    </row>
    <row r="511" spans="1:12">
      <c r="A511" s="27">
        <v>30012</v>
      </c>
      <c r="B511" s="27" t="s">
        <v>4456</v>
      </c>
      <c r="C511" s="27" t="s">
        <v>5321</v>
      </c>
      <c r="E511" s="27">
        <v>-1</v>
      </c>
      <c r="F511" s="27">
        <v>-1</v>
      </c>
      <c r="H511" s="27">
        <v>1</v>
      </c>
      <c r="I511" s="27" t="str">
        <f>IF(H511="","",VLOOKUP(H511,'#状态名词'!$A$2:$C$99,2))</f>
        <v>skilldama</v>
      </c>
      <c r="J511" s="27" t="str">
        <f>IF(H511="","",VLOOKUP(H511,'#状态名词'!$A$2:$C$99,3))</f>
        <v>技能伤害和治疗效果提升B类</v>
      </c>
      <c r="K511" s="26">
        <v>2500</v>
      </c>
      <c r="L511" s="27">
        <v>1104</v>
      </c>
    </row>
    <row r="512" spans="1:12">
      <c r="A512" s="27">
        <v>30013</v>
      </c>
      <c r="B512" s="27" t="s">
        <v>4457</v>
      </c>
      <c r="C512" s="27" t="s">
        <v>5322</v>
      </c>
      <c r="E512" s="27">
        <v>-1</v>
      </c>
      <c r="F512" s="27">
        <v>-1</v>
      </c>
      <c r="H512" s="27">
        <v>1</v>
      </c>
      <c r="I512" s="27" t="str">
        <f>IF(H512="","",VLOOKUP(H512,'#状态名词'!$A$2:$C$99,2))</f>
        <v>skilldama</v>
      </c>
      <c r="J512" s="27" t="str">
        <f>IF(H512="","",VLOOKUP(H512,'#状态名词'!$A$2:$C$99,3))</f>
        <v>技能伤害和治疗效果提升B类</v>
      </c>
      <c r="K512" s="26">
        <v>2500</v>
      </c>
      <c r="L512" s="27">
        <v>1502</v>
      </c>
    </row>
    <row r="513" spans="1:12">
      <c r="A513" s="27">
        <v>30014</v>
      </c>
      <c r="B513" s="27" t="s">
        <v>4458</v>
      </c>
      <c r="C513" s="27" t="s">
        <v>5323</v>
      </c>
      <c r="E513" s="27">
        <v>-1</v>
      </c>
      <c r="F513" s="27">
        <v>-1</v>
      </c>
      <c r="H513" s="27">
        <v>1</v>
      </c>
      <c r="I513" s="27" t="str">
        <f>IF(H513="","",VLOOKUP(H513,'#状态名词'!$A$2:$C$99,2))</f>
        <v>skilldama</v>
      </c>
      <c r="J513" s="27" t="str">
        <f>IF(H513="","",VLOOKUP(H513,'#状态名词'!$A$2:$C$99,3))</f>
        <v>技能伤害和治疗效果提升B类</v>
      </c>
      <c r="K513" s="26">
        <v>3500</v>
      </c>
      <c r="L513" s="27">
        <v>4101</v>
      </c>
    </row>
    <row r="514" spans="1:12">
      <c r="A514" s="27">
        <v>30015</v>
      </c>
      <c r="B514" s="27" t="s">
        <v>3848</v>
      </c>
      <c r="C514" s="27" t="s">
        <v>5324</v>
      </c>
      <c r="E514" s="27">
        <v>1</v>
      </c>
      <c r="F514" s="27">
        <v>0</v>
      </c>
      <c r="G514" s="27">
        <v>30015</v>
      </c>
      <c r="I514" s="27" t="str">
        <f>IF(H514="","",VLOOKUP(H514,'#状态名词'!$A$2:$C$99,2))</f>
        <v/>
      </c>
      <c r="J514" s="27" t="str">
        <f>IF(H514="","",VLOOKUP(H514,'#状态名词'!$A$2:$C$99,3))</f>
        <v/>
      </c>
    </row>
    <row r="515" spans="1:12">
      <c r="A515" s="27">
        <v>30017</v>
      </c>
      <c r="B515" s="20" t="s">
        <v>4460</v>
      </c>
      <c r="C515" s="27" t="s">
        <v>1448</v>
      </c>
      <c r="E515" s="27">
        <v>1</v>
      </c>
      <c r="F515" s="27">
        <v>-1</v>
      </c>
      <c r="H515" s="27">
        <v>37</v>
      </c>
      <c r="I515" s="27" t="str">
        <f>IF(H515="","",VLOOKUP(H515,'#状态名词'!$A$2:$C$99,2))</f>
        <v>action_hurt</v>
      </c>
      <c r="J515" s="27" t="str">
        <f>IF(H515="","",VLOOKUP(H515,'#状态名词'!$A$2:$C$99,3))</f>
        <v>行动时自身受到伤害</v>
      </c>
      <c r="K515" s="26" t="s">
        <v>7828</v>
      </c>
    </row>
    <row r="516" spans="1:12">
      <c r="A516" s="20">
        <v>30019</v>
      </c>
      <c r="B516" s="27" t="s">
        <v>7368</v>
      </c>
      <c r="C516" s="21" t="s">
        <v>3701</v>
      </c>
      <c r="E516" s="27">
        <v>-1</v>
      </c>
      <c r="F516" s="27">
        <v>-1</v>
      </c>
      <c r="H516" s="27">
        <v>7</v>
      </c>
      <c r="I516" s="27" t="str">
        <f>IF(H516="","",VLOOKUP(H516,'#状态名词'!$A$2:$C$99,2))</f>
        <v>pvpjs_per</v>
      </c>
      <c r="J516" s="27" t="str">
        <f>IF(H516="","",VLOOKUP(H516,'#状态名词'!$A$2:$C$99,3))</f>
        <v>pvp减伤</v>
      </c>
      <c r="K516" s="26">
        <v>2</v>
      </c>
    </row>
    <row r="517" spans="1:12">
      <c r="A517" s="20">
        <v>30020</v>
      </c>
      <c r="B517" s="27" t="s">
        <v>7369</v>
      </c>
      <c r="C517" s="27" t="s">
        <v>3702</v>
      </c>
      <c r="E517" s="27">
        <v>1</v>
      </c>
      <c r="F517" s="27">
        <v>0</v>
      </c>
      <c r="H517" s="27">
        <v>36</v>
      </c>
      <c r="I517" s="27" t="str">
        <f>IF(H517="","",VLOOKUP(H517,'#状态名词'!$A$2:$C$99,2))</f>
        <v>atk_damage</v>
      </c>
      <c r="J517" s="27" t="str">
        <f>IF(H517="","",VLOOKUP(H517,'#状态名词'!$A$2:$C$99,3))</f>
        <v>攻击附加伤害</v>
      </c>
      <c r="K517" s="26">
        <v>2000</v>
      </c>
    </row>
    <row r="518" spans="1:12">
      <c r="A518" s="20">
        <v>30021</v>
      </c>
      <c r="B518" s="27" t="s">
        <v>7370</v>
      </c>
      <c r="C518" s="21" t="s">
        <v>3703</v>
      </c>
      <c r="E518" s="27">
        <v>10</v>
      </c>
      <c r="F518" s="27">
        <v>-1</v>
      </c>
      <c r="H518" s="27">
        <v>30</v>
      </c>
      <c r="I518" s="27" t="str">
        <f>IF(H518="","",VLOOKUP(H518,'#状态名词'!$A$2:$C$99,2))</f>
        <v>elementup</v>
      </c>
      <c r="J518" s="27" t="str">
        <f>IF(H518="","",VLOOKUP(H518,'#状态名词'!$A$2:$C$99,3))</f>
        <v>全属性强化</v>
      </c>
      <c r="K518" s="26">
        <v>5</v>
      </c>
    </row>
    <row r="519" spans="1:12">
      <c r="A519" s="20">
        <v>30022</v>
      </c>
      <c r="B519" s="27" t="s">
        <v>7371</v>
      </c>
      <c r="C519" s="27" t="s">
        <v>6818</v>
      </c>
      <c r="E519" s="27">
        <v>-1</v>
      </c>
      <c r="F519" s="27">
        <v>-1</v>
      </c>
      <c r="H519" s="27">
        <v>2</v>
      </c>
      <c r="I519" s="27" t="str">
        <f>IF(H519="","",VLOOKUP(H519,'#状态名词'!$A$2:$C$99,2))</f>
        <v>damaup</v>
      </c>
      <c r="J519" s="27" t="str">
        <f>IF(H519="","",VLOOKUP(H519,'#状态名词'!$A$2:$C$99,3))</f>
        <v>伤害提升A类增伤</v>
      </c>
      <c r="K519" s="26" t="s">
        <v>7148</v>
      </c>
    </row>
    <row r="520" spans="1:12">
      <c r="A520" s="20">
        <v>30024</v>
      </c>
      <c r="B520" s="27" t="s">
        <v>7372</v>
      </c>
      <c r="C520" s="27" t="s">
        <v>3704</v>
      </c>
      <c r="E520" s="27">
        <v>-1</v>
      </c>
      <c r="F520" s="27">
        <v>-1</v>
      </c>
      <c r="H520" s="27">
        <v>19</v>
      </c>
      <c r="I520" s="27" t="str">
        <f>IF(H520="","",VLOOKUP(H520,'#状态名词'!$A$2:$C$99,2))</f>
        <v>rating</v>
      </c>
      <c r="J520" s="27" t="str">
        <f>IF(H520="","",VLOOKUP(H520,'#状态名词'!$A$2:$C$99,3))</f>
        <v>暴击+</v>
      </c>
      <c r="K520" s="26">
        <v>2000</v>
      </c>
    </row>
    <row r="521" spans="1:12">
      <c r="A521" s="20">
        <v>30025</v>
      </c>
      <c r="B521" s="20" t="s">
        <v>7373</v>
      </c>
      <c r="C521" s="27" t="s">
        <v>3705</v>
      </c>
      <c r="E521" s="27">
        <v>1</v>
      </c>
      <c r="F521" s="27">
        <v>0</v>
      </c>
      <c r="H521" s="27">
        <v>45</v>
      </c>
      <c r="I521" s="27" t="str">
        <f>IF(H521="","",VLOOKUP(H521,'#状态名词'!$A$2:$C$99,2))</f>
        <v>rageup</v>
      </c>
      <c r="J521" s="27" t="str">
        <f>IF(H521="","",VLOOKUP(H521,'#状态名词'!$A$2:$C$99,3))</f>
        <v>行动回怒气</v>
      </c>
      <c r="K521" s="26">
        <v>30</v>
      </c>
      <c r="L521" s="27">
        <v>100</v>
      </c>
    </row>
    <row r="522" spans="1:12">
      <c r="A522" s="20"/>
      <c r="B522" s="20" t="s">
        <v>84</v>
      </c>
      <c r="E522" s="27">
        <v>1</v>
      </c>
      <c r="F522" s="27">
        <v>0</v>
      </c>
      <c r="H522" s="27">
        <v>39</v>
      </c>
      <c r="I522" s="27" t="str">
        <f>IF(H522="","",VLOOKUP(H522,'#状态名词'!$A$2:$C$99,2))</f>
        <v>action_heal</v>
      </c>
      <c r="J522" s="27" t="str">
        <f>IF(H522="","",VLOOKUP(H522,'#状态名词'!$A$2:$C$99,3))</f>
        <v>行动时治疗</v>
      </c>
      <c r="K522" s="26" t="s">
        <v>5325</v>
      </c>
    </row>
    <row r="523" spans="1:12">
      <c r="A523" s="20">
        <v>30027</v>
      </c>
      <c r="B523" s="20" t="s">
        <v>7374</v>
      </c>
      <c r="C523" s="27" t="s">
        <v>3629</v>
      </c>
      <c r="E523" s="27">
        <v>1</v>
      </c>
      <c r="F523" s="27">
        <v>0</v>
      </c>
      <c r="H523" s="27">
        <v>16</v>
      </c>
      <c r="I523" s="27" t="str">
        <f>IF(H523="","",VLOOKUP(H523,'#状态名词'!$A$2:$C$99,2))</f>
        <v>mr_per</v>
      </c>
      <c r="J523" s="27" t="str">
        <f>IF(H523="","",VLOOKUP(H523,'#状态名词'!$A$2:$C$99,3))</f>
        <v>魔抗百分比</v>
      </c>
      <c r="K523" s="26">
        <v>-30</v>
      </c>
    </row>
    <row r="524" spans="1:12">
      <c r="A524" s="20">
        <v>30028</v>
      </c>
      <c r="B524" s="20" t="s">
        <v>7375</v>
      </c>
      <c r="C524" s="27" t="s">
        <v>3630</v>
      </c>
      <c r="E524" s="27">
        <v>-1</v>
      </c>
      <c r="F524" s="27">
        <v>-1</v>
      </c>
      <c r="H524" s="27">
        <v>1</v>
      </c>
      <c r="I524" s="27" t="str">
        <f>IF(H524="","",VLOOKUP(H524,'#状态名词'!$A$2:$C$99,2))</f>
        <v>skilldama</v>
      </c>
      <c r="J524" s="27" t="str">
        <f>IF(H524="","",VLOOKUP(H524,'#状态名词'!$A$2:$C$99,3))</f>
        <v>技能伤害和治疗效果提升B类</v>
      </c>
      <c r="K524" s="26">
        <v>300</v>
      </c>
      <c r="L524" s="27">
        <v>1002</v>
      </c>
    </row>
    <row r="525" spans="1:12">
      <c r="A525" s="20">
        <v>30029</v>
      </c>
      <c r="B525" s="20" t="s">
        <v>7376</v>
      </c>
      <c r="C525" s="27" t="s">
        <v>3631</v>
      </c>
      <c r="E525" s="27">
        <v>-1</v>
      </c>
      <c r="F525" s="27">
        <v>-1</v>
      </c>
      <c r="H525" s="27">
        <v>1</v>
      </c>
      <c r="I525" s="27" t="str">
        <f>IF(H525="","",VLOOKUP(H525,'#状态名词'!$A$2:$C$99,2))</f>
        <v>skilldama</v>
      </c>
      <c r="J525" s="27" t="str">
        <f>IF(H525="","",VLOOKUP(H525,'#状态名词'!$A$2:$C$99,3))</f>
        <v>技能伤害和治疗效果提升B类</v>
      </c>
      <c r="K525" s="26">
        <v>10000</v>
      </c>
      <c r="L525" s="27">
        <v>1701</v>
      </c>
    </row>
    <row r="526" spans="1:12">
      <c r="A526" s="20">
        <v>30030</v>
      </c>
      <c r="B526" s="20" t="s">
        <v>7377</v>
      </c>
      <c r="C526" s="27" t="s">
        <v>7220</v>
      </c>
      <c r="E526" s="27">
        <v>-1</v>
      </c>
      <c r="F526" s="27">
        <v>-1</v>
      </c>
    </row>
    <row r="527" spans="1:12">
      <c r="A527" s="27">
        <v>30031</v>
      </c>
      <c r="B527" s="27" t="s">
        <v>7378</v>
      </c>
      <c r="C527" s="27" t="s">
        <v>3632</v>
      </c>
      <c r="E527" s="27">
        <v>-1</v>
      </c>
      <c r="F527" s="27">
        <v>-1</v>
      </c>
      <c r="H527" s="27">
        <v>1</v>
      </c>
      <c r="I527" s="27" t="str">
        <f>IF(H527="","",VLOOKUP(H527,'#状态名词'!$A$2:$C$99,2))</f>
        <v>skilldama</v>
      </c>
      <c r="J527" s="27" t="str">
        <f>IF(H527="","",VLOOKUP(H527,'#状态名词'!$A$2:$C$99,3))</f>
        <v>技能伤害和治疗效果提升B类</v>
      </c>
      <c r="K527" s="26">
        <v>3500</v>
      </c>
      <c r="L527" s="27">
        <v>2201</v>
      </c>
    </row>
    <row r="528" spans="1:12">
      <c r="B528" s="27" t="s">
        <v>84</v>
      </c>
      <c r="E528" s="27">
        <v>-1</v>
      </c>
      <c r="F528" s="27">
        <v>-1</v>
      </c>
      <c r="H528" s="27">
        <v>1</v>
      </c>
      <c r="I528" s="27" t="str">
        <f>IF(H528="","",VLOOKUP(H528,'#状态名词'!$A$2:$C$99,2))</f>
        <v>skilldama</v>
      </c>
      <c r="J528" s="27" t="str">
        <f>IF(H528="","",VLOOKUP(H528,'#状态名词'!$A$2:$C$99,3))</f>
        <v>技能伤害和治疗效果提升B类</v>
      </c>
      <c r="K528" s="26">
        <v>3500</v>
      </c>
      <c r="L528" s="27">
        <v>2203</v>
      </c>
    </row>
    <row r="529" spans="1:12">
      <c r="A529" s="20">
        <v>30032</v>
      </c>
      <c r="B529" s="27" t="s">
        <v>5308</v>
      </c>
      <c r="C529" s="27" t="s">
        <v>3633</v>
      </c>
      <c r="E529" s="27">
        <v>1</v>
      </c>
      <c r="F529" s="27">
        <v>0</v>
      </c>
      <c r="H529" s="27">
        <v>75</v>
      </c>
      <c r="I529" s="27" t="str">
        <f>IF(H529="","",VLOOKUP(H529,'#状态名词'!$A$2:$C$99,2))</f>
        <v>action_useskill</v>
      </c>
      <c r="J529" s="27" t="str">
        <f>IF(H529="","",VLOOKUP(H529,'#状态名词'!$A$2:$C$99,3))</f>
        <v>行动时有几率使用技能</v>
      </c>
      <c r="K529" s="26">
        <v>2901</v>
      </c>
    </row>
    <row r="530" spans="1:12">
      <c r="A530" s="20">
        <v>30033</v>
      </c>
      <c r="B530" s="27" t="s">
        <v>7379</v>
      </c>
      <c r="C530" s="27" t="s">
        <v>3634</v>
      </c>
      <c r="E530" s="27">
        <v>1</v>
      </c>
      <c r="F530" s="27">
        <v>-1</v>
      </c>
      <c r="H530" s="27">
        <v>39</v>
      </c>
      <c r="I530" s="27" t="str">
        <f>IF(H530="","",VLOOKUP(H530,'#状态名词'!$A$2:$C$99,2))</f>
        <v>action_heal</v>
      </c>
      <c r="J530" s="27" t="str">
        <f>IF(H530="","",VLOOKUP(H530,'#状态名词'!$A$2:$C$99,3))</f>
        <v>行动时治疗</v>
      </c>
      <c r="K530" s="26" t="s">
        <v>5169</v>
      </c>
    </row>
    <row r="531" spans="1:12">
      <c r="A531" s="20">
        <v>30034</v>
      </c>
      <c r="B531" s="27" t="s">
        <v>7380</v>
      </c>
      <c r="C531" s="27" t="s">
        <v>3635</v>
      </c>
      <c r="E531" s="27">
        <v>-1</v>
      </c>
      <c r="F531" s="27">
        <v>-1</v>
      </c>
      <c r="H531" s="27">
        <v>27</v>
      </c>
      <c r="I531" s="27" t="str">
        <f>IF(H531="","",VLOOKUP(H531,'#状态名词'!$A$2:$C$99,2))</f>
        <v>iceup</v>
      </c>
      <c r="J531" s="27" t="str">
        <f>IF(H531="","",VLOOKUP(H531,'#状态名词'!$A$2:$C$99,3))</f>
        <v>冰属性强化</v>
      </c>
      <c r="K531" s="26">
        <v>5</v>
      </c>
    </row>
    <row r="532" spans="1:12">
      <c r="A532" s="20"/>
      <c r="B532" s="27" t="s">
        <v>84</v>
      </c>
      <c r="H532" s="27">
        <v>32</v>
      </c>
      <c r="I532" s="27" t="str">
        <f>IF(H532="","",VLOOKUP(H532,'#状态名词'!$A$2:$C$99,2))</f>
        <v>reice</v>
      </c>
      <c r="J532" s="27" t="str">
        <f>IF(H532="","",VLOOKUP(H532,'#状态名词'!$A$2:$C$99,3))</f>
        <v>冰属性抗性</v>
      </c>
      <c r="K532" s="26" t="s">
        <v>7145</v>
      </c>
    </row>
    <row r="533" spans="1:12">
      <c r="A533" s="20">
        <v>30035</v>
      </c>
      <c r="B533" s="27" t="s">
        <v>7381</v>
      </c>
      <c r="C533" s="27" t="s">
        <v>3636</v>
      </c>
      <c r="E533" s="27">
        <v>-1</v>
      </c>
      <c r="F533" s="27">
        <v>0</v>
      </c>
      <c r="H533" s="27">
        <v>17</v>
      </c>
      <c r="I533" s="27" t="str">
        <f>IF(H533="","",VLOOKUP(H533,'#状态名词'!$A$2:$C$99,2))</f>
        <v>adi</v>
      </c>
      <c r="J533" s="27" t="str">
        <f>IF(H533="","",VLOOKUP(H533,'#状态名词'!$A$2:$C$99,3))</f>
        <v>物穿</v>
      </c>
      <c r="K533" s="26">
        <v>600</v>
      </c>
    </row>
    <row r="534" spans="1:12">
      <c r="A534" s="20"/>
      <c r="B534" s="27" t="s">
        <v>84</v>
      </c>
      <c r="E534" s="27">
        <v>-1</v>
      </c>
      <c r="F534" s="27">
        <v>0</v>
      </c>
      <c r="H534" s="27">
        <v>18</v>
      </c>
      <c r="I534" s="27" t="str">
        <f>IF(H534="","",VLOOKUP(H534,'#状态名词'!$A$2:$C$99,2))</f>
        <v>api</v>
      </c>
      <c r="J534" s="27" t="str">
        <f>IF(H534="","",VLOOKUP(H534,'#状态名词'!$A$2:$C$99,3))</f>
        <v>法穿</v>
      </c>
      <c r="K534" s="26">
        <v>600</v>
      </c>
    </row>
    <row r="535" spans="1:12">
      <c r="A535" s="20">
        <v>30036</v>
      </c>
      <c r="B535" s="27" t="s">
        <v>7382</v>
      </c>
      <c r="C535" s="27" t="s">
        <v>3637</v>
      </c>
      <c r="E535" s="27">
        <v>-1</v>
      </c>
      <c r="F535" s="27">
        <v>0</v>
      </c>
      <c r="H535" s="27">
        <v>42</v>
      </c>
      <c r="I535" s="27" t="str">
        <f>IF(H535="","",VLOOKUP(H535,'#状态名词'!$A$2:$C$99,2))</f>
        <v>turn_heal</v>
      </c>
      <c r="J535" s="27" t="str">
        <f>IF(H535="","",VLOOKUP(H535,'#状态名词'!$A$2:$C$99,3))</f>
        <v>回合回复</v>
      </c>
      <c r="K535" s="26" t="s">
        <v>5326</v>
      </c>
    </row>
    <row r="536" spans="1:12">
      <c r="A536" s="20">
        <v>30037</v>
      </c>
      <c r="B536" s="27" t="s">
        <v>7383</v>
      </c>
      <c r="C536" s="27" t="s">
        <v>3638</v>
      </c>
      <c r="E536" s="27">
        <v>-1</v>
      </c>
      <c r="F536" s="27">
        <v>-1</v>
      </c>
      <c r="H536" s="27">
        <v>24</v>
      </c>
      <c r="I536" s="27" t="str">
        <f>IF(H536="","",VLOOKUP(H536,'#状态名词'!$A$2:$C$99,2))</f>
        <v>heal</v>
      </c>
      <c r="J536" s="27" t="str">
        <f>IF(H536="","",VLOOKUP(H536,'#状态名词'!$A$2:$C$99,3))</f>
        <v>治疗效果+</v>
      </c>
      <c r="K536" s="26">
        <v>5000</v>
      </c>
      <c r="L536" s="27">
        <v>5704</v>
      </c>
    </row>
    <row r="537" spans="1:12">
      <c r="A537" s="20">
        <v>30038</v>
      </c>
      <c r="B537" s="27" t="s">
        <v>7384</v>
      </c>
      <c r="C537" s="27" t="s">
        <v>3639</v>
      </c>
      <c r="E537" s="27">
        <v>10</v>
      </c>
      <c r="F537" s="27">
        <v>0</v>
      </c>
      <c r="G537" s="27">
        <v>30038</v>
      </c>
      <c r="I537" s="27" t="str">
        <f>IF(H537="","",VLOOKUP(H537,'#状态名词'!$A$2:$C$99,2))</f>
        <v/>
      </c>
      <c r="J537" s="27" t="str">
        <f>IF(H537="","",VLOOKUP(H537,'#状态名词'!$A$2:$C$99,3))</f>
        <v/>
      </c>
    </row>
    <row r="538" spans="1:12">
      <c r="A538" s="20">
        <v>30039</v>
      </c>
      <c r="B538" s="27" t="e">
        <v>#N/A</v>
      </c>
      <c r="C538" s="27" t="s">
        <v>3640</v>
      </c>
      <c r="E538" s="27">
        <v>-1</v>
      </c>
      <c r="F538" s="27">
        <v>-1</v>
      </c>
      <c r="H538" s="27">
        <v>74</v>
      </c>
      <c r="I538" s="27" t="str">
        <f>IF(H538="","",VLOOKUP(H538,'#状态名词'!$A$2:$C$99,2))</f>
        <v>sk_levelprofession</v>
      </c>
      <c r="J538" s="27" t="str">
        <f>IF(H538="","",VLOOKUP(H538,'#状态名词'!$A$2:$C$99,3))</f>
        <v>增加某个职业技能</v>
      </c>
      <c r="K538" s="26" t="s">
        <v>5327</v>
      </c>
    </row>
    <row r="539" spans="1:12">
      <c r="A539" s="20">
        <v>30040</v>
      </c>
      <c r="B539" s="27" t="e">
        <v>#N/A</v>
      </c>
      <c r="C539" s="27" t="s">
        <v>3641</v>
      </c>
      <c r="E539" s="27">
        <v>-1</v>
      </c>
      <c r="F539" s="27">
        <v>-1</v>
      </c>
      <c r="H539" s="27">
        <v>74</v>
      </c>
      <c r="I539" s="27" t="str">
        <f>IF(H539="","",VLOOKUP(H539,'#状态名词'!$A$2:$C$99,2))</f>
        <v>sk_levelprofession</v>
      </c>
      <c r="J539" s="27" t="str">
        <f>IF(H539="","",VLOOKUP(H539,'#状态名词'!$A$2:$C$99,3))</f>
        <v>增加某个职业技能</v>
      </c>
      <c r="K539" s="26" t="s">
        <v>5328</v>
      </c>
    </row>
    <row r="540" spans="1:12">
      <c r="A540" s="20"/>
      <c r="B540" s="27" t="s">
        <v>84</v>
      </c>
      <c r="E540" s="27">
        <v>-1</v>
      </c>
      <c r="F540" s="27">
        <v>-1</v>
      </c>
      <c r="H540" s="27">
        <v>74</v>
      </c>
      <c r="I540" s="27" t="str">
        <f>IF(H540="","",VLOOKUP(H540,'#状态名词'!$A$2:$C$99,2))</f>
        <v>sk_levelprofession</v>
      </c>
      <c r="J540" s="27" t="str">
        <f>IF(H540="","",VLOOKUP(H540,'#状态名词'!$A$2:$C$99,3))</f>
        <v>增加某个职业技能</v>
      </c>
      <c r="K540" s="26" t="s">
        <v>5329</v>
      </c>
    </row>
    <row r="541" spans="1:12">
      <c r="A541" s="20">
        <v>30041</v>
      </c>
      <c r="B541" s="27" t="s">
        <v>7385</v>
      </c>
      <c r="C541" s="27" t="s">
        <v>7150</v>
      </c>
      <c r="E541" s="27">
        <v>1</v>
      </c>
      <c r="F541" s="27">
        <v>0</v>
      </c>
      <c r="H541" s="27">
        <v>1</v>
      </c>
      <c r="I541" s="27" t="str">
        <f>IF(H541="","",VLOOKUP(H541,'#状态名词'!$A$2:$C$99,2))</f>
        <v>skilldama</v>
      </c>
      <c r="J541" s="27" t="str">
        <f>IF(H541="","",VLOOKUP(H541,'#状态名词'!$A$2:$C$99,3))</f>
        <v>技能伤害和治疗效果提升B类</v>
      </c>
      <c r="K541" s="26" t="s">
        <v>7154</v>
      </c>
      <c r="L541" s="27">
        <v>3001</v>
      </c>
    </row>
    <row r="542" spans="1:12">
      <c r="A542" s="27">
        <v>30042</v>
      </c>
      <c r="B542" s="27" t="s">
        <v>7386</v>
      </c>
      <c r="C542" s="27" t="s">
        <v>7152</v>
      </c>
      <c r="E542" s="27">
        <v>1</v>
      </c>
      <c r="F542" s="27">
        <v>-1</v>
      </c>
      <c r="H542" s="27">
        <v>39</v>
      </c>
      <c r="I542" s="27" t="str">
        <f>IF(H542="","",VLOOKUP(H542,'#状态名词'!$A$2:$C$99,2))</f>
        <v>action_heal</v>
      </c>
      <c r="J542" s="27" t="str">
        <f>IF(H542="","",VLOOKUP(H542,'#状态名词'!$A$2:$C$99,3))</f>
        <v>行动时治疗</v>
      </c>
      <c r="K542" s="26" t="s">
        <v>7153</v>
      </c>
      <c r="L542" s="27">
        <v>504</v>
      </c>
    </row>
    <row r="543" spans="1:12">
      <c r="A543" s="27">
        <v>30043</v>
      </c>
      <c r="B543" s="27" t="s">
        <v>7225</v>
      </c>
      <c r="C543" s="27" t="s">
        <v>7223</v>
      </c>
      <c r="E543" s="27">
        <v>1</v>
      </c>
      <c r="F543" s="27">
        <v>-1</v>
      </c>
      <c r="H543" s="27">
        <v>71</v>
      </c>
      <c r="I543" s="27" t="str">
        <f>IF(H543="","",VLOOKUP(H543,'#状态名词'!$A$2:$C$99,2))</f>
        <v>sk_level</v>
      </c>
      <c r="J543" s="27" t="str">
        <f>IF(H543="","",VLOOKUP(H543,'#状态名词'!$A$2:$C$99,3))</f>
        <v>增加某个技能等级</v>
      </c>
      <c r="K543" s="26" t="s">
        <v>7224</v>
      </c>
    </row>
    <row r="544" spans="1:12">
      <c r="B544" s="27" t="s">
        <v>84</v>
      </c>
      <c r="H544" s="27">
        <v>71</v>
      </c>
      <c r="I544" s="27" t="str">
        <f>IF(H544="","",VLOOKUP(H544,'#状态名词'!$A$2:$C$99,2))</f>
        <v>sk_level</v>
      </c>
      <c r="J544" s="27" t="str">
        <f>IF(H544="","",VLOOKUP(H544,'#状态名词'!$A$2:$C$99,3))</f>
        <v>增加某个技能等级</v>
      </c>
      <c r="K544" s="26" t="s">
        <v>7218</v>
      </c>
    </row>
    <row r="545" spans="1:12">
      <c r="A545" s="27">
        <v>30046</v>
      </c>
      <c r="C545" s="27" t="s">
        <v>7527</v>
      </c>
      <c r="E545" s="27">
        <v>-1</v>
      </c>
      <c r="F545" s="27">
        <v>-1</v>
      </c>
      <c r="H545" s="27">
        <v>7</v>
      </c>
      <c r="I545" s="27" t="str">
        <f>IF(H545="","",VLOOKUP(H545,'#状态名词'!$A$2:$C$99,2))</f>
        <v>pvpjs_per</v>
      </c>
      <c r="J545" s="27" t="str">
        <f>IF(H545="","",VLOOKUP(H545,'#状态名词'!$A$2:$C$99,3))</f>
        <v>pvp减伤</v>
      </c>
      <c r="K545" s="26" t="s">
        <v>6830</v>
      </c>
    </row>
    <row r="546" spans="1:12">
      <c r="A546" s="33">
        <v>30047</v>
      </c>
      <c r="B546" s="27" t="s">
        <v>7530</v>
      </c>
      <c r="C546" s="27" t="s">
        <v>7531</v>
      </c>
      <c r="E546" s="27">
        <v>-1</v>
      </c>
      <c r="F546" s="27">
        <v>1</v>
      </c>
      <c r="G546" s="27">
        <v>30047</v>
      </c>
      <c r="I546" s="27" t="str">
        <f>IF(H546="","",VLOOKUP(H546,'#状态名词'!$A$2:$C$99,2))</f>
        <v/>
      </c>
      <c r="J546" s="27" t="str">
        <f>IF(H546="","",VLOOKUP(H546,'#状态名词'!$A$2:$C$99,3))</f>
        <v/>
      </c>
    </row>
    <row r="547" spans="1:12">
      <c r="A547" s="27">
        <v>30048</v>
      </c>
      <c r="B547" s="27" t="s">
        <v>7555</v>
      </c>
      <c r="C547" s="21" t="s">
        <v>7554</v>
      </c>
      <c r="E547" s="27">
        <v>-1</v>
      </c>
      <c r="F547" s="27">
        <v>-1</v>
      </c>
      <c r="H547" s="27">
        <v>19</v>
      </c>
      <c r="I547" s="27" t="str">
        <f>IF(H547="","",VLOOKUP(H547,'#状态名词'!$A$2:$C$99,2))</f>
        <v>rating</v>
      </c>
      <c r="J547" s="27" t="str">
        <f>IF(H547="","",VLOOKUP(H547,'#状态名词'!$A$2:$C$99,3))</f>
        <v>暴击+</v>
      </c>
      <c r="K547" s="26" t="s">
        <v>7556</v>
      </c>
    </row>
    <row r="548" spans="1:12">
      <c r="C548" s="21"/>
      <c r="H548" s="27">
        <v>20</v>
      </c>
      <c r="I548" s="27" t="str">
        <f>IF(H548="","",VLOOKUP(H548,'#状态名词'!$A$2:$C$99,2))</f>
        <v>ratingdamage</v>
      </c>
      <c r="J548" s="27" t="str">
        <f>IF(H548="","",VLOOKUP(H548,'#状态名词'!$A$2:$C$99,3))</f>
        <v>暴伤+</v>
      </c>
      <c r="K548" s="26" t="s">
        <v>7569</v>
      </c>
    </row>
    <row r="549" spans="1:12" ht="27">
      <c r="A549" s="33">
        <v>30049</v>
      </c>
      <c r="B549" s="27" t="s">
        <v>7565</v>
      </c>
      <c r="C549" s="21" t="s">
        <v>7752</v>
      </c>
      <c r="E549" s="27">
        <v>-1</v>
      </c>
      <c r="F549" s="27">
        <v>-1</v>
      </c>
      <c r="G549" s="27">
        <v>30049</v>
      </c>
      <c r="I549" s="27" t="str">
        <f>IF(H549="","",VLOOKUP(H549,'#状态名词'!$A$2:$C$99,2))</f>
        <v/>
      </c>
      <c r="J549" s="27" t="str">
        <f>IF(H549="","",VLOOKUP(H549,'#状态名词'!$A$2:$C$99,3))</f>
        <v/>
      </c>
    </row>
    <row r="550" spans="1:12">
      <c r="A550" s="27">
        <v>30050</v>
      </c>
      <c r="B550" s="27" t="s">
        <v>7567</v>
      </c>
      <c r="C550" s="21" t="s">
        <v>7684</v>
      </c>
      <c r="E550" s="27">
        <v>-1</v>
      </c>
      <c r="F550" s="27">
        <v>-1</v>
      </c>
      <c r="G550" s="27">
        <v>30050</v>
      </c>
    </row>
    <row r="551" spans="1:12">
      <c r="A551" s="27">
        <v>30051</v>
      </c>
      <c r="B551" s="27" t="s">
        <v>7557</v>
      </c>
      <c r="C551" s="21" t="s">
        <v>7753</v>
      </c>
      <c r="E551" s="27">
        <v>1</v>
      </c>
      <c r="F551" s="27">
        <v>-1</v>
      </c>
      <c r="H551" s="27">
        <v>69</v>
      </c>
      <c r="I551" s="27" t="str">
        <f>IF(H551="","",VLOOKUP(H551,'#状态名词'!$A$2:$C$99,2))</f>
        <v>hit</v>
      </c>
      <c r="J551" s="27" t="str">
        <f>IF(H551="","",VLOOKUP(H551,'#状态名词'!$A$2:$C$99,3))</f>
        <v>命中率</v>
      </c>
      <c r="K551" s="26" t="s">
        <v>7572</v>
      </c>
      <c r="L551" s="27">
        <v>1204</v>
      </c>
    </row>
    <row r="552" spans="1:12">
      <c r="C552" s="21"/>
      <c r="H552" s="27">
        <v>1</v>
      </c>
      <c r="I552" s="27" t="str">
        <f>IF(H552="","",VLOOKUP(H552,'#状态名词'!$A$2:$C$99,2))</f>
        <v>skilldama</v>
      </c>
      <c r="J552" s="27" t="str">
        <f>IF(H552="","",VLOOKUP(H552,'#状态名词'!$A$2:$C$99,3))</f>
        <v>技能伤害和治疗效果提升B类</v>
      </c>
      <c r="K552" s="26" t="s">
        <v>7571</v>
      </c>
      <c r="L552" s="27">
        <v>1204</v>
      </c>
    </row>
    <row r="553" spans="1:12" ht="27">
      <c r="A553" s="27">
        <v>30052</v>
      </c>
      <c r="B553" s="27" t="s">
        <v>7559</v>
      </c>
      <c r="C553" s="21" t="s">
        <v>7685</v>
      </c>
      <c r="E553" s="27">
        <v>-1</v>
      </c>
      <c r="F553" s="27">
        <v>-1</v>
      </c>
      <c r="H553" s="27">
        <v>75</v>
      </c>
      <c r="I553" s="27" t="str">
        <f>IF(H553="","",VLOOKUP(H553,'#状态名词'!$A$2:$C$99,2))</f>
        <v>action_useskill</v>
      </c>
      <c r="J553" s="27" t="str">
        <f>IF(H553="","",VLOOKUP(H553,'#状态名词'!$A$2:$C$99,3))</f>
        <v>行动时有几率使用技能</v>
      </c>
      <c r="K553" s="38">
        <v>30059</v>
      </c>
      <c r="L553" s="27">
        <v>3702</v>
      </c>
    </row>
    <row r="554" spans="1:12">
      <c r="A554" s="27">
        <v>30053</v>
      </c>
      <c r="B554" s="27" t="s">
        <v>7567</v>
      </c>
      <c r="C554" s="21" t="s">
        <v>7754</v>
      </c>
      <c r="E554" s="27">
        <v>1</v>
      </c>
      <c r="F554" s="27">
        <v>-1</v>
      </c>
      <c r="H554" s="27">
        <v>1</v>
      </c>
      <c r="I554" s="27" t="str">
        <f>IF(H554="","",VLOOKUP(H554,'#状态名词'!$A$2:$C$99,2))</f>
        <v>skilldama</v>
      </c>
      <c r="J554" s="27" t="str">
        <f>IF(H554="","",VLOOKUP(H554,'#状态名词'!$A$2:$C$99,3))</f>
        <v>技能伤害和治疗效果提升B类</v>
      </c>
      <c r="K554" s="26" t="s">
        <v>7755</v>
      </c>
      <c r="L554" s="27">
        <v>3203</v>
      </c>
    </row>
    <row r="555" spans="1:12">
      <c r="A555" s="33">
        <v>30054</v>
      </c>
      <c r="B555" s="27" t="s">
        <v>3787</v>
      </c>
      <c r="C555" s="21" t="s">
        <v>7563</v>
      </c>
      <c r="E555" s="27">
        <v>-1</v>
      </c>
      <c r="F555" s="27">
        <v>1</v>
      </c>
      <c r="G555" s="27">
        <v>30054</v>
      </c>
      <c r="I555" s="27" t="str">
        <f>IF(H555="","",VLOOKUP(H555,'#状态名词'!$A$2:$C$99,2))</f>
        <v/>
      </c>
      <c r="J555" s="27" t="str">
        <f>IF(H555="","",VLOOKUP(H555,'#状态名词'!$A$2:$C$99,3))</f>
        <v/>
      </c>
    </row>
    <row r="556" spans="1:12">
      <c r="A556" s="27">
        <v>30056</v>
      </c>
      <c r="B556" s="20" t="s">
        <v>7574</v>
      </c>
      <c r="C556" s="21" t="s">
        <v>7645</v>
      </c>
      <c r="E556" s="27">
        <v>2</v>
      </c>
      <c r="F556" s="27">
        <v>-1</v>
      </c>
      <c r="H556" s="27">
        <v>7</v>
      </c>
      <c r="I556" s="27" t="str">
        <f>IF(H556="","",VLOOKUP(H556,'#状态名词'!$A$2:$C$99,2))</f>
        <v>pvpjs_per</v>
      </c>
      <c r="J556" s="27" t="str">
        <f>IF(H556="","",VLOOKUP(H556,'#状态名词'!$A$2:$C$99,3))</f>
        <v>pvp减伤</v>
      </c>
      <c r="K556" s="26" t="s">
        <v>7646</v>
      </c>
    </row>
    <row r="557" spans="1:12">
      <c r="A557" s="27">
        <v>30057</v>
      </c>
      <c r="B557" s="20" t="s">
        <v>7574</v>
      </c>
      <c r="C557" s="21" t="s">
        <v>7644</v>
      </c>
      <c r="E557" s="27">
        <v>2</v>
      </c>
      <c r="F557" s="27">
        <v>-1</v>
      </c>
      <c r="H557" s="27">
        <v>7</v>
      </c>
      <c r="I557" s="27" t="str">
        <f>IF(H557="","",VLOOKUP(H557,'#状态名词'!$A$2:$C$99,2))</f>
        <v>pvpjs_per</v>
      </c>
      <c r="J557" s="27" t="str">
        <f>IF(H557="","",VLOOKUP(H557,'#状态名词'!$A$2:$C$99,3))</f>
        <v>pvp减伤</v>
      </c>
      <c r="K557" s="26" t="s">
        <v>7647</v>
      </c>
    </row>
    <row r="558" spans="1:12">
      <c r="A558" s="27">
        <v>30058</v>
      </c>
      <c r="B558" s="20" t="s">
        <v>7575</v>
      </c>
      <c r="C558" s="21" t="s">
        <v>7648</v>
      </c>
      <c r="E558" s="27">
        <v>1</v>
      </c>
      <c r="F558" s="27">
        <v>-1</v>
      </c>
      <c r="H558" s="27">
        <v>43</v>
      </c>
      <c r="I558" s="27" t="str">
        <f>IF(H558="","",VLOOKUP(H558,'#状态名词'!$A$2:$C$99,2))</f>
        <v>turn_damage</v>
      </c>
      <c r="J558" s="27" t="str">
        <f>IF(H558="","",VLOOKUP(H558,'#状态名词'!$A$2:$C$99,3))</f>
        <v>回合伤害</v>
      </c>
      <c r="K558" s="26" t="s">
        <v>7828</v>
      </c>
    </row>
    <row r="559" spans="1:12" ht="14.25">
      <c r="A559" s="20">
        <v>30060</v>
      </c>
      <c r="B559" s="20" t="s">
        <v>7756</v>
      </c>
      <c r="C559" s="66" t="s">
        <v>7760</v>
      </c>
      <c r="E559" s="27">
        <v>30</v>
      </c>
      <c r="F559" s="27">
        <v>-1</v>
      </c>
      <c r="H559" s="27">
        <v>2</v>
      </c>
      <c r="I559" s="27" t="str">
        <f>IF(H559="","",VLOOKUP(H559,'#状态名词'!$A$2:$C$99,2))</f>
        <v>damaup</v>
      </c>
      <c r="J559" s="27" t="str">
        <f>IF(H559="","",VLOOKUP(H559,'#状态名词'!$A$2:$C$99,3))</f>
        <v>伤害提升A类增伤</v>
      </c>
      <c r="K559" s="26" t="s">
        <v>7769</v>
      </c>
    </row>
    <row r="560" spans="1:12" ht="14.25">
      <c r="A560" s="20">
        <v>30061</v>
      </c>
      <c r="B560" s="20" t="s">
        <v>7764</v>
      </c>
      <c r="C560" s="66" t="s">
        <v>7765</v>
      </c>
      <c r="E560" s="27">
        <v>30</v>
      </c>
      <c r="F560" s="27">
        <v>-1</v>
      </c>
      <c r="H560" s="27">
        <v>2</v>
      </c>
      <c r="I560" s="27" t="str">
        <f>IF(H560="","",VLOOKUP(H560,'#状态名词'!$A$2:$C$99,2))</f>
        <v>damaup</v>
      </c>
      <c r="J560" s="27" t="str">
        <f>IF(H560="","",VLOOKUP(H560,'#状态名词'!$A$2:$C$99,3))</f>
        <v>伤害提升A类增伤</v>
      </c>
      <c r="K560" s="26" t="s">
        <v>7769</v>
      </c>
    </row>
    <row r="561" spans="1:11" ht="14.25">
      <c r="A561" s="20">
        <v>30062</v>
      </c>
      <c r="B561" s="20" t="s">
        <v>7757</v>
      </c>
      <c r="C561" s="66" t="s">
        <v>7762</v>
      </c>
      <c r="E561" s="27">
        <v>20</v>
      </c>
      <c r="F561" s="27">
        <v>-1</v>
      </c>
      <c r="H561" s="27">
        <v>75</v>
      </c>
      <c r="I561" s="27" t="str">
        <f>IF(H561="","",VLOOKUP(H561,'#状态名词'!$A$2:$C$99,2))</f>
        <v>action_useskill</v>
      </c>
      <c r="J561" s="27" t="str">
        <f>IF(H561="","",VLOOKUP(H561,'#状态名词'!$A$2:$C$99,3))</f>
        <v>行动时有几率使用技能</v>
      </c>
      <c r="K561" s="26" t="s">
        <v>7770</v>
      </c>
    </row>
    <row r="562" spans="1:11" ht="14.25">
      <c r="A562" s="20">
        <v>30063</v>
      </c>
      <c r="B562" s="20" t="s">
        <v>7758</v>
      </c>
      <c r="C562" s="66" t="s">
        <v>7761</v>
      </c>
      <c r="E562" s="27">
        <v>-1</v>
      </c>
      <c r="F562" s="27">
        <v>-1</v>
      </c>
      <c r="H562" s="27">
        <v>33</v>
      </c>
      <c r="I562" s="27" t="str">
        <f>IF(H562="","",VLOOKUP(H562,'#状态名词'!$A$2:$C$99,2))</f>
        <v>relight</v>
      </c>
      <c r="J562" s="27" t="str">
        <f>IF(H562="","",VLOOKUP(H562,'#状态名词'!$A$2:$C$99,3))</f>
        <v>光属性抗性</v>
      </c>
      <c r="K562" s="26" t="s">
        <v>7771</v>
      </c>
    </row>
    <row r="563" spans="1:11" ht="14.25">
      <c r="A563" s="20"/>
      <c r="B563" s="20"/>
      <c r="C563" s="66"/>
      <c r="H563" s="27">
        <v>21</v>
      </c>
      <c r="I563" s="27" t="str">
        <f>IF(H563="","",VLOOKUP(H563,'#状态名词'!$A$2:$C$99,2))</f>
        <v>speed</v>
      </c>
      <c r="J563" s="27" t="str">
        <f>IF(H563="","",VLOOKUP(H563,'#状态名词'!$A$2:$C$99,3))</f>
        <v>速度+</v>
      </c>
      <c r="K563" s="26" t="s">
        <v>7772</v>
      </c>
    </row>
    <row r="564" spans="1:11" ht="14.25">
      <c r="A564" s="20">
        <v>30064</v>
      </c>
      <c r="B564" s="20" t="s">
        <v>7885</v>
      </c>
      <c r="C564" s="66" t="s">
        <v>7886</v>
      </c>
      <c r="E564" s="27">
        <v>1</v>
      </c>
      <c r="F564" s="27">
        <v>-1</v>
      </c>
      <c r="H564" s="27">
        <v>74</v>
      </c>
      <c r="I564" s="27" t="str">
        <f>IF(H564="","",VLOOKUP(H564,'#状态名词'!$A$2:$C$99,2))</f>
        <v>sk_levelprofession</v>
      </c>
      <c r="J564" s="27" t="str">
        <f>IF(H564="","",VLOOKUP(H564,'#状态名词'!$A$2:$C$99,3))</f>
        <v>增加某个职业技能</v>
      </c>
      <c r="K564" s="26" t="s">
        <v>7887</v>
      </c>
    </row>
    <row r="565" spans="1:11" ht="14.25">
      <c r="A565" s="20">
        <v>30065</v>
      </c>
      <c r="B565" s="20" t="s">
        <v>8019</v>
      </c>
      <c r="C565" s="66" t="s">
        <v>8021</v>
      </c>
      <c r="E565" s="27">
        <v>1</v>
      </c>
      <c r="F565" s="27">
        <v>-1</v>
      </c>
      <c r="H565" s="27">
        <v>3</v>
      </c>
      <c r="I565" s="27" t="str">
        <f>IF(H565="","",VLOOKUP(H565,'#状态名词'!$A$2:$C$99,2))</f>
        <v>attach_dama</v>
      </c>
      <c r="J565" s="27" t="str">
        <f>IF(H565="","",VLOOKUP(H565,'#状态名词'!$A$2:$C$99,3))</f>
        <v>攻击额外伤害C类增伤</v>
      </c>
      <c r="K565" s="26" t="s">
        <v>8025</v>
      </c>
    </row>
    <row r="566" spans="1:11" ht="14.25">
      <c r="A566" s="20">
        <v>30066</v>
      </c>
      <c r="B566" s="20" t="s">
        <v>8020</v>
      </c>
      <c r="C566" s="66" t="s">
        <v>8022</v>
      </c>
      <c r="E566" s="27">
        <v>1</v>
      </c>
      <c r="F566" s="27">
        <v>-1</v>
      </c>
      <c r="H566" s="27">
        <v>3</v>
      </c>
      <c r="I566" s="27" t="str">
        <f>IF(H566="","",VLOOKUP(H566,'#状态名词'!$A$2:$C$99,2))</f>
        <v>attach_dama</v>
      </c>
      <c r="J566" s="27" t="str">
        <f>IF(H566="","",VLOOKUP(H566,'#状态名词'!$A$2:$C$99,3))</f>
        <v>攻击额外伤害C类增伤</v>
      </c>
      <c r="K566" s="26" t="s">
        <v>8026</v>
      </c>
    </row>
    <row r="567" spans="1:11" ht="14.25">
      <c r="A567" s="20">
        <v>30067</v>
      </c>
      <c r="B567" s="20" t="s">
        <v>8017</v>
      </c>
      <c r="C567" s="66" t="s">
        <v>8023</v>
      </c>
      <c r="E567" s="27">
        <v>1</v>
      </c>
      <c r="F567" s="27">
        <v>-1</v>
      </c>
      <c r="H567" s="27">
        <v>2</v>
      </c>
      <c r="I567" s="27" t="str">
        <f>IF(H567="","",VLOOKUP(H567,'#状态名词'!$A$2:$C$99,2))</f>
        <v>damaup</v>
      </c>
      <c r="J567" s="27" t="str">
        <f>IF(H567="","",VLOOKUP(H567,'#状态名词'!$A$2:$C$99,3))</f>
        <v>伤害提升A类增伤</v>
      </c>
      <c r="K567" s="26" t="s">
        <v>8025</v>
      </c>
    </row>
    <row r="568" spans="1:11" ht="14.25">
      <c r="A568" s="20">
        <v>30068</v>
      </c>
      <c r="B568" s="20" t="s">
        <v>8018</v>
      </c>
      <c r="C568" s="66" t="s">
        <v>8024</v>
      </c>
      <c r="E568" s="27">
        <v>1</v>
      </c>
      <c r="F568" s="27">
        <v>-1</v>
      </c>
      <c r="H568" s="27">
        <v>2</v>
      </c>
      <c r="I568" s="27" t="str">
        <f>IF(H568="","",VLOOKUP(H568,'#状态名词'!$A$2:$C$99,2))</f>
        <v>damaup</v>
      </c>
      <c r="J568" s="27" t="str">
        <f>IF(H568="","",VLOOKUP(H568,'#状态名词'!$A$2:$C$99,3))</f>
        <v>伤害提升A类增伤</v>
      </c>
      <c r="K568" s="26" t="s">
        <v>8026</v>
      </c>
    </row>
    <row r="569" spans="1:11" ht="14.25">
      <c r="A569" s="20">
        <v>30070</v>
      </c>
      <c r="B569" s="20" t="s">
        <v>8032</v>
      </c>
      <c r="C569" s="66" t="s">
        <v>8035</v>
      </c>
      <c r="E569" s="27">
        <v>1</v>
      </c>
      <c r="F569" s="27">
        <v>-1</v>
      </c>
      <c r="H569" s="27">
        <v>74</v>
      </c>
      <c r="I569" s="27" t="str">
        <f>IF(H569="","",VLOOKUP(H569,'#状态名词'!$A$2:$C$99,2))</f>
        <v>sk_levelprofession</v>
      </c>
      <c r="J569" s="27" t="str">
        <f>IF(H569="","",VLOOKUP(H569,'#状态名词'!$A$2:$C$99,3))</f>
        <v>增加某个职业技能</v>
      </c>
      <c r="K569" s="26" t="s">
        <v>8036</v>
      </c>
    </row>
    <row r="570" spans="1:11" ht="14.25">
      <c r="A570" s="20">
        <v>30071</v>
      </c>
      <c r="B570" s="20" t="s">
        <v>8033</v>
      </c>
      <c r="C570" s="66" t="s">
        <v>8034</v>
      </c>
      <c r="E570" s="27">
        <v>20</v>
      </c>
      <c r="F570" s="27">
        <v>-1</v>
      </c>
      <c r="H570" s="27">
        <v>44</v>
      </c>
      <c r="I570" s="27" t="str">
        <f>IF(H570="","",VLOOKUP(H570,'#状态名词'!$A$2:$C$99,2))</f>
        <v>dotup</v>
      </c>
      <c r="J570" s="27" t="str">
        <f>IF(H570="","",VLOOKUP(H570,'#状态名词'!$A$2:$C$99,3))</f>
        <v>持续伤害强化</v>
      </c>
      <c r="K570" s="26" t="s">
        <v>8037</v>
      </c>
    </row>
    <row r="571" spans="1:11" ht="14.25">
      <c r="A571" s="20">
        <v>30072</v>
      </c>
      <c r="B571" s="20" t="s">
        <v>8041</v>
      </c>
      <c r="C571" s="66" t="s">
        <v>8039</v>
      </c>
      <c r="E571" s="27">
        <v>20</v>
      </c>
      <c r="F571" s="27">
        <v>-1</v>
      </c>
      <c r="H571" s="27">
        <v>35</v>
      </c>
      <c r="I571" s="27" t="str">
        <f>IF(H571="","",VLOOKUP(H571,'#状态名词'!$A$2:$C$99,2))</f>
        <v>reelement</v>
      </c>
      <c r="J571" s="27" t="str">
        <f>IF(H571="","",VLOOKUP(H571,'#状态名词'!$A$2:$C$99,3))</f>
        <v>全属性抗性</v>
      </c>
      <c r="K571" s="26" t="s">
        <v>8042</v>
      </c>
    </row>
    <row r="572" spans="1:11" ht="14.25">
      <c r="A572" s="20">
        <v>30073</v>
      </c>
      <c r="B572" s="20" t="s">
        <v>8038</v>
      </c>
      <c r="C572" s="66" t="s">
        <v>8040</v>
      </c>
      <c r="E572" s="27">
        <v>20</v>
      </c>
      <c r="F572" s="27">
        <v>-1</v>
      </c>
      <c r="H572" s="27">
        <v>35</v>
      </c>
      <c r="I572" s="27" t="str">
        <f>IF(H572="","",VLOOKUP(H572,'#状态名词'!$A$2:$C$99,2))</f>
        <v>reelement</v>
      </c>
      <c r="J572" s="27" t="str">
        <f>IF(H572="","",VLOOKUP(H572,'#状态名词'!$A$2:$C$99,3))</f>
        <v>全属性抗性</v>
      </c>
      <c r="K572" s="26" t="s">
        <v>8043</v>
      </c>
    </row>
    <row r="573" spans="1:11">
      <c r="A573" s="20">
        <v>30074</v>
      </c>
      <c r="B573" s="20" t="s">
        <v>8122</v>
      </c>
      <c r="C573" s="20" t="s">
        <v>8127</v>
      </c>
      <c r="E573" s="27">
        <v>1</v>
      </c>
      <c r="F573" s="27">
        <v>0</v>
      </c>
      <c r="H573" s="27">
        <v>46</v>
      </c>
      <c r="I573" s="27" t="str">
        <f>IF(H573="","",VLOOKUP(H573,'#状态名词'!$A$2:$C$99,2))</f>
        <v>energyup</v>
      </c>
      <c r="J573" s="27" t="str">
        <f>IF(H573="","",VLOOKUP(H573,'#状态名词'!$A$2:$C$99,3))</f>
        <v>行动回能量</v>
      </c>
      <c r="K573" s="26" t="s">
        <v>8128</v>
      </c>
    </row>
    <row r="574" spans="1:11">
      <c r="A574" s="20">
        <v>30075</v>
      </c>
      <c r="B574" s="20" t="s">
        <v>8124</v>
      </c>
      <c r="C574" s="20" t="s">
        <v>8125</v>
      </c>
      <c r="E574" s="27">
        <v>1</v>
      </c>
      <c r="F574" s="27">
        <v>-1</v>
      </c>
      <c r="G574" s="27">
        <v>30075</v>
      </c>
      <c r="H574" s="27">
        <v>52</v>
      </c>
      <c r="I574" s="27" t="str">
        <f>IF(H574="","",VLOOKUP(H574,'#状态名词'!$A$2:$C$99,2))</f>
        <v>energyupper</v>
      </c>
      <c r="J574" s="27" t="str">
        <f>IF(H574="","",VLOOKUP(H574,'#状态名词'!$A$2:$C$99,3))</f>
        <v>能量上限</v>
      </c>
      <c r="K574" s="26" t="s">
        <v>8129</v>
      </c>
    </row>
    <row r="575" spans="1:11">
      <c r="A575" s="20">
        <v>30076</v>
      </c>
      <c r="B575" s="20" t="s">
        <v>8123</v>
      </c>
      <c r="C575" s="72" t="s">
        <v>8126</v>
      </c>
      <c r="E575" s="27">
        <v>1</v>
      </c>
      <c r="F575" s="27">
        <v>-1</v>
      </c>
      <c r="G575" s="27">
        <v>30076</v>
      </c>
      <c r="H575" s="27">
        <v>52</v>
      </c>
      <c r="I575" s="27" t="str">
        <f>IF(H575="","",VLOOKUP(H575,'#状态名词'!$A$2:$C$99,2))</f>
        <v>energyupper</v>
      </c>
      <c r="J575" s="27" t="str">
        <f>IF(H575="","",VLOOKUP(H575,'#状态名词'!$A$2:$C$99,3))</f>
        <v>能量上限</v>
      </c>
      <c r="K575" s="26" t="s">
        <v>8129</v>
      </c>
    </row>
    <row r="576" spans="1:11">
      <c r="A576" s="20">
        <v>30077</v>
      </c>
      <c r="B576" s="20" t="s">
        <v>8827</v>
      </c>
      <c r="C576" s="72" t="s">
        <v>8829</v>
      </c>
      <c r="E576" s="27">
        <v>-1</v>
      </c>
      <c r="F576" s="27">
        <v>-1</v>
      </c>
      <c r="H576" s="27">
        <v>53</v>
      </c>
      <c r="I576" s="27" t="str">
        <f>IF(H576="","",VLOOKUP(H576,'#状态名词'!$A$2:$C$99,2))</f>
        <v>manaupper</v>
      </c>
      <c r="J576" s="27" t="str">
        <f>IF(H576="","",VLOOKUP(H576,'#状态名词'!$A$2:$C$99,3))</f>
        <v>法力上限</v>
      </c>
      <c r="K576" s="26" t="s">
        <v>8831</v>
      </c>
    </row>
    <row r="577" spans="1:12">
      <c r="A577" s="20"/>
      <c r="B577" s="20"/>
      <c r="C577" s="72"/>
      <c r="E577" s="27">
        <v>-1</v>
      </c>
      <c r="F577" s="27">
        <v>-1</v>
      </c>
      <c r="H577" s="27">
        <v>44</v>
      </c>
      <c r="I577" s="27" t="str">
        <f>IF(H577="","",VLOOKUP(H577,'#状态名词'!$A$2:$C$99,2))</f>
        <v>dotup</v>
      </c>
      <c r="J577" s="27" t="str">
        <f>IF(H577="","",VLOOKUP(H577,'#状态名词'!$A$2:$C$99,3))</f>
        <v>持续伤害强化</v>
      </c>
      <c r="K577" s="26" t="s">
        <v>8830</v>
      </c>
    </row>
    <row r="578" spans="1:12">
      <c r="A578" s="20">
        <v>30082</v>
      </c>
      <c r="B578" s="20" t="s">
        <v>8855</v>
      </c>
      <c r="C578" s="76" t="s">
        <v>8857</v>
      </c>
      <c r="E578" s="27">
        <v>-1</v>
      </c>
      <c r="F578" s="27">
        <v>-1</v>
      </c>
      <c r="H578" s="27">
        <v>24</v>
      </c>
      <c r="I578" s="27" t="str">
        <f>IF(H578="","",VLOOKUP(H578,'#状态名词'!$A$2:$C$99,2))</f>
        <v>heal</v>
      </c>
      <c r="J578" s="27" t="str">
        <f>IF(H578="","",VLOOKUP(H578,'#状态名词'!$A$2:$C$99,3))</f>
        <v>治疗效果+</v>
      </c>
      <c r="K578" s="26" t="s">
        <v>8858</v>
      </c>
    </row>
    <row r="579" spans="1:12">
      <c r="A579" s="20">
        <v>30083</v>
      </c>
      <c r="B579" s="20" t="s">
        <v>8856</v>
      </c>
      <c r="C579" s="76" t="s">
        <v>8862</v>
      </c>
      <c r="E579" s="27">
        <v>1</v>
      </c>
      <c r="F579" s="27">
        <v>-1</v>
      </c>
      <c r="H579" s="27">
        <v>14</v>
      </c>
      <c r="I579" s="27" t="str">
        <f>IF(H579="","",VLOOKUP(H579,'#状态名词'!$A$2:$C$99,2))</f>
        <v>arm_per</v>
      </c>
      <c r="J579" s="27" t="str">
        <f>IF(H579="","",VLOOKUP(H579,'#状态名词'!$A$2:$C$99,3))</f>
        <v>护甲百分比</v>
      </c>
      <c r="K579" s="26" t="s">
        <v>8859</v>
      </c>
      <c r="L579" s="27">
        <v>4501</v>
      </c>
    </row>
    <row r="580" spans="1:12">
      <c r="A580" s="20">
        <v>30084</v>
      </c>
      <c r="B580" s="20" t="s">
        <v>8910</v>
      </c>
      <c r="C580" s="76" t="s">
        <v>8919</v>
      </c>
      <c r="E580" s="27">
        <v>1</v>
      </c>
      <c r="F580" s="27">
        <v>-1</v>
      </c>
      <c r="H580" s="27">
        <v>74</v>
      </c>
      <c r="I580" s="27" t="str">
        <f>IF(H580="","",VLOOKUP(H580,'#状态名词'!$A$2:$C$99,2))</f>
        <v>sk_levelprofession</v>
      </c>
      <c r="J580" s="27" t="str">
        <f>IF(H580="","",VLOOKUP(H580,'#状态名词'!$A$2:$C$99,3))</f>
        <v>增加某个职业技能</v>
      </c>
      <c r="K580" s="26" t="s">
        <v>8923</v>
      </c>
    </row>
    <row r="581" spans="1:12">
      <c r="A581" s="20">
        <v>30085</v>
      </c>
      <c r="B581" s="20" t="s">
        <v>8910</v>
      </c>
      <c r="C581" s="76" t="s">
        <v>8920</v>
      </c>
      <c r="E581" s="27">
        <v>1</v>
      </c>
      <c r="F581" s="27">
        <v>-1</v>
      </c>
      <c r="H581" s="27">
        <v>74</v>
      </c>
      <c r="I581" s="27" t="str">
        <f>IF(H581="","",VLOOKUP(H581,'#状态名词'!$A$2:$C$99,2))</f>
        <v>sk_levelprofession</v>
      </c>
      <c r="J581" s="27" t="str">
        <f>IF(H581="","",VLOOKUP(H581,'#状态名词'!$A$2:$C$99,3))</f>
        <v>增加某个职业技能</v>
      </c>
      <c r="K581" s="26" t="s">
        <v>8924</v>
      </c>
    </row>
    <row r="582" spans="1:12">
      <c r="A582" s="20">
        <v>30086</v>
      </c>
      <c r="B582" s="20" t="s">
        <v>8911</v>
      </c>
      <c r="C582" s="76" t="s">
        <v>8921</v>
      </c>
      <c r="E582" s="27">
        <v>1</v>
      </c>
      <c r="F582" s="27">
        <v>0</v>
      </c>
      <c r="H582" s="27">
        <v>14</v>
      </c>
      <c r="I582" s="27" t="str">
        <f>IF(H582="","",VLOOKUP(H582,'#状态名词'!$A$2:$C$99,2))</f>
        <v>arm_per</v>
      </c>
      <c r="J582" s="27" t="str">
        <f>IF(H582="","",VLOOKUP(H582,'#状态名词'!$A$2:$C$99,3))</f>
        <v>护甲百分比</v>
      </c>
      <c r="K582" s="26" t="s">
        <v>8925</v>
      </c>
    </row>
    <row r="583" spans="1:12">
      <c r="A583" s="20"/>
      <c r="B583" s="20"/>
      <c r="C583" s="76"/>
      <c r="H583" s="27">
        <v>16</v>
      </c>
      <c r="I583" s="27" t="str">
        <f>IF(H583="","",VLOOKUP(H583,'#状态名词'!$A$2:$C$99,2))</f>
        <v>mr_per</v>
      </c>
      <c r="J583" s="27" t="str">
        <f>IF(H583="","",VLOOKUP(H583,'#状态名词'!$A$2:$C$99,3))</f>
        <v>魔抗百分比</v>
      </c>
      <c r="K583" s="26" t="s">
        <v>8925</v>
      </c>
    </row>
    <row r="584" spans="1:12">
      <c r="A584" s="20">
        <v>30088</v>
      </c>
      <c r="B584" s="20" t="s">
        <v>8912</v>
      </c>
      <c r="C584" s="76" t="s">
        <v>8915</v>
      </c>
      <c r="E584" s="27">
        <v>20</v>
      </c>
      <c r="F584" s="27">
        <v>-1</v>
      </c>
      <c r="H584" s="27">
        <v>27</v>
      </c>
      <c r="I584" s="27" t="str">
        <f>IF(H584="","",VLOOKUP(H584,'#状态名词'!$A$2:$C$99,2))</f>
        <v>iceup</v>
      </c>
      <c r="J584" s="27" t="str">
        <f>IF(H584="","",VLOOKUP(H584,'#状态名词'!$A$2:$C$99,3))</f>
        <v>冰属性强化</v>
      </c>
      <c r="K584" s="26" t="s">
        <v>8928</v>
      </c>
    </row>
    <row r="585" spans="1:12">
      <c r="A585" s="20">
        <v>30089</v>
      </c>
      <c r="B585" s="20" t="s">
        <v>8912</v>
      </c>
      <c r="C585" s="76" t="s">
        <v>8916</v>
      </c>
      <c r="E585" s="27">
        <v>20</v>
      </c>
      <c r="F585" s="27">
        <v>-1</v>
      </c>
      <c r="H585" s="27">
        <v>27</v>
      </c>
      <c r="I585" s="27" t="str">
        <f>IF(H585="","",VLOOKUP(H585,'#状态名词'!$A$2:$C$99,2))</f>
        <v>iceup</v>
      </c>
      <c r="J585" s="27" t="str">
        <f>IF(H585="","",VLOOKUP(H585,'#状态名词'!$A$2:$C$99,3))</f>
        <v>冰属性强化</v>
      </c>
      <c r="K585" s="26" t="s">
        <v>8929</v>
      </c>
    </row>
    <row r="586" spans="1:12">
      <c r="A586" s="20">
        <v>30090</v>
      </c>
      <c r="B586" s="20" t="s">
        <v>8908</v>
      </c>
      <c r="C586" s="76" t="s">
        <v>8913</v>
      </c>
      <c r="E586" s="27">
        <v>1</v>
      </c>
      <c r="F586" s="27">
        <v>-1</v>
      </c>
      <c r="H586" s="27">
        <v>1</v>
      </c>
      <c r="I586" s="27" t="str">
        <f>IF(H586="","",VLOOKUP(H586,'#状态名词'!$A$2:$C$99,2))</f>
        <v>skilldama</v>
      </c>
      <c r="J586" s="27" t="str">
        <f>IF(H586="","",VLOOKUP(H586,'#状态名词'!$A$2:$C$99,3))</f>
        <v>技能伤害和治疗效果提升B类</v>
      </c>
      <c r="K586" s="26" t="s">
        <v>8926</v>
      </c>
    </row>
    <row r="587" spans="1:12">
      <c r="A587" s="20">
        <v>30091</v>
      </c>
      <c r="B587" s="20" t="s">
        <v>8909</v>
      </c>
      <c r="C587" s="76" t="s">
        <v>8914</v>
      </c>
      <c r="E587" s="27">
        <v>1</v>
      </c>
      <c r="F587" s="27">
        <v>-1</v>
      </c>
      <c r="H587" s="27">
        <v>1</v>
      </c>
      <c r="I587" s="27" t="str">
        <f>IF(H587="","",VLOOKUP(H587,'#状态名词'!$A$2:$C$99,2))</f>
        <v>skilldama</v>
      </c>
      <c r="J587" s="27" t="str">
        <f>IF(H587="","",VLOOKUP(H587,'#状态名词'!$A$2:$C$99,3))</f>
        <v>技能伤害和治疗效果提升B类</v>
      </c>
      <c r="K587" s="26" t="s">
        <v>8927</v>
      </c>
    </row>
    <row r="588" spans="1:12">
      <c r="A588" s="20">
        <v>30093</v>
      </c>
      <c r="B588" s="20" t="s">
        <v>8970</v>
      </c>
      <c r="C588" s="76" t="s">
        <v>8972</v>
      </c>
      <c r="E588" s="27">
        <v>1</v>
      </c>
      <c r="F588" s="27">
        <v>-1</v>
      </c>
      <c r="H588" s="27">
        <v>26</v>
      </c>
      <c r="I588" s="27" t="str">
        <f>IF(H588="","",VLOOKUP(H588,'#状态名词'!$A$2:$C$99,2))</f>
        <v>fireup</v>
      </c>
      <c r="J588" s="27" t="str">
        <f>IF(H588="","",VLOOKUP(H588,'#状态名词'!$A$2:$C$99,3))</f>
        <v>火属性强化</v>
      </c>
      <c r="K588" s="26" t="s">
        <v>8974</v>
      </c>
    </row>
    <row r="589" spans="1:12">
      <c r="A589" s="20"/>
      <c r="B589" s="20"/>
      <c r="C589" s="76"/>
      <c r="H589" s="27">
        <v>27</v>
      </c>
      <c r="I589" s="27" t="str">
        <f>IF(H589="","",VLOOKUP(H589,'#状态名词'!$A$2:$C$99,2))</f>
        <v>iceup</v>
      </c>
      <c r="J589" s="27" t="str">
        <f>IF(H589="","",VLOOKUP(H589,'#状态名词'!$A$2:$C$99,3))</f>
        <v>冰属性强化</v>
      </c>
      <c r="K589" s="26" t="s">
        <v>8974</v>
      </c>
    </row>
    <row r="590" spans="1:12">
      <c r="A590" s="20"/>
      <c r="B590" s="20"/>
      <c r="C590" s="76"/>
      <c r="H590" s="27">
        <v>28</v>
      </c>
      <c r="I590" s="27" t="str">
        <f>IF(H590="","",VLOOKUP(H590,'#状态名词'!$A$2:$C$99,2))</f>
        <v>lightup</v>
      </c>
      <c r="J590" s="27" t="str">
        <f>IF(H590="","",VLOOKUP(H590,'#状态名词'!$A$2:$C$99,3))</f>
        <v>光属性强化</v>
      </c>
      <c r="K590" s="26" t="s">
        <v>5341</v>
      </c>
    </row>
    <row r="591" spans="1:12">
      <c r="A591" s="20"/>
      <c r="B591" s="20"/>
      <c r="C591" s="76"/>
      <c r="H591" s="27">
        <v>29</v>
      </c>
      <c r="I591" s="27" t="str">
        <f>IF(H591="","",VLOOKUP(H591,'#状态名词'!$A$2:$C$99,2))</f>
        <v>darkup</v>
      </c>
      <c r="J591" s="27" t="str">
        <f>IF(H591="","",VLOOKUP(H591,'#状态名词'!$A$2:$C$99,3))</f>
        <v>暗属性强化</v>
      </c>
      <c r="K591" s="26" t="s">
        <v>5341</v>
      </c>
    </row>
    <row r="592" spans="1:12">
      <c r="A592" s="20">
        <v>30094</v>
      </c>
      <c r="B592" s="20" t="s">
        <v>8971</v>
      </c>
      <c r="C592" s="76" t="s">
        <v>8973</v>
      </c>
      <c r="E592" s="27">
        <v>5</v>
      </c>
      <c r="F592" s="27">
        <v>1</v>
      </c>
      <c r="H592" s="27">
        <v>58</v>
      </c>
      <c r="I592" s="27" t="str">
        <f>IF(H592="","",VLOOKUP(H592,'#状态名词'!$A$2:$C$99,2))</f>
        <v>vit</v>
      </c>
      <c r="J592" s="27" t="str">
        <f>IF(H592="","",VLOOKUP(H592,'#状态名词'!$A$2:$C$99,3))</f>
        <v>体力</v>
      </c>
      <c r="K592" s="26" t="s">
        <v>8975</v>
      </c>
    </row>
    <row r="593" spans="1:12">
      <c r="A593" s="20"/>
      <c r="B593" s="20"/>
      <c r="C593" s="76"/>
      <c r="H593" s="27">
        <v>54</v>
      </c>
      <c r="I593" s="27" t="str">
        <f>IF(H593="","",VLOOKUP(H593,'#状态名词'!$A$2:$C$99,2))</f>
        <v>spi</v>
      </c>
      <c r="J593" s="27" t="str">
        <f>IF(H593="","",VLOOKUP(H593,'#状态名词'!$A$2:$C$99,3))</f>
        <v>精神</v>
      </c>
      <c r="K593" s="26" t="s">
        <v>8975</v>
      </c>
    </row>
    <row r="594" spans="1:12">
      <c r="A594" s="20">
        <v>30095</v>
      </c>
      <c r="B594" s="20" t="s">
        <v>9217</v>
      </c>
      <c r="C594" s="76" t="s">
        <v>9215</v>
      </c>
      <c r="E594" s="27">
        <v>-1</v>
      </c>
      <c r="F594" s="27">
        <v>-1</v>
      </c>
      <c r="H594" s="27">
        <v>24</v>
      </c>
      <c r="I594" s="27" t="str">
        <f>IF(H594="","",VLOOKUP(H594,'#状态名词'!$A$2:$C$99,2))</f>
        <v>heal</v>
      </c>
      <c r="J594" s="27" t="str">
        <f>IF(H594="","",VLOOKUP(H594,'#状态名词'!$A$2:$C$99,3))</f>
        <v>治疗效果+</v>
      </c>
      <c r="K594" s="26" t="s">
        <v>9221</v>
      </c>
    </row>
    <row r="595" spans="1:12">
      <c r="A595" s="20">
        <v>30096</v>
      </c>
      <c r="B595" s="20" t="s">
        <v>9218</v>
      </c>
      <c r="C595" s="76" t="s">
        <v>9216</v>
      </c>
      <c r="E595" s="27">
        <v>-1</v>
      </c>
      <c r="F595" s="27">
        <v>-1</v>
      </c>
      <c r="H595" s="27">
        <v>13</v>
      </c>
      <c r="I595" s="27" t="str">
        <f>IF(H595="","",VLOOKUP(H595,'#状态名词'!$A$2:$C$99,2))</f>
        <v>arm</v>
      </c>
      <c r="J595" s="27" t="str">
        <f>IF(H595="","",VLOOKUP(H595,'#状态名词'!$A$2:$C$99,3))</f>
        <v>ARM+</v>
      </c>
      <c r="K595" s="26" t="s">
        <v>9222</v>
      </c>
    </row>
    <row r="596" spans="1:12">
      <c r="A596" s="20">
        <v>30097</v>
      </c>
      <c r="B596" s="20" t="s">
        <v>9219</v>
      </c>
      <c r="C596" s="76" t="s">
        <v>9214</v>
      </c>
      <c r="E596" s="27">
        <v>15</v>
      </c>
      <c r="F596" s="27">
        <v>-1</v>
      </c>
      <c r="H596" s="27">
        <v>2</v>
      </c>
      <c r="I596" s="27" t="str">
        <f>IF(H596="","",VLOOKUP(H596,'#状态名词'!$A$2:$C$99,2))</f>
        <v>damaup</v>
      </c>
      <c r="J596" s="27" t="str">
        <f>IF(H596="","",VLOOKUP(H596,'#状态名词'!$A$2:$C$99,3))</f>
        <v>伤害提升A类增伤</v>
      </c>
      <c r="K596" s="26" t="s">
        <v>9223</v>
      </c>
    </row>
    <row r="597" spans="1:12">
      <c r="A597" s="27">
        <v>30502</v>
      </c>
      <c r="B597" s="20" t="s">
        <v>3711</v>
      </c>
      <c r="C597" s="27" t="s">
        <v>3712</v>
      </c>
      <c r="E597" s="27">
        <v>1</v>
      </c>
      <c r="F597" s="27">
        <v>-1</v>
      </c>
      <c r="H597" s="27">
        <v>19</v>
      </c>
      <c r="I597" s="27" t="str">
        <f>IF(H597="","",VLOOKUP(H597,'#状态名词'!$A$2:$C$99,2))</f>
        <v>rating</v>
      </c>
      <c r="J597" s="27" t="str">
        <f>IF(H597="","",VLOOKUP(H597,'#状态名词'!$A$2:$C$99,3))</f>
        <v>暴击+</v>
      </c>
      <c r="K597" s="26">
        <v>2000</v>
      </c>
      <c r="L597" s="27">
        <v>40601</v>
      </c>
    </row>
    <row r="598" spans="1:12">
      <c r="A598" s="27">
        <v>30503</v>
      </c>
      <c r="B598" s="20" t="s">
        <v>3713</v>
      </c>
      <c r="C598" s="27" t="s">
        <v>3714</v>
      </c>
      <c r="E598" s="27">
        <v>1</v>
      </c>
      <c r="F598" s="27">
        <v>0</v>
      </c>
      <c r="H598" s="27">
        <v>36</v>
      </c>
      <c r="I598" s="27" t="str">
        <f>IF(H598="","",VLOOKUP(H598,'#状态名词'!$A$2:$C$99,2))</f>
        <v>atk_damage</v>
      </c>
      <c r="J598" s="27" t="str">
        <f>IF(H598="","",VLOOKUP(H598,'#状态名词'!$A$2:$C$99,3))</f>
        <v>攻击附加伤害</v>
      </c>
      <c r="K598" s="26" t="s">
        <v>5330</v>
      </c>
    </row>
    <row r="599" spans="1:12">
      <c r="A599" s="27">
        <v>30504</v>
      </c>
      <c r="B599" s="20" t="s">
        <v>3715</v>
      </c>
      <c r="C599" s="27" t="s">
        <v>3716</v>
      </c>
      <c r="E599" s="27">
        <v>-1</v>
      </c>
      <c r="F599" s="27">
        <v>-1</v>
      </c>
      <c r="H599" s="27">
        <v>24</v>
      </c>
      <c r="I599" s="27" t="str">
        <f>IF(H599="","",VLOOKUP(H599,'#状态名词'!$A$2:$C$99,2))</f>
        <v>heal</v>
      </c>
      <c r="J599" s="27" t="str">
        <f>IF(H599="","",VLOOKUP(H599,'#状态名词'!$A$2:$C$99,3))</f>
        <v>治疗效果+</v>
      </c>
      <c r="K599" s="26">
        <v>-100</v>
      </c>
    </row>
    <row r="600" spans="1:12">
      <c r="A600" s="27">
        <v>30505</v>
      </c>
      <c r="B600" s="20" t="s">
        <v>3717</v>
      </c>
      <c r="C600" s="27" t="s">
        <v>3718</v>
      </c>
      <c r="E600" s="27">
        <v>1</v>
      </c>
      <c r="F600" s="27">
        <v>-1</v>
      </c>
      <c r="H600" s="27">
        <v>19</v>
      </c>
      <c r="I600" s="27" t="str">
        <f>IF(H600="","",VLOOKUP(H600,'#状态名词'!$A$2:$C$99,2))</f>
        <v>rating</v>
      </c>
      <c r="J600" s="27" t="str">
        <f>IF(H600="","",VLOOKUP(H600,'#状态名词'!$A$2:$C$99,3))</f>
        <v>暴击+</v>
      </c>
      <c r="K600" s="26">
        <v>1000</v>
      </c>
    </row>
    <row r="601" spans="1:12">
      <c r="A601" s="27">
        <v>30506</v>
      </c>
      <c r="B601" s="20" t="s">
        <v>3719</v>
      </c>
      <c r="C601" s="27" t="s">
        <v>3642</v>
      </c>
      <c r="E601" s="27">
        <v>-1</v>
      </c>
      <c r="F601" s="27">
        <v>-1</v>
      </c>
      <c r="H601" s="27">
        <v>34</v>
      </c>
      <c r="I601" s="27" t="str">
        <f>IF(H601="","",VLOOKUP(H601,'#状态名词'!$A$2:$C$99,2))</f>
        <v>redark</v>
      </c>
      <c r="J601" s="27" t="str">
        <f>IF(H601="","",VLOOKUP(H601,'#状态名词'!$A$2:$C$99,3))</f>
        <v>暗属性抗性</v>
      </c>
      <c r="K601" s="26">
        <v>-1</v>
      </c>
    </row>
    <row r="602" spans="1:12">
      <c r="A602" s="27">
        <v>30507</v>
      </c>
      <c r="B602" s="20" t="s">
        <v>3720</v>
      </c>
      <c r="C602" s="27" t="s">
        <v>3721</v>
      </c>
      <c r="E602" s="27">
        <v>1</v>
      </c>
      <c r="F602" s="27">
        <v>-1</v>
      </c>
      <c r="H602" s="27">
        <v>19</v>
      </c>
      <c r="I602" s="27" t="str">
        <f>IF(H602="","",VLOOKUP(H602,'#状态名词'!$A$2:$C$99,2))</f>
        <v>rating</v>
      </c>
      <c r="J602" s="27" t="str">
        <f>IF(H602="","",VLOOKUP(H602,'#状态名词'!$A$2:$C$99,3))</f>
        <v>暴击+</v>
      </c>
      <c r="K602" s="26">
        <v>1000</v>
      </c>
    </row>
    <row r="603" spans="1:12">
      <c r="B603" s="20" t="s">
        <v>84</v>
      </c>
      <c r="H603" s="27">
        <v>69</v>
      </c>
      <c r="I603" s="27" t="str">
        <f>IF(H603="","",VLOOKUP(H603,'#状态名词'!$A$2:$C$99,2))</f>
        <v>hit</v>
      </c>
      <c r="J603" s="27" t="str">
        <f>IF(H603="","",VLOOKUP(H603,'#状态名词'!$A$2:$C$99,3))</f>
        <v>命中率</v>
      </c>
      <c r="K603" s="26">
        <v>1000</v>
      </c>
    </row>
    <row r="604" spans="1:12">
      <c r="A604" s="27">
        <v>30508</v>
      </c>
      <c r="B604" s="20" t="s">
        <v>3722</v>
      </c>
      <c r="C604" s="27" t="s">
        <v>3723</v>
      </c>
      <c r="E604" s="27">
        <v>1</v>
      </c>
      <c r="F604" s="27">
        <v>0</v>
      </c>
      <c r="H604" s="27">
        <v>76</v>
      </c>
      <c r="I604" s="27" t="str">
        <f>IF(H604="","",VLOOKUP(H604,'#状态名词'!$A$2:$C$99,2))</f>
        <v>hurt_userskill</v>
      </c>
      <c r="J604" s="27" t="str">
        <f>IF(H604="","",VLOOKUP(H604,'#状态名词'!$A$2:$C$99,3))</f>
        <v>被攻击有几率使用技能</v>
      </c>
      <c r="K604" s="26">
        <v>40201</v>
      </c>
    </row>
    <row r="605" spans="1:12">
      <c r="A605" s="27">
        <v>30511</v>
      </c>
      <c r="B605" s="20" t="s">
        <v>3726</v>
      </c>
      <c r="C605" s="27" t="s">
        <v>3643</v>
      </c>
      <c r="E605" s="27">
        <v>1</v>
      </c>
      <c r="F605" s="27">
        <v>0</v>
      </c>
      <c r="H605" s="27">
        <v>16</v>
      </c>
      <c r="I605" s="27" t="str">
        <f>IF(H605="","",VLOOKUP(H605,'#状态名词'!$A$2:$C$99,2))</f>
        <v>mr_per</v>
      </c>
      <c r="J605" s="27" t="str">
        <f>IF(H605="","",VLOOKUP(H605,'#状态名词'!$A$2:$C$99,3))</f>
        <v>魔抗百分比</v>
      </c>
      <c r="K605" s="26" t="s">
        <v>5331</v>
      </c>
    </row>
    <row r="606" spans="1:12">
      <c r="A606" s="27">
        <v>30512</v>
      </c>
      <c r="B606" s="20" t="s">
        <v>3727</v>
      </c>
      <c r="C606" s="27" t="s">
        <v>3728</v>
      </c>
      <c r="E606" s="27">
        <v>1</v>
      </c>
      <c r="F606" s="27">
        <v>0</v>
      </c>
      <c r="H606" s="27">
        <v>75</v>
      </c>
      <c r="I606" s="27" t="str">
        <f>IF(H606="","",VLOOKUP(H606,'#状态名词'!$A$2:$C$99,2))</f>
        <v>action_useskill</v>
      </c>
      <c r="J606" s="27" t="str">
        <f>IF(H606="","",VLOOKUP(H606,'#状态名词'!$A$2:$C$99,3))</f>
        <v>行动时有几率使用技能</v>
      </c>
      <c r="K606" s="26">
        <v>33690</v>
      </c>
    </row>
    <row r="607" spans="1:12">
      <c r="A607" s="27">
        <v>30514</v>
      </c>
      <c r="B607" s="20" t="s">
        <v>3731</v>
      </c>
      <c r="C607" s="27" t="s">
        <v>3732</v>
      </c>
      <c r="E607" s="27">
        <v>-1</v>
      </c>
      <c r="F607" s="27">
        <v>-1</v>
      </c>
      <c r="H607" s="27">
        <v>58</v>
      </c>
      <c r="I607" s="27" t="str">
        <f>IF(H607="","",VLOOKUP(H607,'#状态名词'!$A$2:$C$99,2))</f>
        <v>vit</v>
      </c>
      <c r="J607" s="27" t="str">
        <f>IF(H607="","",VLOOKUP(H607,'#状态名词'!$A$2:$C$99,3))</f>
        <v>体力</v>
      </c>
      <c r="K607" s="26">
        <v>2</v>
      </c>
    </row>
    <row r="608" spans="1:12">
      <c r="A608" s="27">
        <v>30515</v>
      </c>
      <c r="B608" s="20" t="s">
        <v>3731</v>
      </c>
      <c r="C608" s="27" t="s">
        <v>3732</v>
      </c>
      <c r="E608" s="27">
        <v>-1</v>
      </c>
      <c r="F608" s="27">
        <v>-1</v>
      </c>
      <c r="H608" s="27">
        <v>54</v>
      </c>
      <c r="I608" s="27" t="str">
        <f>IF(H608="","",VLOOKUP(H608,'#状态名词'!$A$2:$C$99,2))</f>
        <v>spi</v>
      </c>
      <c r="J608" s="27" t="str">
        <f>IF(H608="","",VLOOKUP(H608,'#状态名词'!$A$2:$C$99,3))</f>
        <v>精神</v>
      </c>
      <c r="K608" s="26">
        <v>-5</v>
      </c>
    </row>
    <row r="609" spans="1:12">
      <c r="A609" s="20">
        <v>30516</v>
      </c>
      <c r="B609" s="27" t="s">
        <v>7387</v>
      </c>
      <c r="C609" s="27" t="s">
        <v>3733</v>
      </c>
      <c r="E609" s="27">
        <v>-1</v>
      </c>
      <c r="F609" s="27">
        <v>-1</v>
      </c>
      <c r="H609" s="27">
        <v>24</v>
      </c>
      <c r="I609" s="27" t="str">
        <f>IF(H609="","",VLOOKUP(H609,'#状态名词'!$A$2:$C$99,2))</f>
        <v>heal</v>
      </c>
      <c r="J609" s="27" t="str">
        <f>IF(H609="","",VLOOKUP(H609,'#状态名词'!$A$2:$C$99,3))</f>
        <v>治疗效果+</v>
      </c>
      <c r="K609" s="26">
        <v>50</v>
      </c>
    </row>
    <row r="610" spans="1:12">
      <c r="A610" s="20">
        <v>30517</v>
      </c>
      <c r="B610" s="27" t="s">
        <v>7388</v>
      </c>
      <c r="C610" s="27" t="s">
        <v>3734</v>
      </c>
      <c r="E610" s="27">
        <v>-1</v>
      </c>
      <c r="F610" s="27">
        <v>-1</v>
      </c>
      <c r="H610" s="27">
        <v>61</v>
      </c>
      <c r="I610" s="27" t="str">
        <f>IF(H610="","",VLOOKUP(H610,'#状态名词'!$A$2:$C$99,2))</f>
        <v>team_ad</v>
      </c>
      <c r="J610" s="27" t="str">
        <f>IF(H610="","",VLOOKUP(H610,'#状态名词'!$A$2:$C$99,3))</f>
        <v>队伍AD</v>
      </c>
      <c r="K610" s="26">
        <v>10</v>
      </c>
    </row>
    <row r="611" spans="1:12">
      <c r="A611" s="20"/>
      <c r="B611" s="27" t="s">
        <v>84</v>
      </c>
      <c r="E611" s="27">
        <v>-1</v>
      </c>
      <c r="F611" s="27">
        <v>-1</v>
      </c>
      <c r="H611" s="27">
        <v>62</v>
      </c>
      <c r="I611" s="27" t="str">
        <f>IF(H611="","",VLOOKUP(H611,'#状态名词'!$A$2:$C$99,2))</f>
        <v>team_ap</v>
      </c>
      <c r="J611" s="27" t="str">
        <f>IF(H611="","",VLOOKUP(H611,'#状态名词'!$A$2:$C$99,3))</f>
        <v>队伍AP</v>
      </c>
      <c r="K611" s="26">
        <v>10</v>
      </c>
    </row>
    <row r="612" spans="1:12">
      <c r="A612" s="20">
        <v>30519</v>
      </c>
      <c r="B612" s="27" t="s">
        <v>7389</v>
      </c>
      <c r="C612" s="27" t="s">
        <v>3735</v>
      </c>
      <c r="E612" s="27">
        <v>1</v>
      </c>
      <c r="F612" s="27">
        <v>0</v>
      </c>
      <c r="H612" s="27">
        <v>36</v>
      </c>
      <c r="I612" s="27" t="str">
        <f>IF(H612="","",VLOOKUP(H612,'#状态名词'!$A$2:$C$99,2))</f>
        <v>atk_damage</v>
      </c>
      <c r="J612" s="27" t="str">
        <f>IF(H612="","",VLOOKUP(H612,'#状态名词'!$A$2:$C$99,3))</f>
        <v>攻击附加伤害</v>
      </c>
      <c r="K612" s="26" t="s">
        <v>5332</v>
      </c>
    </row>
    <row r="613" spans="1:12">
      <c r="A613" s="20">
        <v>30520</v>
      </c>
      <c r="B613" s="27" t="s">
        <v>7390</v>
      </c>
      <c r="C613" s="27" t="s">
        <v>3736</v>
      </c>
      <c r="E613" s="27">
        <v>-1</v>
      </c>
      <c r="F613" s="27">
        <v>-1</v>
      </c>
      <c r="H613" s="27">
        <v>1</v>
      </c>
      <c r="I613" s="27" t="str">
        <f>IF(H613="","",VLOOKUP(H613,'#状态名词'!$A$2:$C$99,2))</f>
        <v>skilldama</v>
      </c>
      <c r="J613" s="27" t="str">
        <f>IF(H613="","",VLOOKUP(H613,'#状态名词'!$A$2:$C$99,3))</f>
        <v>技能伤害和治疗效果提升B类</v>
      </c>
      <c r="K613" s="26">
        <v>2500</v>
      </c>
      <c r="L613" s="27">
        <v>31137</v>
      </c>
    </row>
    <row r="614" spans="1:12">
      <c r="A614" s="20">
        <v>30522</v>
      </c>
      <c r="B614" s="27" t="s">
        <v>7391</v>
      </c>
      <c r="C614" s="27" t="s">
        <v>3737</v>
      </c>
      <c r="E614" s="27">
        <v>-1</v>
      </c>
      <c r="F614" s="27">
        <v>-1</v>
      </c>
      <c r="H614" s="27">
        <v>18</v>
      </c>
      <c r="I614" s="27" t="str">
        <f>IF(H614="","",VLOOKUP(H614,'#状态名词'!$A$2:$C$99,2))</f>
        <v>api</v>
      </c>
      <c r="J614" s="27" t="str">
        <f>IF(H614="","",VLOOKUP(H614,'#状态名词'!$A$2:$C$99,3))</f>
        <v>法穿</v>
      </c>
      <c r="K614" s="26">
        <v>10</v>
      </c>
    </row>
    <row r="615" spans="1:12">
      <c r="A615" s="20">
        <v>30523</v>
      </c>
      <c r="B615" s="27" t="s">
        <v>2558</v>
      </c>
      <c r="C615" s="27" t="s">
        <v>3738</v>
      </c>
      <c r="E615" s="27">
        <v>-1</v>
      </c>
      <c r="F615" s="27">
        <v>5</v>
      </c>
      <c r="H615" s="27">
        <v>21</v>
      </c>
      <c r="I615" s="27" t="str">
        <f>IF(H615="","",VLOOKUP(H615,'#状态名词'!$A$2:$C$99,2))</f>
        <v>speed</v>
      </c>
      <c r="J615" s="27" t="str">
        <f>IF(H615="","",VLOOKUP(H615,'#状态名词'!$A$2:$C$99,3))</f>
        <v>速度+</v>
      </c>
      <c r="K615" s="26">
        <v>2000</v>
      </c>
    </row>
    <row r="616" spans="1:12">
      <c r="A616" s="20">
        <v>30524</v>
      </c>
      <c r="B616" s="27" t="s">
        <v>7392</v>
      </c>
      <c r="C616" s="27" t="s">
        <v>5333</v>
      </c>
      <c r="E616" s="27">
        <v>1</v>
      </c>
      <c r="F616" s="27">
        <v>0</v>
      </c>
      <c r="H616" s="27">
        <v>2</v>
      </c>
      <c r="I616" s="27" t="str">
        <f>IF(H616="","",VLOOKUP(H616,'#状态名词'!$A$2:$C$99,2))</f>
        <v>damaup</v>
      </c>
      <c r="J616" s="27" t="str">
        <f>IF(H616="","",VLOOKUP(H616,'#状态名词'!$A$2:$C$99,3))</f>
        <v>伤害提升A类增伤</v>
      </c>
      <c r="K616" s="26">
        <v>10</v>
      </c>
    </row>
    <row r="617" spans="1:12">
      <c r="A617" s="20">
        <v>30525</v>
      </c>
      <c r="B617" s="27" t="s">
        <v>7393</v>
      </c>
      <c r="C617" s="27" t="s">
        <v>3739</v>
      </c>
      <c r="E617" s="27">
        <v>-1</v>
      </c>
      <c r="F617" s="27">
        <v>-1</v>
      </c>
      <c r="H617" s="27">
        <v>13</v>
      </c>
      <c r="I617" s="27" t="str">
        <f>IF(H617="","",VLOOKUP(H617,'#状态名词'!$A$2:$C$99,2))</f>
        <v>arm</v>
      </c>
      <c r="J617" s="27" t="str">
        <f>IF(H617="","",VLOOKUP(H617,'#状态名词'!$A$2:$C$99,3))</f>
        <v>ARM+</v>
      </c>
      <c r="K617" s="26" t="s">
        <v>5334</v>
      </c>
    </row>
    <row r="618" spans="1:12">
      <c r="A618" s="20"/>
      <c r="B618" s="27" t="s">
        <v>84</v>
      </c>
      <c r="E618" s="27">
        <v>-1</v>
      </c>
      <c r="F618" s="27">
        <v>-1</v>
      </c>
      <c r="H618" s="27">
        <v>15</v>
      </c>
      <c r="I618" s="27" t="str">
        <f>IF(H618="","",VLOOKUP(H618,'#状态名词'!$A$2:$C$99,2))</f>
        <v>mr</v>
      </c>
      <c r="J618" s="27" t="str">
        <f>IF(H618="","",VLOOKUP(H618,'#状态名词'!$A$2:$C$99,3))</f>
        <v>MR+</v>
      </c>
      <c r="K618" s="26" t="s">
        <v>5335</v>
      </c>
    </row>
    <row r="619" spans="1:12">
      <c r="A619" s="20">
        <v>30528</v>
      </c>
      <c r="B619" s="27" t="s">
        <v>7394</v>
      </c>
      <c r="C619" s="27" t="s">
        <v>3740</v>
      </c>
      <c r="E619" s="27">
        <v>-1</v>
      </c>
      <c r="F619" s="27">
        <v>6</v>
      </c>
      <c r="H619" s="27">
        <v>17</v>
      </c>
      <c r="I619" s="27" t="str">
        <f>IF(H619="","",VLOOKUP(H619,'#状态名词'!$A$2:$C$99,2))</f>
        <v>adi</v>
      </c>
      <c r="J619" s="27" t="str">
        <f>IF(H619="","",VLOOKUP(H619,'#状态名词'!$A$2:$C$99,3))</f>
        <v>物穿</v>
      </c>
      <c r="K619" s="26">
        <v>1000</v>
      </c>
    </row>
    <row r="620" spans="1:12">
      <c r="A620" s="20">
        <v>30529</v>
      </c>
      <c r="B620" s="27" t="s">
        <v>7395</v>
      </c>
      <c r="C620" s="27" t="s">
        <v>3741</v>
      </c>
      <c r="E620" s="27">
        <v>-1</v>
      </c>
      <c r="F620" s="27">
        <v>6</v>
      </c>
      <c r="H620" s="27">
        <v>18</v>
      </c>
      <c r="I620" s="27" t="str">
        <f>IF(H620="","",VLOOKUP(H620,'#状态名词'!$A$2:$C$99,2))</f>
        <v>api</v>
      </c>
      <c r="J620" s="27" t="str">
        <f>IF(H620="","",VLOOKUP(H620,'#状态名词'!$A$2:$C$99,3))</f>
        <v>法穿</v>
      </c>
      <c r="K620" s="26">
        <v>1000</v>
      </c>
    </row>
    <row r="621" spans="1:12">
      <c r="A621" s="20">
        <v>30530</v>
      </c>
      <c r="B621" s="27" t="e">
        <v>#N/A</v>
      </c>
      <c r="C621" s="27" t="s">
        <v>3742</v>
      </c>
      <c r="E621" s="27">
        <v>-1</v>
      </c>
      <c r="F621" s="27">
        <v>-1</v>
      </c>
      <c r="H621" s="27">
        <v>73</v>
      </c>
      <c r="I621" s="27" t="str">
        <f>IF(H621="","",VLOOKUP(H621,'#状态名词'!$A$2:$C$99,2))</f>
        <v>sk_levelrole</v>
      </c>
      <c r="J621" s="27" t="str">
        <f>IF(H621="","",VLOOKUP(H621,'#状态名词'!$A$2:$C$99,3))</f>
        <v>增加主角的所有技能</v>
      </c>
      <c r="K621" s="26">
        <v>1</v>
      </c>
    </row>
    <row r="622" spans="1:12">
      <c r="A622" s="27">
        <v>30531</v>
      </c>
      <c r="B622" s="20" t="s">
        <v>3743</v>
      </c>
      <c r="C622" s="27" t="s">
        <v>3744</v>
      </c>
      <c r="E622" s="27">
        <v>1</v>
      </c>
      <c r="F622" s="27">
        <v>-1</v>
      </c>
      <c r="H622" s="27">
        <v>2</v>
      </c>
      <c r="I622" s="27" t="str">
        <f>IF(H622="","",VLOOKUP(H622,'#状态名词'!$A$2:$C$99,2))</f>
        <v>damaup</v>
      </c>
      <c r="J622" s="27" t="str">
        <f>IF(H622="","",VLOOKUP(H622,'#状态名词'!$A$2:$C$99,3))</f>
        <v>伤害提升A类增伤</v>
      </c>
      <c r="K622" s="26" t="s">
        <v>6828</v>
      </c>
    </row>
    <row r="623" spans="1:12">
      <c r="A623" s="27">
        <v>30532</v>
      </c>
      <c r="B623" s="20" t="s">
        <v>3745</v>
      </c>
      <c r="C623" s="27" t="s">
        <v>3746</v>
      </c>
      <c r="E623" s="27">
        <v>1</v>
      </c>
      <c r="F623" s="27">
        <v>-1</v>
      </c>
      <c r="H623" s="27">
        <v>2</v>
      </c>
      <c r="I623" s="27" t="str">
        <f>IF(H623="","",VLOOKUP(H623,'#状态名词'!$A$2:$C$99,2))</f>
        <v>damaup</v>
      </c>
      <c r="J623" s="27" t="str">
        <f>IF(H623="","",VLOOKUP(H623,'#状态名词'!$A$2:$C$99,3))</f>
        <v>伤害提升A类增伤</v>
      </c>
      <c r="K623" s="26" t="s">
        <v>6829</v>
      </c>
    </row>
    <row r="624" spans="1:12">
      <c r="A624" s="27">
        <v>31001</v>
      </c>
      <c r="B624" s="27" t="s">
        <v>3808</v>
      </c>
      <c r="C624" s="27" t="s">
        <v>3809</v>
      </c>
      <c r="E624" s="27">
        <v>-1</v>
      </c>
      <c r="F624" s="27">
        <v>-1</v>
      </c>
      <c r="H624" s="27">
        <v>2</v>
      </c>
      <c r="I624" s="27" t="str">
        <f>IF(H624="","",VLOOKUP(H624,'#状态名词'!$A$2:$C$99,2))</f>
        <v>damaup</v>
      </c>
      <c r="J624" s="27" t="str">
        <f>IF(H624="","",VLOOKUP(H624,'#状态名词'!$A$2:$C$99,3))</f>
        <v>伤害提升A类增伤</v>
      </c>
      <c r="K624" s="26">
        <v>3</v>
      </c>
    </row>
    <row r="625" spans="1:11">
      <c r="A625" s="27">
        <v>31002</v>
      </c>
      <c r="B625" s="27" t="s">
        <v>3810</v>
      </c>
      <c r="C625" s="27" t="s">
        <v>3811</v>
      </c>
      <c r="E625" s="27">
        <v>-1</v>
      </c>
      <c r="F625" s="27">
        <v>-1</v>
      </c>
      <c r="H625" s="27">
        <v>23</v>
      </c>
      <c r="I625" s="27" t="str">
        <f>IF(H625="","",VLOOKUP(H625,'#状态名词'!$A$2:$C$99,2))</f>
        <v>steal</v>
      </c>
      <c r="J625" s="27" t="str">
        <f>IF(H625="","",VLOOKUP(H625,'#状态名词'!$A$2:$C$99,3))</f>
        <v>生命偷取</v>
      </c>
      <c r="K625" s="26">
        <v>800</v>
      </c>
    </row>
    <row r="626" spans="1:11">
      <c r="A626" s="27">
        <v>31004</v>
      </c>
      <c r="B626" s="27" t="s">
        <v>3814</v>
      </c>
      <c r="C626" s="27" t="s">
        <v>3815</v>
      </c>
      <c r="E626" s="27">
        <v>-1</v>
      </c>
      <c r="F626" s="27">
        <v>-1</v>
      </c>
      <c r="H626" s="27">
        <v>7</v>
      </c>
      <c r="I626" s="27" t="str">
        <f>IF(H626="","",VLOOKUP(H626,'#状态名词'!$A$2:$C$99,2))</f>
        <v>pvpjs_per</v>
      </c>
      <c r="J626" s="27" t="str">
        <f>IF(H626="","",VLOOKUP(H626,'#状态名词'!$A$2:$C$99,3))</f>
        <v>pvp减伤</v>
      </c>
      <c r="K626" s="26">
        <v>10</v>
      </c>
    </row>
    <row r="627" spans="1:11">
      <c r="A627" s="27">
        <v>31006</v>
      </c>
      <c r="B627" s="27" t="s">
        <v>3818</v>
      </c>
      <c r="C627" s="27" t="s">
        <v>3819</v>
      </c>
      <c r="E627" s="27">
        <v>-1</v>
      </c>
      <c r="F627" s="27">
        <v>-1</v>
      </c>
      <c r="H627" s="27">
        <v>21</v>
      </c>
      <c r="I627" s="27" t="str">
        <f>IF(H627="","",VLOOKUP(H627,'#状态名词'!$A$2:$C$99,2))</f>
        <v>speed</v>
      </c>
      <c r="J627" s="27" t="str">
        <f>IF(H627="","",VLOOKUP(H627,'#状态名词'!$A$2:$C$99,3))</f>
        <v>速度+</v>
      </c>
      <c r="K627" s="26">
        <v>10000</v>
      </c>
    </row>
    <row r="628" spans="1:11">
      <c r="A628" s="27">
        <v>31007</v>
      </c>
      <c r="B628" s="27" t="s">
        <v>3820</v>
      </c>
      <c r="C628" s="27" t="s">
        <v>3821</v>
      </c>
      <c r="E628" s="27">
        <v>-1</v>
      </c>
      <c r="F628" s="27">
        <v>-1</v>
      </c>
      <c r="H628" s="27">
        <v>3</v>
      </c>
      <c r="I628" s="27" t="str">
        <f>IF(H628="","",VLOOKUP(H628,'#状态名词'!$A$2:$C$99,2))</f>
        <v>attach_dama</v>
      </c>
      <c r="J628" s="27" t="str">
        <f>IF(H628="","",VLOOKUP(H628,'#状态名词'!$A$2:$C$99,3))</f>
        <v>攻击额外伤害C类增伤</v>
      </c>
      <c r="K628" s="26">
        <v>12</v>
      </c>
    </row>
    <row r="629" spans="1:11">
      <c r="A629" s="27">
        <v>31008</v>
      </c>
      <c r="B629" s="27" t="s">
        <v>3822</v>
      </c>
      <c r="C629" s="27" t="s">
        <v>3823</v>
      </c>
      <c r="E629" s="27">
        <v>-1</v>
      </c>
      <c r="F629" s="27">
        <v>-1</v>
      </c>
      <c r="H629" s="27">
        <v>1</v>
      </c>
      <c r="I629" s="27" t="str">
        <f>IF(H629="","",VLOOKUP(H629,'#状态名词'!$A$2:$C$99,2))</f>
        <v>skilldama</v>
      </c>
      <c r="J629" s="27" t="str">
        <f>IF(H629="","",VLOOKUP(H629,'#状态名词'!$A$2:$C$99,3))</f>
        <v>技能伤害和治疗效果提升B类</v>
      </c>
      <c r="K629" s="26">
        <v>200</v>
      </c>
    </row>
    <row r="630" spans="1:11">
      <c r="A630" s="27">
        <v>31009</v>
      </c>
      <c r="B630" s="27" t="s">
        <v>3824</v>
      </c>
      <c r="C630" s="27" t="s">
        <v>3825</v>
      </c>
      <c r="E630" s="27">
        <v>-1</v>
      </c>
      <c r="F630" s="27">
        <v>-1</v>
      </c>
      <c r="H630" s="27">
        <v>3</v>
      </c>
      <c r="I630" s="27" t="str">
        <f>IF(H630="","",VLOOKUP(H630,'#状态名词'!$A$2:$C$99,2))</f>
        <v>attach_dama</v>
      </c>
      <c r="J630" s="27" t="str">
        <f>IF(H630="","",VLOOKUP(H630,'#状态名词'!$A$2:$C$99,3))</f>
        <v>攻击额外伤害C类增伤</v>
      </c>
      <c r="K630" s="26">
        <v>30</v>
      </c>
    </row>
    <row r="631" spans="1:11">
      <c r="A631" s="27">
        <v>31010</v>
      </c>
      <c r="B631" s="27" t="s">
        <v>3826</v>
      </c>
      <c r="C631" s="27" t="s">
        <v>3827</v>
      </c>
      <c r="E631" s="27">
        <v>-1</v>
      </c>
      <c r="F631" s="27">
        <v>-1</v>
      </c>
      <c r="H631" s="27">
        <v>1</v>
      </c>
      <c r="I631" s="27" t="str">
        <f>IF(H631="","",VLOOKUP(H631,'#状态名词'!$A$2:$C$99,2))</f>
        <v>skilldama</v>
      </c>
      <c r="J631" s="27" t="str">
        <f>IF(H631="","",VLOOKUP(H631,'#状态名词'!$A$2:$C$99,3))</f>
        <v>技能伤害和治疗效果提升B类</v>
      </c>
      <c r="K631" s="26">
        <v>3000</v>
      </c>
    </row>
    <row r="632" spans="1:11">
      <c r="A632" s="27">
        <v>31011</v>
      </c>
      <c r="B632" s="27" t="s">
        <v>3828</v>
      </c>
      <c r="C632" s="27" t="s">
        <v>3829</v>
      </c>
      <c r="E632" s="27">
        <v>-1</v>
      </c>
      <c r="F632" s="27">
        <v>-1</v>
      </c>
      <c r="H632" s="27">
        <v>1</v>
      </c>
      <c r="I632" s="27" t="str">
        <f>IF(H632="","",VLOOKUP(H632,'#状态名词'!$A$2:$C$99,2))</f>
        <v>skilldama</v>
      </c>
      <c r="J632" s="27" t="str">
        <f>IF(H632="","",VLOOKUP(H632,'#状态名词'!$A$2:$C$99,3))</f>
        <v>技能伤害和治疗效果提升B类</v>
      </c>
      <c r="K632" s="26">
        <v>3000</v>
      </c>
    </row>
    <row r="633" spans="1:11">
      <c r="B633" s="27" t="s">
        <v>84</v>
      </c>
      <c r="H633" s="27">
        <v>30</v>
      </c>
      <c r="I633" s="27" t="str">
        <f>IF(H633="","",VLOOKUP(H633,'#状态名词'!$A$2:$C$99,2))</f>
        <v>elementup</v>
      </c>
      <c r="J633" s="27" t="str">
        <f>IF(H633="","",VLOOKUP(H633,'#状态名词'!$A$2:$C$99,3))</f>
        <v>全属性强化</v>
      </c>
      <c r="K633" s="26">
        <v>40</v>
      </c>
    </row>
    <row r="634" spans="1:11">
      <c r="A634" s="27">
        <v>31012</v>
      </c>
      <c r="B634" s="27" t="s">
        <v>3830</v>
      </c>
      <c r="C634" s="27" t="s">
        <v>2094</v>
      </c>
      <c r="E634" s="27">
        <v>1</v>
      </c>
      <c r="F634" s="27">
        <v>-1</v>
      </c>
      <c r="H634" s="27">
        <v>54</v>
      </c>
      <c r="I634" s="27" t="str">
        <f>IF(H634="","",VLOOKUP(H634,'#状态名词'!$A$2:$C$99,2))</f>
        <v>spi</v>
      </c>
      <c r="J634" s="27" t="str">
        <f>IF(H634="","",VLOOKUP(H634,'#状态名词'!$A$2:$C$99,3))</f>
        <v>精神</v>
      </c>
      <c r="K634" s="26">
        <v>120</v>
      </c>
    </row>
    <row r="635" spans="1:11">
      <c r="A635" s="27">
        <v>31013</v>
      </c>
      <c r="B635" s="27" t="s">
        <v>3831</v>
      </c>
      <c r="C635" s="27" t="s">
        <v>5336</v>
      </c>
      <c r="E635" s="27">
        <v>1</v>
      </c>
      <c r="F635" s="27">
        <v>-1</v>
      </c>
      <c r="H635" s="27">
        <v>58</v>
      </c>
      <c r="I635" s="27" t="str">
        <f>IF(H635="","",VLOOKUP(H635,'#状态名词'!$A$2:$C$99,2))</f>
        <v>vit</v>
      </c>
      <c r="J635" s="27" t="str">
        <f>IF(H635="","",VLOOKUP(H635,'#状态名词'!$A$2:$C$99,3))</f>
        <v>体力</v>
      </c>
      <c r="K635" s="26">
        <v>120</v>
      </c>
    </row>
    <row r="636" spans="1:11">
      <c r="A636" s="27">
        <v>31014</v>
      </c>
      <c r="B636" s="27" t="s">
        <v>3832</v>
      </c>
      <c r="C636" s="27" t="s">
        <v>1438</v>
      </c>
      <c r="E636" s="27">
        <v>1</v>
      </c>
      <c r="F636" s="27">
        <v>-1</v>
      </c>
      <c r="H636" s="27">
        <v>13</v>
      </c>
      <c r="I636" s="27" t="str">
        <f>IF(H636="","",VLOOKUP(H636,'#状态名词'!$A$2:$C$99,2))</f>
        <v>arm</v>
      </c>
      <c r="J636" s="27" t="str">
        <f>IF(H636="","",VLOOKUP(H636,'#状态名词'!$A$2:$C$99,3))</f>
        <v>ARM+</v>
      </c>
      <c r="K636" s="26">
        <v>10000</v>
      </c>
    </row>
    <row r="637" spans="1:11">
      <c r="A637" s="20">
        <v>31015</v>
      </c>
      <c r="B637" s="27" t="s">
        <v>7396</v>
      </c>
      <c r="C637" s="21" t="s">
        <v>4484</v>
      </c>
      <c r="E637" s="27">
        <v>1</v>
      </c>
      <c r="F637" s="27">
        <v>-1</v>
      </c>
      <c r="H637" s="27">
        <v>13</v>
      </c>
      <c r="I637" s="27" t="str">
        <f>IF(H637="","",VLOOKUP(H637,'#状态名词'!$A$2:$C$99,2))</f>
        <v>arm</v>
      </c>
      <c r="J637" s="27" t="str">
        <f>IF(H637="","",VLOOKUP(H637,'#状态名词'!$A$2:$C$99,3))</f>
        <v>ARM+</v>
      </c>
      <c r="K637" s="26" t="s">
        <v>5337</v>
      </c>
    </row>
    <row r="638" spans="1:11">
      <c r="A638" s="20"/>
      <c r="B638" s="27" t="s">
        <v>84</v>
      </c>
      <c r="C638" s="21"/>
      <c r="H638" s="27">
        <v>15</v>
      </c>
      <c r="I638" s="27" t="str">
        <f>IF(H638="","",VLOOKUP(H638,'#状态名词'!$A$2:$C$99,2))</f>
        <v>mr</v>
      </c>
      <c r="J638" s="27" t="str">
        <f>IF(H638="","",VLOOKUP(H638,'#状态名词'!$A$2:$C$99,3))</f>
        <v>MR+</v>
      </c>
      <c r="K638" s="26" t="s">
        <v>5337</v>
      </c>
    </row>
    <row r="639" spans="1:11">
      <c r="A639" s="20">
        <v>31016</v>
      </c>
      <c r="B639" s="27" t="e">
        <v>#N/A</v>
      </c>
      <c r="C639" s="21" t="s">
        <v>4485</v>
      </c>
      <c r="E639" s="27">
        <v>1</v>
      </c>
      <c r="F639" s="27">
        <v>-1</v>
      </c>
      <c r="H639" s="27">
        <v>72</v>
      </c>
      <c r="I639" s="27" t="str">
        <f>IF(H639="","",VLOOKUP(H639,'#状态名词'!$A$2:$C$99,2))</f>
        <v>sk_levelpos</v>
      </c>
      <c r="J639" s="27" t="str">
        <f>IF(H639="","",VLOOKUP(H639,'#状态名词'!$A$2:$C$99,3))</f>
        <v>增加主角第几层的技能</v>
      </c>
      <c r="K639" s="26" t="s">
        <v>5338</v>
      </c>
    </row>
    <row r="640" spans="1:11">
      <c r="A640" s="20">
        <v>31018</v>
      </c>
      <c r="B640" s="27" t="e">
        <v>#N/A</v>
      </c>
      <c r="C640" s="21" t="s">
        <v>4486</v>
      </c>
      <c r="E640" s="27">
        <v>1</v>
      </c>
      <c r="F640" s="27">
        <v>-1</v>
      </c>
      <c r="H640" s="27">
        <v>71</v>
      </c>
      <c r="I640" s="27" t="str">
        <f>IF(H640="","",VLOOKUP(H640,'#状态名词'!$A$2:$C$99,2))</f>
        <v>sk_level</v>
      </c>
      <c r="J640" s="27" t="str">
        <f>IF(H640="","",VLOOKUP(H640,'#状态名词'!$A$2:$C$99,3))</f>
        <v>增加某个技能等级</v>
      </c>
      <c r="K640" s="26" t="s">
        <v>5339</v>
      </c>
    </row>
    <row r="641" spans="1:11">
      <c r="A641" s="20">
        <v>31019</v>
      </c>
      <c r="B641" s="27" t="s">
        <v>7240</v>
      </c>
      <c r="C641" s="21" t="s">
        <v>4487</v>
      </c>
      <c r="E641" s="27">
        <v>1</v>
      </c>
      <c r="F641" s="27">
        <v>-1</v>
      </c>
      <c r="H641" s="27">
        <v>36</v>
      </c>
      <c r="I641" s="27" t="str">
        <f>IF(H641="","",VLOOKUP(H641,'#状态名词'!$A$2:$C$99,2))</f>
        <v>atk_damage</v>
      </c>
      <c r="J641" s="27" t="str">
        <f>IF(H641="","",VLOOKUP(H641,'#状态名词'!$A$2:$C$99,3))</f>
        <v>攻击附加伤害</v>
      </c>
      <c r="K641" s="26" t="s">
        <v>5340</v>
      </c>
    </row>
    <row r="642" spans="1:11">
      <c r="A642" s="20">
        <v>31021</v>
      </c>
      <c r="B642" s="27" t="s">
        <v>7397</v>
      </c>
      <c r="C642" s="21" t="s">
        <v>4489</v>
      </c>
      <c r="E642" s="27">
        <v>1</v>
      </c>
      <c r="F642" s="27">
        <v>-1</v>
      </c>
      <c r="H642" s="27">
        <v>65</v>
      </c>
      <c r="I642" s="27" t="str">
        <f>IF(H642="","",VLOOKUP(H642,'#状态名词'!$A$2:$C$99,2))</f>
        <v>str</v>
      </c>
      <c r="J642" s="27" t="str">
        <f>IF(H642="","",VLOOKUP(H642,'#状态名词'!$A$2:$C$99,3))</f>
        <v>力量</v>
      </c>
      <c r="K642" s="26" t="s">
        <v>5341</v>
      </c>
    </row>
    <row r="643" spans="1:11">
      <c r="A643" s="20"/>
      <c r="B643" s="27" t="s">
        <v>84</v>
      </c>
      <c r="C643" s="21"/>
      <c r="H643" s="27">
        <v>67</v>
      </c>
      <c r="I643" s="27" t="str">
        <f>IF(H643="","",VLOOKUP(H643,'#状态名词'!$A$2:$C$99,2))</f>
        <v>inte</v>
      </c>
      <c r="J643" s="27" t="str">
        <f>IF(H643="","",VLOOKUP(H643,'#状态名词'!$A$2:$C$99,3))</f>
        <v>智力</v>
      </c>
      <c r="K643" s="26" t="s">
        <v>5341</v>
      </c>
    </row>
    <row r="644" spans="1:11">
      <c r="A644" s="20"/>
      <c r="B644" s="27" t="s">
        <v>84</v>
      </c>
      <c r="C644" s="21"/>
      <c r="H644" s="27">
        <v>58</v>
      </c>
      <c r="I644" s="27" t="str">
        <f>IF(H644="","",VLOOKUP(H644,'#状态名词'!$A$2:$C$99,2))</f>
        <v>vit</v>
      </c>
      <c r="J644" s="27" t="str">
        <f>IF(H644="","",VLOOKUP(H644,'#状态名词'!$A$2:$C$99,3))</f>
        <v>体力</v>
      </c>
      <c r="K644" s="26" t="s">
        <v>5341</v>
      </c>
    </row>
    <row r="645" spans="1:11">
      <c r="A645" s="20"/>
      <c r="B645" s="27" t="s">
        <v>84</v>
      </c>
      <c r="C645" s="21"/>
      <c r="H645" s="27">
        <v>54</v>
      </c>
      <c r="I645" s="27" t="str">
        <f>IF(H645="","",VLOOKUP(H645,'#状态名词'!$A$2:$C$99,2))</f>
        <v>spi</v>
      </c>
      <c r="J645" s="27" t="str">
        <f>IF(H645="","",VLOOKUP(H645,'#状态名词'!$A$2:$C$99,3))</f>
        <v>精神</v>
      </c>
      <c r="K645" s="26" t="s">
        <v>5341</v>
      </c>
    </row>
    <row r="646" spans="1:11">
      <c r="A646" s="20">
        <v>31022</v>
      </c>
      <c r="B646" s="27" t="s">
        <v>7235</v>
      </c>
      <c r="C646" s="21" t="s">
        <v>4490</v>
      </c>
      <c r="E646" s="27">
        <v>1</v>
      </c>
      <c r="F646" s="27">
        <v>-1</v>
      </c>
      <c r="H646" s="27">
        <v>30</v>
      </c>
      <c r="I646" s="27" t="str">
        <f>IF(H646="","",VLOOKUP(H646,'#状态名词'!$A$2:$C$99,2))</f>
        <v>elementup</v>
      </c>
      <c r="J646" s="27" t="str">
        <f>IF(H646="","",VLOOKUP(H646,'#状态名词'!$A$2:$C$99,3))</f>
        <v>全属性强化</v>
      </c>
      <c r="K646" s="26" t="s">
        <v>5342</v>
      </c>
    </row>
    <row r="647" spans="1:11">
      <c r="A647" s="20"/>
      <c r="B647" s="27" t="s">
        <v>84</v>
      </c>
      <c r="C647" s="21"/>
      <c r="H647" s="27">
        <v>35</v>
      </c>
      <c r="I647" s="27" t="str">
        <f>IF(H647="","",VLOOKUP(H647,'#状态名词'!$A$2:$C$99,2))</f>
        <v>reelement</v>
      </c>
      <c r="J647" s="27" t="str">
        <f>IF(H647="","",VLOOKUP(H647,'#状态名词'!$A$2:$C$99,3))</f>
        <v>全属性抗性</v>
      </c>
      <c r="K647" s="26" t="s">
        <v>5342</v>
      </c>
    </row>
    <row r="648" spans="1:11">
      <c r="A648" s="20">
        <v>31023</v>
      </c>
      <c r="B648" s="27" t="e">
        <v>#N/A</v>
      </c>
      <c r="C648" s="21" t="s">
        <v>4491</v>
      </c>
      <c r="E648" s="27">
        <v>1</v>
      </c>
      <c r="F648" s="27">
        <v>-1</v>
      </c>
      <c r="H648" s="27">
        <v>71</v>
      </c>
      <c r="I648" s="27" t="str">
        <f>IF(H648="","",VLOOKUP(H648,'#状态名词'!$A$2:$C$99,2))</f>
        <v>sk_level</v>
      </c>
      <c r="J648" s="27" t="str">
        <f>IF(H648="","",VLOOKUP(H648,'#状态名词'!$A$2:$C$99,3))</f>
        <v>增加某个技能等级</v>
      </c>
      <c r="K648" s="26" t="s">
        <v>5343</v>
      </c>
    </row>
    <row r="649" spans="1:11">
      <c r="A649" s="20">
        <v>31025</v>
      </c>
      <c r="B649" s="27" t="e">
        <v>#N/A</v>
      </c>
      <c r="C649" s="21" t="s">
        <v>4492</v>
      </c>
      <c r="E649" s="27">
        <v>1</v>
      </c>
      <c r="F649" s="27">
        <v>-1</v>
      </c>
      <c r="H649" s="27">
        <v>71</v>
      </c>
      <c r="I649" s="27" t="str">
        <f>IF(H649="","",VLOOKUP(H649,'#状态名词'!$A$2:$C$99,2))</f>
        <v>sk_level</v>
      </c>
      <c r="J649" s="27" t="str">
        <f>IF(H649="","",VLOOKUP(H649,'#状态名词'!$A$2:$C$99,3))</f>
        <v>增加某个技能等级</v>
      </c>
      <c r="K649" s="26" t="s">
        <v>5344</v>
      </c>
    </row>
    <row r="650" spans="1:11">
      <c r="A650" s="20">
        <v>31027</v>
      </c>
      <c r="B650" s="27" t="e">
        <v>#N/A</v>
      </c>
      <c r="C650" s="21" t="s">
        <v>4493</v>
      </c>
      <c r="E650" s="27">
        <v>1</v>
      </c>
      <c r="F650" s="27">
        <v>-1</v>
      </c>
      <c r="H650" s="27">
        <v>71</v>
      </c>
      <c r="I650" s="27" t="str">
        <f>IF(H650="","",VLOOKUP(H650,'#状态名词'!$A$2:$C$99,2))</f>
        <v>sk_level</v>
      </c>
      <c r="J650" s="27" t="str">
        <f>IF(H650="","",VLOOKUP(H650,'#状态名词'!$A$2:$C$99,3))</f>
        <v>增加某个技能等级</v>
      </c>
      <c r="K650" s="26" t="s">
        <v>5345</v>
      </c>
    </row>
    <row r="651" spans="1:11">
      <c r="A651" s="20">
        <v>31028</v>
      </c>
      <c r="B651" s="27" t="s">
        <v>7248</v>
      </c>
      <c r="C651" s="21" t="s">
        <v>4494</v>
      </c>
      <c r="E651" s="27">
        <v>1</v>
      </c>
      <c r="F651" s="27">
        <v>-1</v>
      </c>
      <c r="H651" s="27">
        <v>20</v>
      </c>
      <c r="I651" s="27" t="str">
        <f>IF(H651="","",VLOOKUP(H651,'#状态名词'!$A$2:$C$99,2))</f>
        <v>ratingdamage</v>
      </c>
      <c r="J651" s="27" t="str">
        <f>IF(H651="","",VLOOKUP(H651,'#状态名词'!$A$2:$C$99,3))</f>
        <v>暴伤+</v>
      </c>
      <c r="K651" s="26" t="s">
        <v>5346</v>
      </c>
    </row>
    <row r="652" spans="1:11">
      <c r="A652" s="20">
        <v>31029</v>
      </c>
      <c r="B652" s="27" t="s">
        <v>7244</v>
      </c>
      <c r="C652" s="21" t="s">
        <v>5347</v>
      </c>
      <c r="E652" s="27">
        <v>1</v>
      </c>
      <c r="F652" s="27">
        <v>-1</v>
      </c>
      <c r="G652" s="27">
        <v>31029</v>
      </c>
      <c r="I652" s="27" t="str">
        <f>IF(H652="","",VLOOKUP(H652,'#状态名词'!$A$2:$C$99,2))</f>
        <v/>
      </c>
      <c r="J652" s="27" t="str">
        <f>IF(H652="","",VLOOKUP(H652,'#状态名词'!$A$2:$C$99,3))</f>
        <v/>
      </c>
    </row>
    <row r="653" spans="1:11">
      <c r="A653" s="20">
        <v>31030</v>
      </c>
      <c r="B653" s="27" t="s">
        <v>7249</v>
      </c>
      <c r="C653" s="21" t="s">
        <v>4495</v>
      </c>
      <c r="E653" s="27">
        <v>1</v>
      </c>
      <c r="F653" s="27">
        <v>-1</v>
      </c>
      <c r="H653" s="27">
        <v>29</v>
      </c>
      <c r="I653" s="27" t="str">
        <f>IF(H653="","",VLOOKUP(H653,'#状态名词'!$A$2:$C$99,2))</f>
        <v>darkup</v>
      </c>
      <c r="J653" s="27" t="str">
        <f>IF(H653="","",VLOOKUP(H653,'#状态名词'!$A$2:$C$99,3))</f>
        <v>暗属性强化</v>
      </c>
      <c r="K653" s="26" t="s">
        <v>5348</v>
      </c>
    </row>
    <row r="654" spans="1:11">
      <c r="A654" s="20">
        <v>31031</v>
      </c>
      <c r="B654" s="27" t="s">
        <v>7250</v>
      </c>
      <c r="C654" s="21" t="s">
        <v>4496</v>
      </c>
      <c r="E654" s="27">
        <v>1</v>
      </c>
      <c r="F654" s="27">
        <v>-1</v>
      </c>
      <c r="H654" s="27">
        <v>3</v>
      </c>
      <c r="I654" s="27" t="str">
        <f>IF(H654="","",VLOOKUP(H654,'#状态名词'!$A$2:$C$99,2))</f>
        <v>attach_dama</v>
      </c>
      <c r="J654" s="27" t="str">
        <f>IF(H654="","",VLOOKUP(H654,'#状态名词'!$A$2:$C$99,3))</f>
        <v>攻击额外伤害C类增伤</v>
      </c>
      <c r="K654" s="26" t="s">
        <v>5349</v>
      </c>
    </row>
    <row r="655" spans="1:11">
      <c r="A655" s="20">
        <v>31032</v>
      </c>
      <c r="B655" s="27" t="s">
        <v>7251</v>
      </c>
      <c r="C655" s="21" t="s">
        <v>4497</v>
      </c>
      <c r="E655" s="27">
        <v>1</v>
      </c>
      <c r="F655" s="27">
        <v>-1</v>
      </c>
      <c r="H655" s="27">
        <v>17</v>
      </c>
      <c r="I655" s="27" t="str">
        <f>IF(H655="","",VLOOKUP(H655,'#状态名词'!$A$2:$C$99,2))</f>
        <v>adi</v>
      </c>
      <c r="J655" s="27" t="str">
        <f>IF(H655="","",VLOOKUP(H655,'#状态名词'!$A$2:$C$99,3))</f>
        <v>物穿</v>
      </c>
      <c r="K655" s="26" t="s">
        <v>5350</v>
      </c>
    </row>
    <row r="656" spans="1:11">
      <c r="A656" s="20">
        <v>31033</v>
      </c>
      <c r="B656" s="27" t="e">
        <v>#N/A</v>
      </c>
      <c r="C656" s="21" t="s">
        <v>4498</v>
      </c>
      <c r="E656" s="27">
        <v>1</v>
      </c>
      <c r="F656" s="27">
        <v>-1</v>
      </c>
      <c r="H656" s="27">
        <v>71</v>
      </c>
      <c r="I656" s="27" t="str">
        <f>IF(H656="","",VLOOKUP(H656,'#状态名词'!$A$2:$C$99,2))</f>
        <v>sk_level</v>
      </c>
      <c r="J656" s="27" t="str">
        <f>IF(H656="","",VLOOKUP(H656,'#状态名词'!$A$2:$C$99,3))</f>
        <v>增加某个技能等级</v>
      </c>
      <c r="K656" s="26" t="s">
        <v>5351</v>
      </c>
    </row>
    <row r="657" spans="1:11">
      <c r="A657" s="20"/>
      <c r="B657" s="27" t="s">
        <v>84</v>
      </c>
      <c r="C657" s="21"/>
      <c r="H657" s="27">
        <v>71</v>
      </c>
      <c r="I657" s="27" t="str">
        <f>IF(H657="","",VLOOKUP(H657,'#状态名词'!$A$2:$C$99,2))</f>
        <v>sk_level</v>
      </c>
      <c r="J657" s="27" t="str">
        <f>IF(H657="","",VLOOKUP(H657,'#状态名词'!$A$2:$C$99,3))</f>
        <v>增加某个技能等级</v>
      </c>
      <c r="K657" s="26" t="s">
        <v>5352</v>
      </c>
    </row>
    <row r="658" spans="1:11">
      <c r="A658" s="20">
        <v>31034</v>
      </c>
      <c r="B658" s="27" t="s">
        <v>7255</v>
      </c>
      <c r="C658" s="21" t="s">
        <v>4499</v>
      </c>
      <c r="E658" s="27">
        <v>1</v>
      </c>
      <c r="F658" s="27">
        <v>-1</v>
      </c>
      <c r="H658" s="27">
        <v>3</v>
      </c>
      <c r="I658" s="27" t="str">
        <f>IF(H658="","",VLOOKUP(H658,'#状态名词'!$A$2:$C$99,2))</f>
        <v>attach_dama</v>
      </c>
      <c r="J658" s="27" t="str">
        <f>IF(H658="","",VLOOKUP(H658,'#状态名词'!$A$2:$C$99,3))</f>
        <v>攻击额外伤害C类增伤</v>
      </c>
      <c r="K658" s="26" t="s">
        <v>5353</v>
      </c>
    </row>
    <row r="659" spans="1:11">
      <c r="A659" s="20">
        <v>31035</v>
      </c>
      <c r="B659" s="27" t="e">
        <v>#N/A</v>
      </c>
      <c r="C659" s="21" t="s">
        <v>4500</v>
      </c>
      <c r="E659" s="27">
        <v>1</v>
      </c>
      <c r="F659" s="27">
        <v>-1</v>
      </c>
      <c r="H659" s="27">
        <v>71</v>
      </c>
      <c r="I659" s="27" t="str">
        <f>IF(H659="","",VLOOKUP(H659,'#状态名词'!$A$2:$C$99,2))</f>
        <v>sk_level</v>
      </c>
      <c r="J659" s="27" t="str">
        <f>IF(H659="","",VLOOKUP(H659,'#状态名词'!$A$2:$C$99,3))</f>
        <v>增加某个技能等级</v>
      </c>
      <c r="K659" s="26" t="s">
        <v>5354</v>
      </c>
    </row>
    <row r="660" spans="1:11">
      <c r="A660" s="20">
        <v>31036</v>
      </c>
      <c r="B660" s="27" t="s">
        <v>7256</v>
      </c>
      <c r="C660" s="21" t="s">
        <v>4501</v>
      </c>
      <c r="E660" s="27">
        <v>1</v>
      </c>
      <c r="F660" s="27">
        <v>-1</v>
      </c>
      <c r="H660" s="27">
        <v>19</v>
      </c>
      <c r="I660" s="27" t="str">
        <f>IF(H660="","",VLOOKUP(H660,'#状态名词'!$A$2:$C$99,2))</f>
        <v>rating</v>
      </c>
      <c r="J660" s="27" t="str">
        <f>IF(H660="","",VLOOKUP(H660,'#状态名词'!$A$2:$C$99,3))</f>
        <v>暴击+</v>
      </c>
      <c r="K660" s="26" t="s">
        <v>5346</v>
      </c>
    </row>
    <row r="661" spans="1:11">
      <c r="A661" s="20">
        <v>31037</v>
      </c>
      <c r="B661" s="27" t="s">
        <v>7257</v>
      </c>
      <c r="C661" s="21" t="s">
        <v>4502</v>
      </c>
      <c r="E661" s="27">
        <v>1</v>
      </c>
      <c r="F661" s="27">
        <v>-1</v>
      </c>
      <c r="H661" s="27">
        <v>75</v>
      </c>
      <c r="I661" s="27" t="str">
        <f>IF(H661="","",VLOOKUP(H661,'#状态名词'!$A$2:$C$99,2))</f>
        <v>action_useskill</v>
      </c>
      <c r="J661" s="27" t="str">
        <f>IF(H661="","",VLOOKUP(H661,'#状态名词'!$A$2:$C$99,3))</f>
        <v>行动时有几率使用技能</v>
      </c>
      <c r="K661" s="26" t="s">
        <v>5355</v>
      </c>
    </row>
    <row r="662" spans="1:11">
      <c r="A662" s="20">
        <v>31038</v>
      </c>
      <c r="B662" s="27" t="s">
        <v>7253</v>
      </c>
      <c r="C662" s="21" t="s">
        <v>4503</v>
      </c>
      <c r="E662" s="27">
        <v>1</v>
      </c>
      <c r="F662" s="27">
        <v>-1</v>
      </c>
      <c r="H662" s="27">
        <v>2</v>
      </c>
      <c r="I662" s="27" t="str">
        <f>IF(H662="","",VLOOKUP(H662,'#状态名词'!$A$2:$C$99,2))</f>
        <v>damaup</v>
      </c>
      <c r="J662" s="27" t="str">
        <f>IF(H662="","",VLOOKUP(H662,'#状态名词'!$A$2:$C$99,3))</f>
        <v>伤害提升A类增伤</v>
      </c>
      <c r="K662" s="26" t="s">
        <v>5349</v>
      </c>
    </row>
    <row r="663" spans="1:11">
      <c r="A663" s="20">
        <v>31040</v>
      </c>
      <c r="B663" s="27" t="e">
        <v>#N/A</v>
      </c>
      <c r="C663" s="21" t="s">
        <v>4505</v>
      </c>
      <c r="E663" s="27">
        <v>1</v>
      </c>
      <c r="F663" s="27">
        <v>-1</v>
      </c>
      <c r="H663" s="27">
        <v>74</v>
      </c>
      <c r="I663" s="27" t="str">
        <f>IF(H663="","",VLOOKUP(H663,'#状态名词'!$A$2:$C$99,2))</f>
        <v>sk_levelprofession</v>
      </c>
      <c r="J663" s="27" t="str">
        <f>IF(H663="","",VLOOKUP(H663,'#状态名词'!$A$2:$C$99,3))</f>
        <v>增加某个职业技能</v>
      </c>
      <c r="K663" s="26" t="s">
        <v>5356</v>
      </c>
    </row>
    <row r="664" spans="1:11">
      <c r="A664" s="20">
        <v>31041</v>
      </c>
      <c r="B664" s="27" t="s">
        <v>7260</v>
      </c>
      <c r="C664" s="21" t="s">
        <v>4506</v>
      </c>
      <c r="E664" s="27">
        <v>1</v>
      </c>
      <c r="F664" s="27">
        <v>-1</v>
      </c>
      <c r="H664" s="27">
        <v>30</v>
      </c>
      <c r="I664" s="27" t="str">
        <f>IF(H664="","",VLOOKUP(H664,'#状态名词'!$A$2:$C$99,2))</f>
        <v>elementup</v>
      </c>
      <c r="J664" s="27" t="str">
        <f>IF(H664="","",VLOOKUP(H664,'#状态名词'!$A$2:$C$99,3))</f>
        <v>全属性强化</v>
      </c>
      <c r="K664" s="26" t="s">
        <v>5353</v>
      </c>
    </row>
    <row r="665" spans="1:11">
      <c r="A665" s="20">
        <v>31042</v>
      </c>
      <c r="B665" s="27" t="s">
        <v>7263</v>
      </c>
      <c r="C665" s="21" t="s">
        <v>4507</v>
      </c>
      <c r="E665" s="27">
        <v>1</v>
      </c>
      <c r="F665" s="27">
        <v>-1</v>
      </c>
      <c r="H665" s="27">
        <v>35</v>
      </c>
      <c r="I665" s="27" t="str">
        <f>IF(H665="","",VLOOKUP(H665,'#状态名词'!$A$2:$C$99,2))</f>
        <v>reelement</v>
      </c>
      <c r="J665" s="27" t="str">
        <f>IF(H665="","",VLOOKUP(H665,'#状态名词'!$A$2:$C$99,3))</f>
        <v>全属性抗性</v>
      </c>
      <c r="K665" s="26" t="s">
        <v>5353</v>
      </c>
    </row>
    <row r="666" spans="1:11">
      <c r="A666" s="20">
        <v>31043</v>
      </c>
      <c r="B666" s="27" t="e">
        <v>#N/A</v>
      </c>
      <c r="C666" s="21" t="s">
        <v>4508</v>
      </c>
      <c r="E666" s="27">
        <v>1</v>
      </c>
      <c r="F666" s="27">
        <v>-1</v>
      </c>
      <c r="H666" s="27">
        <v>72</v>
      </c>
      <c r="I666" s="27" t="str">
        <f>IF(H666="","",VLOOKUP(H666,'#状态名词'!$A$2:$C$99,2))</f>
        <v>sk_levelpos</v>
      </c>
      <c r="J666" s="27" t="str">
        <f>IF(H666="","",VLOOKUP(H666,'#状态名词'!$A$2:$C$99,3))</f>
        <v>增加主角第几层的技能</v>
      </c>
      <c r="K666" s="26" t="s">
        <v>5357</v>
      </c>
    </row>
    <row r="667" spans="1:11">
      <c r="A667" s="20">
        <v>31044</v>
      </c>
      <c r="B667" s="27" t="e">
        <v>#N/A</v>
      </c>
      <c r="C667" s="21" t="s">
        <v>4509</v>
      </c>
      <c r="E667" s="27">
        <v>1</v>
      </c>
      <c r="F667" s="27">
        <v>-1</v>
      </c>
      <c r="H667" s="27">
        <v>71</v>
      </c>
      <c r="I667" s="27" t="str">
        <f>IF(H667="","",VLOOKUP(H667,'#状态名词'!$A$2:$C$99,2))</f>
        <v>sk_level</v>
      </c>
      <c r="J667" s="27" t="str">
        <f>IF(H667="","",VLOOKUP(H667,'#状态名词'!$A$2:$C$99,3))</f>
        <v>增加某个技能等级</v>
      </c>
      <c r="K667" s="26" t="s">
        <v>5358</v>
      </c>
    </row>
    <row r="668" spans="1:11">
      <c r="A668" s="20">
        <v>31045</v>
      </c>
      <c r="B668" s="27" t="s">
        <v>7265</v>
      </c>
      <c r="C668" s="21" t="s">
        <v>4510</v>
      </c>
      <c r="E668" s="27">
        <v>1</v>
      </c>
      <c r="F668" s="27">
        <v>-1</v>
      </c>
      <c r="H668" s="27">
        <v>63</v>
      </c>
      <c r="I668" s="27" t="str">
        <f>IF(H668="","",VLOOKUP(H668,'#状态名词'!$A$2:$C$99,2))</f>
        <v>comboup</v>
      </c>
      <c r="J668" s="27" t="str">
        <f>IF(H668="","",VLOOKUP(H668,'#状态名词'!$A$2:$C$99,3))</f>
        <v>连锁技能强化</v>
      </c>
      <c r="K668" s="26" t="s">
        <v>5359</v>
      </c>
    </row>
    <row r="669" spans="1:11">
      <c r="A669" s="20">
        <v>31046</v>
      </c>
      <c r="B669" s="27" t="e">
        <v>#N/A</v>
      </c>
      <c r="C669" s="21" t="s">
        <v>4511</v>
      </c>
      <c r="E669" s="27">
        <v>1</v>
      </c>
      <c r="F669" s="27">
        <v>-1</v>
      </c>
      <c r="H669" s="27">
        <v>71</v>
      </c>
      <c r="I669" s="27" t="str">
        <f>IF(H669="","",VLOOKUP(H669,'#状态名词'!$A$2:$C$99,2))</f>
        <v>sk_level</v>
      </c>
      <c r="J669" s="27" t="str">
        <f>IF(H669="","",VLOOKUP(H669,'#状态名词'!$A$2:$C$99,3))</f>
        <v>增加某个技能等级</v>
      </c>
      <c r="K669" s="26" t="s">
        <v>5360</v>
      </c>
    </row>
    <row r="670" spans="1:11">
      <c r="A670" s="20">
        <v>31047</v>
      </c>
      <c r="B670" s="27" t="s">
        <v>7262</v>
      </c>
      <c r="C670" s="21" t="s">
        <v>4512</v>
      </c>
      <c r="E670" s="27">
        <v>1</v>
      </c>
      <c r="F670" s="27">
        <v>-1</v>
      </c>
      <c r="H670" s="27">
        <v>35</v>
      </c>
      <c r="I670" s="27" t="str">
        <f>IF(H670="","",VLOOKUP(H670,'#状态名词'!$A$2:$C$99,2))</f>
        <v>reelement</v>
      </c>
      <c r="J670" s="27" t="str">
        <f>IF(H670="","",VLOOKUP(H670,'#状态名词'!$A$2:$C$99,3))</f>
        <v>全属性抗性</v>
      </c>
      <c r="K670" s="26" t="s">
        <v>5361</v>
      </c>
    </row>
    <row r="671" spans="1:11">
      <c r="A671" s="20">
        <v>31048</v>
      </c>
      <c r="B671" s="27" t="s">
        <v>7267</v>
      </c>
      <c r="C671" s="21" t="s">
        <v>4513</v>
      </c>
      <c r="E671" s="27">
        <v>1</v>
      </c>
      <c r="F671" s="27">
        <v>-1</v>
      </c>
      <c r="H671" s="27">
        <v>2</v>
      </c>
      <c r="I671" s="27" t="str">
        <f>IF(H671="","",VLOOKUP(H671,'#状态名词'!$A$2:$C$99,2))</f>
        <v>damaup</v>
      </c>
      <c r="J671" s="27" t="str">
        <f>IF(H671="","",VLOOKUP(H671,'#状态名词'!$A$2:$C$99,3))</f>
        <v>伤害提升A类增伤</v>
      </c>
      <c r="K671" s="26" t="s">
        <v>5342</v>
      </c>
    </row>
    <row r="672" spans="1:11">
      <c r="A672" s="20">
        <v>31049</v>
      </c>
      <c r="B672" s="27" t="e">
        <v>#N/A</v>
      </c>
      <c r="C672" s="21" t="s">
        <v>4514</v>
      </c>
      <c r="E672" s="27">
        <v>1</v>
      </c>
      <c r="F672" s="27">
        <v>-1</v>
      </c>
      <c r="H672" s="27">
        <v>72</v>
      </c>
      <c r="I672" s="27" t="str">
        <f>IF(H672="","",VLOOKUP(H672,'#状态名词'!$A$2:$C$99,2))</f>
        <v>sk_levelpos</v>
      </c>
      <c r="J672" s="27" t="str">
        <f>IF(H672="","",VLOOKUP(H672,'#状态名词'!$A$2:$C$99,3))</f>
        <v>增加主角第几层的技能</v>
      </c>
      <c r="K672" s="26" t="s">
        <v>5362</v>
      </c>
    </row>
    <row r="673" spans="1:11">
      <c r="A673" s="20">
        <v>31050</v>
      </c>
      <c r="B673" s="27" t="e">
        <v>#N/A</v>
      </c>
      <c r="C673" s="21" t="s">
        <v>4515</v>
      </c>
      <c r="E673" s="27">
        <v>1</v>
      </c>
      <c r="F673" s="27">
        <v>-1</v>
      </c>
      <c r="H673" s="27">
        <v>71</v>
      </c>
      <c r="I673" s="27" t="str">
        <f>IF(H673="","",VLOOKUP(H673,'#状态名词'!$A$2:$C$99,2))</f>
        <v>sk_level</v>
      </c>
      <c r="J673" s="27" t="str">
        <f>IF(H673="","",VLOOKUP(H673,'#状态名词'!$A$2:$C$99,3))</f>
        <v>增加某个技能等级</v>
      </c>
    </row>
    <row r="674" spans="1:11">
      <c r="A674" s="20">
        <v>31051</v>
      </c>
      <c r="B674" s="27" t="e">
        <v>#N/A</v>
      </c>
      <c r="C674" s="21" t="s">
        <v>4516</v>
      </c>
      <c r="E674" s="27">
        <v>1</v>
      </c>
      <c r="F674" s="27">
        <v>-1</v>
      </c>
      <c r="H674" s="27">
        <v>71</v>
      </c>
      <c r="I674" s="27" t="str">
        <f>IF(H674="","",VLOOKUP(H674,'#状态名词'!$A$2:$C$99,2))</f>
        <v>sk_level</v>
      </c>
      <c r="J674" s="27" t="str">
        <f>IF(H674="","",VLOOKUP(H674,'#状态名词'!$A$2:$C$99,3))</f>
        <v>增加某个技能等级</v>
      </c>
    </row>
    <row r="675" spans="1:11">
      <c r="A675" s="20">
        <v>31052</v>
      </c>
      <c r="B675" s="27" t="s">
        <v>7277</v>
      </c>
      <c r="C675" s="21" t="s">
        <v>4517</v>
      </c>
      <c r="E675" s="27">
        <v>1</v>
      </c>
      <c r="F675" s="27">
        <v>-1</v>
      </c>
      <c r="H675" s="27">
        <v>24</v>
      </c>
      <c r="I675" s="27" t="str">
        <f>IF(H675="","",VLOOKUP(H675,'#状态名词'!$A$2:$C$99,2))</f>
        <v>heal</v>
      </c>
      <c r="J675" s="27" t="str">
        <f>IF(H675="","",VLOOKUP(H675,'#状态名词'!$A$2:$C$99,3))</f>
        <v>治疗效果+</v>
      </c>
    </row>
    <row r="676" spans="1:11">
      <c r="A676" s="20">
        <v>31053</v>
      </c>
      <c r="B676" s="27" t="e">
        <v>#N/A</v>
      </c>
      <c r="C676" s="21" t="s">
        <v>4518</v>
      </c>
      <c r="E676" s="27">
        <v>1</v>
      </c>
      <c r="F676" s="27">
        <v>-1</v>
      </c>
      <c r="H676" s="27">
        <v>72</v>
      </c>
      <c r="I676" s="27" t="str">
        <f>IF(H676="","",VLOOKUP(H676,'#状态名词'!$A$2:$C$99,2))</f>
        <v>sk_levelpos</v>
      </c>
      <c r="J676" s="27" t="str">
        <f>IF(H676="","",VLOOKUP(H676,'#状态名词'!$A$2:$C$99,3))</f>
        <v>增加主角第几层的技能</v>
      </c>
      <c r="K676" s="26" t="s">
        <v>5363</v>
      </c>
    </row>
    <row r="677" spans="1:11">
      <c r="A677" s="20">
        <v>31054</v>
      </c>
      <c r="B677" s="27" t="s">
        <v>7274</v>
      </c>
      <c r="C677" s="21" t="s">
        <v>4519</v>
      </c>
      <c r="E677" s="27">
        <v>1</v>
      </c>
      <c r="F677" s="27">
        <v>-1</v>
      </c>
      <c r="H677" s="27">
        <v>44</v>
      </c>
      <c r="I677" s="27" t="str">
        <f>IF(H677="","",VLOOKUP(H677,'#状态名词'!$A$2:$C$99,2))</f>
        <v>dotup</v>
      </c>
      <c r="J677" s="27" t="str">
        <f>IF(H677="","",VLOOKUP(H677,'#状态名词'!$A$2:$C$99,3))</f>
        <v>持续伤害强化</v>
      </c>
      <c r="K677" s="26" t="s">
        <v>5359</v>
      </c>
    </row>
    <row r="678" spans="1:11">
      <c r="A678" s="20">
        <v>31056</v>
      </c>
      <c r="B678" s="27" t="s">
        <v>7271</v>
      </c>
      <c r="C678" s="21" t="s">
        <v>4521</v>
      </c>
      <c r="E678" s="27">
        <v>1</v>
      </c>
      <c r="F678" s="27">
        <v>-1</v>
      </c>
      <c r="H678" s="27">
        <v>70</v>
      </c>
      <c r="I678" s="27" t="str">
        <f>IF(H678="","",VLOOKUP(H678,'#状态名词'!$A$2:$C$99,2))</f>
        <v>eva</v>
      </c>
      <c r="J678" s="27" t="str">
        <f>IF(H678="","",VLOOKUP(H678,'#状态名词'!$A$2:$C$99,3))</f>
        <v>回避率</v>
      </c>
      <c r="K678" s="26" t="s">
        <v>5364</v>
      </c>
    </row>
    <row r="679" spans="1:11">
      <c r="A679" s="20">
        <v>31057</v>
      </c>
      <c r="B679" s="27" t="s">
        <v>7272</v>
      </c>
      <c r="C679" s="21" t="s">
        <v>4522</v>
      </c>
      <c r="E679" s="27">
        <v>1</v>
      </c>
      <c r="F679" s="27">
        <v>-1</v>
      </c>
      <c r="H679" s="27">
        <v>42</v>
      </c>
      <c r="I679" s="27" t="str">
        <f>IF(H679="","",VLOOKUP(H679,'#状态名词'!$A$2:$C$99,2))</f>
        <v>turn_heal</v>
      </c>
      <c r="J679" s="27" t="str">
        <f>IF(H679="","",VLOOKUP(H679,'#状态名词'!$A$2:$C$99,3))</f>
        <v>回合回复</v>
      </c>
      <c r="K679" s="26" t="s">
        <v>5365</v>
      </c>
    </row>
    <row r="680" spans="1:11">
      <c r="A680" s="20"/>
      <c r="B680" s="27" t="s">
        <v>84</v>
      </c>
      <c r="C680" s="21"/>
      <c r="H680" s="27">
        <v>2</v>
      </c>
      <c r="I680" s="27" t="str">
        <f>IF(H680="","",VLOOKUP(H680,'#状态名词'!$A$2:$C$99,2))</f>
        <v>damaup</v>
      </c>
      <c r="J680" s="27" t="str">
        <f>IF(H680="","",VLOOKUP(H680,'#状态名词'!$A$2:$C$99,3))</f>
        <v>伤害提升A类增伤</v>
      </c>
      <c r="K680" s="26" t="s">
        <v>5342</v>
      </c>
    </row>
    <row r="681" spans="1:11" ht="27">
      <c r="A681" s="20">
        <v>31058</v>
      </c>
      <c r="B681" s="27" t="s">
        <v>7273</v>
      </c>
      <c r="C681" s="21" t="s">
        <v>4523</v>
      </c>
      <c r="E681" s="27">
        <v>1</v>
      </c>
      <c r="F681" s="27">
        <v>-1</v>
      </c>
      <c r="H681" s="27">
        <v>42</v>
      </c>
      <c r="I681" s="27" t="str">
        <f>IF(H681="","",VLOOKUP(H681,'#状态名词'!$A$2:$C$99,2))</f>
        <v>turn_heal</v>
      </c>
      <c r="J681" s="27" t="str">
        <f>IF(H681="","",VLOOKUP(H681,'#状态名词'!$A$2:$C$99,3))</f>
        <v>回合回复</v>
      </c>
      <c r="K681" s="26" t="s">
        <v>5366</v>
      </c>
    </row>
    <row r="682" spans="1:11" ht="27">
      <c r="A682" s="20">
        <v>31055</v>
      </c>
      <c r="B682" s="27">
        <v>0</v>
      </c>
      <c r="C682" s="21" t="s">
        <v>4523</v>
      </c>
      <c r="E682" s="27">
        <v>1</v>
      </c>
      <c r="F682" s="27">
        <v>-1</v>
      </c>
      <c r="H682" s="27">
        <v>42</v>
      </c>
      <c r="I682" s="27" t="str">
        <f>IF(H682="","",VLOOKUP(H682,'#状态名词'!$A$2:$C$99,2))</f>
        <v>turn_heal</v>
      </c>
      <c r="J682" s="27" t="str">
        <f>IF(H682="","",VLOOKUP(H682,'#状态名词'!$A$2:$C$99,3))</f>
        <v>回合回复</v>
      </c>
      <c r="K682" s="26" t="s">
        <v>5367</v>
      </c>
    </row>
    <row r="683" spans="1:11">
      <c r="A683" s="20">
        <v>31059</v>
      </c>
      <c r="B683" s="27" t="s">
        <v>7278</v>
      </c>
      <c r="C683" s="21" t="s">
        <v>3660</v>
      </c>
      <c r="E683" s="27">
        <v>-1</v>
      </c>
      <c r="F683" s="27">
        <v>-1</v>
      </c>
      <c r="H683" s="27">
        <v>24</v>
      </c>
      <c r="I683" s="27" t="str">
        <f>IF(H683="","",VLOOKUP(H683,'#状态名词'!$A$2:$C$99,2))</f>
        <v>heal</v>
      </c>
      <c r="J683" s="27" t="str">
        <f>IF(H683="","",VLOOKUP(H683,'#状态名词'!$A$2:$C$99,3))</f>
        <v>治疗效果+</v>
      </c>
      <c r="K683" s="26">
        <v>300</v>
      </c>
    </row>
    <row r="684" spans="1:11">
      <c r="A684" s="20">
        <v>31060</v>
      </c>
      <c r="B684" s="27" t="s">
        <v>7285</v>
      </c>
      <c r="C684" s="21" t="s">
        <v>3661</v>
      </c>
      <c r="E684" s="27">
        <v>1</v>
      </c>
      <c r="F684" s="27">
        <v>-1</v>
      </c>
      <c r="H684" s="27">
        <v>42</v>
      </c>
      <c r="I684" s="27" t="str">
        <f>IF(H684="","",VLOOKUP(H684,'#状态名词'!$A$2:$C$99,2))</f>
        <v>turn_heal</v>
      </c>
      <c r="J684" s="27" t="str">
        <f>IF(H684="","",VLOOKUP(H684,'#状态名词'!$A$2:$C$99,3))</f>
        <v>回合回复</v>
      </c>
      <c r="K684" s="26" t="s">
        <v>5325</v>
      </c>
    </row>
    <row r="685" spans="1:11">
      <c r="A685" s="20">
        <v>31061</v>
      </c>
      <c r="B685" s="27" t="s">
        <v>7286</v>
      </c>
      <c r="C685" s="21" t="s">
        <v>3662</v>
      </c>
      <c r="E685" s="27">
        <v>1</v>
      </c>
      <c r="F685" s="27">
        <v>0</v>
      </c>
      <c r="H685" s="27">
        <v>39</v>
      </c>
      <c r="I685" s="27" t="str">
        <f>IF(H685="","",VLOOKUP(H685,'#状态名词'!$A$2:$C$99,2))</f>
        <v>action_heal</v>
      </c>
      <c r="J685" s="27" t="str">
        <f>IF(H685="","",VLOOKUP(H685,'#状态名词'!$A$2:$C$99,3))</f>
        <v>行动时治疗</v>
      </c>
      <c r="K685" s="26" t="s">
        <v>5368</v>
      </c>
    </row>
    <row r="686" spans="1:11">
      <c r="A686" s="20">
        <v>31079</v>
      </c>
      <c r="B686" s="27">
        <v>0</v>
      </c>
      <c r="C686" s="21"/>
      <c r="E686" s="27">
        <v>-1</v>
      </c>
      <c r="F686" s="27">
        <v>-1</v>
      </c>
      <c r="H686" s="27">
        <v>24</v>
      </c>
      <c r="I686" s="27" t="str">
        <f>IF(H686="","",VLOOKUP(H686,'#状态名词'!$A$2:$C$99,2))</f>
        <v>heal</v>
      </c>
      <c r="J686" s="27" t="str">
        <f>IF(H686="","",VLOOKUP(H686,'#状态名词'!$A$2:$C$99,3))</f>
        <v>治疗效果+</v>
      </c>
      <c r="K686" s="26">
        <v>200</v>
      </c>
    </row>
    <row r="687" spans="1:11">
      <c r="A687" s="20">
        <v>31062</v>
      </c>
      <c r="B687" s="27" t="s">
        <v>7279</v>
      </c>
      <c r="C687" s="21" t="s">
        <v>3663</v>
      </c>
      <c r="E687" s="27">
        <v>-1</v>
      </c>
      <c r="F687" s="27">
        <v>-1</v>
      </c>
      <c r="H687" s="27">
        <v>61</v>
      </c>
      <c r="I687" s="27" t="str">
        <f>IF(H687="","",VLOOKUP(H687,'#状态名词'!$A$2:$C$99,2))</f>
        <v>team_ad</v>
      </c>
      <c r="J687" s="27" t="str">
        <f>IF(H687="","",VLOOKUP(H687,'#状态名词'!$A$2:$C$99,3))</f>
        <v>队伍AD</v>
      </c>
      <c r="K687" s="26">
        <v>65</v>
      </c>
    </row>
    <row r="688" spans="1:11">
      <c r="A688" s="20"/>
      <c r="B688" s="27" t="s">
        <v>84</v>
      </c>
      <c r="C688" s="21"/>
      <c r="E688" s="27">
        <v>-1</v>
      </c>
      <c r="F688" s="27">
        <v>-1</v>
      </c>
      <c r="H688" s="27">
        <v>62</v>
      </c>
      <c r="I688" s="27" t="str">
        <f>IF(H688="","",VLOOKUP(H688,'#状态名词'!$A$2:$C$99,2))</f>
        <v>team_ap</v>
      </c>
      <c r="J688" s="27" t="str">
        <f>IF(H688="","",VLOOKUP(H688,'#状态名词'!$A$2:$C$99,3))</f>
        <v>队伍AP</v>
      </c>
      <c r="K688" s="26">
        <v>65</v>
      </c>
    </row>
    <row r="689" spans="1:11">
      <c r="A689" s="20">
        <v>31063</v>
      </c>
      <c r="B689" s="27" t="s">
        <v>7283</v>
      </c>
      <c r="C689" s="21" t="s">
        <v>3664</v>
      </c>
      <c r="E689" s="27">
        <v>-1</v>
      </c>
      <c r="F689" s="27">
        <v>-1</v>
      </c>
      <c r="H689" s="27">
        <v>19</v>
      </c>
      <c r="I689" s="27" t="str">
        <f>IF(H689="","",VLOOKUP(H689,'#状态名词'!$A$2:$C$99,2))</f>
        <v>rating</v>
      </c>
      <c r="J689" s="27" t="str">
        <f>IF(H689="","",VLOOKUP(H689,'#状态名词'!$A$2:$C$99,3))</f>
        <v>暴击+</v>
      </c>
      <c r="K689" s="26">
        <v>200</v>
      </c>
    </row>
    <row r="690" spans="1:11">
      <c r="A690" s="20"/>
      <c r="B690" s="27" t="s">
        <v>84</v>
      </c>
      <c r="C690" s="21"/>
      <c r="E690" s="27">
        <v>-1</v>
      </c>
      <c r="F690" s="27">
        <v>-1</v>
      </c>
      <c r="H690" s="27">
        <v>20</v>
      </c>
      <c r="I690" s="27" t="str">
        <f>IF(H690="","",VLOOKUP(H690,'#状态名词'!$A$2:$C$99,2))</f>
        <v>ratingdamage</v>
      </c>
      <c r="J690" s="27" t="str">
        <f>IF(H690="","",VLOOKUP(H690,'#状态名词'!$A$2:$C$99,3))</f>
        <v>暴伤+</v>
      </c>
      <c r="K690" s="26">
        <v>200</v>
      </c>
    </row>
    <row r="691" spans="1:11">
      <c r="A691" s="20"/>
      <c r="B691" s="27" t="s">
        <v>84</v>
      </c>
      <c r="C691" s="21"/>
      <c r="E691" s="27">
        <v>-1</v>
      </c>
      <c r="F691" s="27">
        <v>-1</v>
      </c>
      <c r="H691" s="27">
        <v>21</v>
      </c>
      <c r="I691" s="27" t="str">
        <f>IF(H691="","",VLOOKUP(H691,'#状态名词'!$A$2:$C$99,2))</f>
        <v>speed</v>
      </c>
      <c r="J691" s="27" t="str">
        <f>IF(H691="","",VLOOKUP(H691,'#状态名词'!$A$2:$C$99,3))</f>
        <v>速度+</v>
      </c>
      <c r="K691" s="26">
        <v>200</v>
      </c>
    </row>
    <row r="692" spans="1:11">
      <c r="A692" s="20"/>
      <c r="B692" s="27" t="s">
        <v>84</v>
      </c>
      <c r="C692" s="21"/>
      <c r="E692" s="27">
        <v>-1</v>
      </c>
      <c r="F692" s="27">
        <v>-1</v>
      </c>
      <c r="H692" s="27">
        <v>24</v>
      </c>
      <c r="I692" s="27" t="str">
        <f>IF(H692="","",VLOOKUP(H692,'#状态名词'!$A$2:$C$99,2))</f>
        <v>heal</v>
      </c>
      <c r="J692" s="27" t="str">
        <f>IF(H692="","",VLOOKUP(H692,'#状态名词'!$A$2:$C$99,3))</f>
        <v>治疗效果+</v>
      </c>
      <c r="K692" s="26">
        <v>200</v>
      </c>
    </row>
    <row r="693" spans="1:11">
      <c r="A693" s="20">
        <v>31064</v>
      </c>
      <c r="B693" s="27" t="e">
        <v>#N/A</v>
      </c>
      <c r="C693" s="21" t="s">
        <v>5369</v>
      </c>
      <c r="E693" s="27">
        <v>-1</v>
      </c>
      <c r="F693" s="27">
        <v>-1</v>
      </c>
      <c r="H693" s="27">
        <v>74</v>
      </c>
      <c r="I693" s="27" t="str">
        <f>IF(H693="","",VLOOKUP(H693,'#状态名词'!$A$2:$C$99,2))</f>
        <v>sk_levelprofession</v>
      </c>
      <c r="J693" s="27" t="str">
        <f>IF(H693="","",VLOOKUP(H693,'#状态名词'!$A$2:$C$99,3))</f>
        <v>增加某个职业技能</v>
      </c>
      <c r="K693" s="26" t="s">
        <v>5370</v>
      </c>
    </row>
    <row r="694" spans="1:11">
      <c r="A694" s="20"/>
      <c r="B694" s="27" t="s">
        <v>84</v>
      </c>
      <c r="C694" s="21"/>
      <c r="E694" s="27">
        <v>-1</v>
      </c>
      <c r="F694" s="27">
        <v>-1</v>
      </c>
      <c r="H694" s="27">
        <v>74</v>
      </c>
      <c r="I694" s="27" t="str">
        <f>IF(H694="","",VLOOKUP(H694,'#状态名词'!$A$2:$C$99,2))</f>
        <v>sk_levelprofession</v>
      </c>
      <c r="J694" s="27" t="str">
        <f>IF(H694="","",VLOOKUP(H694,'#状态名词'!$A$2:$C$99,3))</f>
        <v>增加某个职业技能</v>
      </c>
      <c r="K694" s="26" t="s">
        <v>5371</v>
      </c>
    </row>
    <row r="695" spans="1:11">
      <c r="A695" s="20"/>
      <c r="B695" s="27" t="s">
        <v>84</v>
      </c>
      <c r="C695" s="21"/>
      <c r="E695" s="27">
        <v>-1</v>
      </c>
      <c r="F695" s="27">
        <v>-1</v>
      </c>
      <c r="H695" s="27">
        <v>74</v>
      </c>
      <c r="I695" s="27" t="str">
        <f>IF(H695="","",VLOOKUP(H695,'#状态名词'!$A$2:$C$99,2))</f>
        <v>sk_levelprofession</v>
      </c>
      <c r="J695" s="27" t="str">
        <f>IF(H695="","",VLOOKUP(H695,'#状态名词'!$A$2:$C$99,3))</f>
        <v>增加某个职业技能</v>
      </c>
      <c r="K695" s="26" t="s">
        <v>5356</v>
      </c>
    </row>
    <row r="696" spans="1:11">
      <c r="A696" s="20"/>
      <c r="B696" s="27" t="s">
        <v>84</v>
      </c>
      <c r="C696" s="21"/>
      <c r="E696" s="27">
        <v>-1</v>
      </c>
      <c r="F696" s="27">
        <v>-1</v>
      </c>
      <c r="H696" s="27">
        <v>74</v>
      </c>
      <c r="I696" s="27" t="str">
        <f>IF(H696="","",VLOOKUP(H696,'#状态名词'!$A$2:$C$99,2))</f>
        <v>sk_levelprofession</v>
      </c>
      <c r="J696" s="27" t="str">
        <f>IF(H696="","",VLOOKUP(H696,'#状态名词'!$A$2:$C$99,3))</f>
        <v>增加某个职业技能</v>
      </c>
      <c r="K696" s="26" t="s">
        <v>5327</v>
      </c>
    </row>
    <row r="697" spans="1:11">
      <c r="B697" s="27" t="s">
        <v>84</v>
      </c>
      <c r="C697" s="21"/>
      <c r="E697" s="27">
        <v>-1</v>
      </c>
      <c r="F697" s="27">
        <v>-1</v>
      </c>
      <c r="H697" s="27">
        <v>74</v>
      </c>
      <c r="I697" s="27" t="str">
        <f>IF(H697="","",VLOOKUP(H697,'#状态名词'!$A$2:$C$99,2))</f>
        <v>sk_levelprofession</v>
      </c>
      <c r="J697" s="27" t="str">
        <f>IF(H697="","",VLOOKUP(H697,'#状态名词'!$A$2:$C$99,3))</f>
        <v>增加某个职业技能</v>
      </c>
      <c r="K697" s="26" t="s">
        <v>5372</v>
      </c>
    </row>
    <row r="698" spans="1:11">
      <c r="B698" s="27" t="s">
        <v>84</v>
      </c>
      <c r="C698" s="21"/>
      <c r="E698" s="27">
        <v>-1</v>
      </c>
      <c r="F698" s="27">
        <v>-1</v>
      </c>
      <c r="H698" s="27">
        <v>74</v>
      </c>
      <c r="I698" s="27" t="str">
        <f>IF(H698="","",VLOOKUP(H698,'#状态名词'!$A$2:$C$99,2))</f>
        <v>sk_levelprofession</v>
      </c>
      <c r="J698" s="27" t="str">
        <f>IF(H698="","",VLOOKUP(H698,'#状态名词'!$A$2:$C$99,3))</f>
        <v>增加某个职业技能</v>
      </c>
      <c r="K698" s="26" t="s">
        <v>5373</v>
      </c>
    </row>
    <row r="699" spans="1:11">
      <c r="B699" s="27" t="s">
        <v>84</v>
      </c>
      <c r="C699" s="21"/>
      <c r="E699" s="27">
        <v>-1</v>
      </c>
      <c r="F699" s="27">
        <v>-1</v>
      </c>
      <c r="H699" s="27">
        <v>74</v>
      </c>
      <c r="I699" s="27" t="str">
        <f>IF(H699="","",VLOOKUP(H699,'#状态名词'!$A$2:$C$99,2))</f>
        <v>sk_levelprofession</v>
      </c>
      <c r="J699" s="27" t="str">
        <f>IF(H699="","",VLOOKUP(H699,'#状态名词'!$A$2:$C$99,3))</f>
        <v>增加某个职业技能</v>
      </c>
      <c r="K699" s="26" t="s">
        <v>5374</v>
      </c>
    </row>
    <row r="700" spans="1:11">
      <c r="A700" s="27">
        <v>31065</v>
      </c>
      <c r="B700" s="27" t="s">
        <v>7280</v>
      </c>
      <c r="C700" s="27" t="s">
        <v>5375</v>
      </c>
      <c r="E700" s="27">
        <v>-1</v>
      </c>
      <c r="F700" s="27">
        <v>-1</v>
      </c>
      <c r="H700" s="27">
        <v>2</v>
      </c>
      <c r="I700" s="27" t="str">
        <f>IF(H700="","",VLOOKUP(H700,'#状态名词'!$A$2:$C$99,2))</f>
        <v>damaup</v>
      </c>
      <c r="J700" s="27" t="str">
        <f>IF(H700="","",VLOOKUP(H700,'#状态名词'!$A$2:$C$99,3))</f>
        <v>伤害提升A类增伤</v>
      </c>
      <c r="K700" s="26">
        <v>2</v>
      </c>
    </row>
    <row r="701" spans="1:11">
      <c r="A701" s="27">
        <v>31066</v>
      </c>
      <c r="B701" s="27" t="s">
        <v>7281</v>
      </c>
      <c r="C701" s="27" t="s">
        <v>3665</v>
      </c>
      <c r="E701" s="27">
        <v>-1</v>
      </c>
      <c r="F701" s="27">
        <v>-1</v>
      </c>
      <c r="H701" s="27">
        <v>75</v>
      </c>
      <c r="I701" s="27" t="str">
        <f>IF(H701="","",VLOOKUP(H701,'#状态名词'!$A$2:$C$99,2))</f>
        <v>action_useskill</v>
      </c>
      <c r="J701" s="27" t="str">
        <f>IF(H701="","",VLOOKUP(H701,'#状态名词'!$A$2:$C$99,3))</f>
        <v>行动时有几率使用技能</v>
      </c>
      <c r="K701" s="26">
        <v>31136</v>
      </c>
    </row>
    <row r="702" spans="1:11">
      <c r="A702" s="27">
        <v>31067</v>
      </c>
      <c r="B702" s="27" t="s">
        <v>7282</v>
      </c>
      <c r="C702" s="27" t="s">
        <v>3666</v>
      </c>
      <c r="E702" s="27">
        <v>-1</v>
      </c>
      <c r="F702" s="27">
        <v>-1</v>
      </c>
      <c r="H702" s="27">
        <v>29</v>
      </c>
      <c r="I702" s="27" t="str">
        <f>IF(H702="","",VLOOKUP(H702,'#状态名词'!$A$2:$C$99,2))</f>
        <v>darkup</v>
      </c>
      <c r="J702" s="27" t="str">
        <f>IF(H702="","",VLOOKUP(H702,'#状态名词'!$A$2:$C$99,3))</f>
        <v>暗属性强化</v>
      </c>
      <c r="K702" s="26">
        <v>20</v>
      </c>
    </row>
    <row r="703" spans="1:11">
      <c r="A703" s="27">
        <v>31068</v>
      </c>
      <c r="B703" s="27" t="s">
        <v>7287</v>
      </c>
      <c r="C703" s="27" t="s">
        <v>3667</v>
      </c>
      <c r="E703" s="27">
        <v>-1</v>
      </c>
      <c r="F703" s="27">
        <v>-1</v>
      </c>
      <c r="G703" s="27">
        <v>61</v>
      </c>
      <c r="H703" s="27">
        <v>19</v>
      </c>
      <c r="I703" s="27" t="str">
        <f>IF(H703="","",VLOOKUP(H703,'#状态名词'!$A$2:$C$99,2))</f>
        <v>rating</v>
      </c>
      <c r="J703" s="27" t="str">
        <f>IF(H703="","",VLOOKUP(H703,'#状态名词'!$A$2:$C$99,3))</f>
        <v>暴击+</v>
      </c>
      <c r="K703" s="26">
        <v>5000</v>
      </c>
    </row>
    <row r="704" spans="1:11">
      <c r="A704" s="27">
        <v>31069</v>
      </c>
      <c r="B704" s="27" t="s">
        <v>7295</v>
      </c>
      <c r="C704" s="27" t="s">
        <v>3668</v>
      </c>
      <c r="E704" s="27">
        <v>-1</v>
      </c>
      <c r="F704" s="27">
        <v>-1</v>
      </c>
      <c r="H704" s="27">
        <v>20</v>
      </c>
      <c r="I704" s="27" t="str">
        <f>IF(H704="","",VLOOKUP(H704,'#状态名词'!$A$2:$C$99,2))</f>
        <v>ratingdamage</v>
      </c>
      <c r="J704" s="27" t="str">
        <f>IF(H704="","",VLOOKUP(H704,'#状态名词'!$A$2:$C$99,3))</f>
        <v>暴伤+</v>
      </c>
      <c r="K704" s="26">
        <v>1500</v>
      </c>
    </row>
    <row r="705" spans="1:11">
      <c r="A705" s="27">
        <v>31070</v>
      </c>
      <c r="B705" s="27" t="e">
        <v>#N/A</v>
      </c>
      <c r="C705" s="27" t="s">
        <v>3669</v>
      </c>
      <c r="E705" s="27">
        <v>-1</v>
      </c>
      <c r="F705" s="27">
        <v>-1</v>
      </c>
      <c r="H705" s="27">
        <v>71</v>
      </c>
      <c r="I705" s="27" t="str">
        <f>IF(H705="","",VLOOKUP(H705,'#状态名词'!$A$2:$C$99,2))</f>
        <v>sk_level</v>
      </c>
      <c r="J705" s="27" t="str">
        <f>IF(H705="","",VLOOKUP(H705,'#状态名词'!$A$2:$C$99,3))</f>
        <v>增加某个技能等级</v>
      </c>
      <c r="K705" s="26" t="s">
        <v>5376</v>
      </c>
    </row>
    <row r="706" spans="1:11">
      <c r="A706" s="27">
        <v>31071</v>
      </c>
      <c r="B706" s="27" t="s">
        <v>7288</v>
      </c>
      <c r="C706" s="27" t="s">
        <v>3670</v>
      </c>
      <c r="E706" s="27">
        <v>-1</v>
      </c>
      <c r="F706" s="27">
        <v>-1</v>
      </c>
      <c r="H706" s="27">
        <v>75</v>
      </c>
      <c r="I706" s="27" t="str">
        <f>IF(H706="","",VLOOKUP(H706,'#状态名词'!$A$2:$C$99,2))</f>
        <v>action_useskill</v>
      </c>
      <c r="J706" s="27" t="str">
        <f>IF(H706="","",VLOOKUP(H706,'#状态名词'!$A$2:$C$99,3))</f>
        <v>行动时有几率使用技能</v>
      </c>
      <c r="K706" s="26">
        <v>31137</v>
      </c>
    </row>
    <row r="707" spans="1:11">
      <c r="A707" s="27">
        <v>31072</v>
      </c>
      <c r="B707" s="27" t="s">
        <v>7398</v>
      </c>
      <c r="C707" s="27" t="s">
        <v>3671</v>
      </c>
      <c r="E707" s="27">
        <v>-1</v>
      </c>
      <c r="F707" s="27">
        <v>-1</v>
      </c>
      <c r="H707" s="27">
        <v>26</v>
      </c>
      <c r="I707" s="27" t="str">
        <f>IF(H707="","",VLOOKUP(H707,'#状态名词'!$A$2:$C$99,2))</f>
        <v>fireup</v>
      </c>
      <c r="J707" s="27" t="str">
        <f>IF(H707="","",VLOOKUP(H707,'#状态名词'!$A$2:$C$99,3))</f>
        <v>火属性强化</v>
      </c>
      <c r="K707" s="26">
        <v>2</v>
      </c>
    </row>
    <row r="708" spans="1:11">
      <c r="A708" s="27">
        <v>31073</v>
      </c>
      <c r="B708" s="20" t="s">
        <v>7399</v>
      </c>
      <c r="C708" s="27" t="s">
        <v>3672</v>
      </c>
      <c r="E708" s="27">
        <v>-1</v>
      </c>
      <c r="F708" s="27">
        <v>-1</v>
      </c>
      <c r="H708" s="27">
        <v>17</v>
      </c>
      <c r="I708" s="27" t="str">
        <f>IF(H708="","",VLOOKUP(H708,'#状态名词'!$A$2:$C$99,2))</f>
        <v>adi</v>
      </c>
      <c r="J708" s="27" t="str">
        <f>IF(H708="","",VLOOKUP(H708,'#状态名词'!$A$2:$C$99,3))</f>
        <v>物穿</v>
      </c>
      <c r="K708" s="26">
        <v>1000</v>
      </c>
    </row>
    <row r="709" spans="1:11">
      <c r="B709" s="20" t="s">
        <v>84</v>
      </c>
      <c r="E709" s="27">
        <v>-1</v>
      </c>
      <c r="F709" s="27">
        <v>-1</v>
      </c>
      <c r="H709" s="27">
        <v>18</v>
      </c>
      <c r="I709" s="27" t="str">
        <f>IF(H709="","",VLOOKUP(H709,'#状态名词'!$A$2:$C$99,2))</f>
        <v>api</v>
      </c>
      <c r="J709" s="27" t="str">
        <f>IF(H709="","",VLOOKUP(H709,'#状态名词'!$A$2:$C$99,3))</f>
        <v>法穿</v>
      </c>
      <c r="K709" s="26">
        <v>1000</v>
      </c>
    </row>
    <row r="710" spans="1:11">
      <c r="A710" s="27">
        <v>31074</v>
      </c>
      <c r="B710" s="20" t="e">
        <v>#N/A</v>
      </c>
      <c r="C710" s="27" t="s">
        <v>3673</v>
      </c>
      <c r="E710" s="27">
        <v>-1</v>
      </c>
      <c r="F710" s="27">
        <v>-1</v>
      </c>
      <c r="H710" s="27">
        <v>74</v>
      </c>
      <c r="I710" s="27" t="str">
        <f>IF(H710="","",VLOOKUP(H710,'#状态名词'!$A$2:$C$99,2))</f>
        <v>sk_levelprofession</v>
      </c>
      <c r="J710" s="27" t="str">
        <f>IF(H710="","",VLOOKUP(H710,'#状态名词'!$A$2:$C$99,3))</f>
        <v>增加某个职业技能</v>
      </c>
      <c r="K710" s="26" t="s">
        <v>6228</v>
      </c>
    </row>
    <row r="711" spans="1:11">
      <c r="A711" s="27">
        <v>31075</v>
      </c>
      <c r="B711" s="20" t="s">
        <v>7290</v>
      </c>
      <c r="C711" s="27" t="s">
        <v>3674</v>
      </c>
      <c r="E711" s="27">
        <v>1</v>
      </c>
      <c r="F711" s="27">
        <v>0</v>
      </c>
      <c r="H711" s="27">
        <v>36</v>
      </c>
      <c r="I711" s="27" t="str">
        <f>IF(H711="","",VLOOKUP(H711,'#状态名词'!$A$2:$C$99,2))</f>
        <v>atk_damage</v>
      </c>
      <c r="J711" s="27" t="str">
        <f>IF(H711="","",VLOOKUP(H711,'#状态名词'!$A$2:$C$99,3))</f>
        <v>攻击附加伤害</v>
      </c>
      <c r="K711" s="26" t="s">
        <v>5377</v>
      </c>
    </row>
    <row r="712" spans="1:11">
      <c r="A712" s="27">
        <v>31077</v>
      </c>
      <c r="B712" s="20" t="e">
        <v>#N/A</v>
      </c>
      <c r="C712" s="27" t="s">
        <v>3676</v>
      </c>
      <c r="E712" s="27">
        <v>-1</v>
      </c>
      <c r="F712" s="27">
        <v>-1</v>
      </c>
      <c r="H712" s="27">
        <v>71</v>
      </c>
      <c r="I712" s="27" t="str">
        <f>IF(H712="","",VLOOKUP(H712,'#状态名词'!$A$2:$C$99,2))</f>
        <v>sk_level</v>
      </c>
      <c r="J712" s="27" t="str">
        <f>IF(H712="","",VLOOKUP(H712,'#状态名词'!$A$2:$C$99,3))</f>
        <v>增加某个技能等级</v>
      </c>
      <c r="K712" s="26" t="s">
        <v>5378</v>
      </c>
    </row>
    <row r="713" spans="1:11">
      <c r="A713" s="27">
        <v>31078</v>
      </c>
      <c r="B713" s="20" t="s">
        <v>7300</v>
      </c>
      <c r="C713" s="27" t="s">
        <v>3677</v>
      </c>
      <c r="E713" s="27">
        <v>-1</v>
      </c>
      <c r="F713" s="27">
        <v>-1</v>
      </c>
      <c r="H713" s="27">
        <v>44</v>
      </c>
      <c r="I713" s="27" t="str">
        <f>IF(H713="","",VLOOKUP(H713,'#状态名词'!$A$2:$C$99,2))</f>
        <v>dotup</v>
      </c>
      <c r="J713" s="27" t="str">
        <f>IF(H713="","",VLOOKUP(H713,'#状态名词'!$A$2:$C$99,3))</f>
        <v>持续伤害强化</v>
      </c>
      <c r="K713" s="26">
        <v>10</v>
      </c>
    </row>
    <row r="714" spans="1:11">
      <c r="A714" s="27">
        <v>31081</v>
      </c>
      <c r="B714" s="20" t="s">
        <v>7302</v>
      </c>
      <c r="C714" s="27" t="s">
        <v>3678</v>
      </c>
      <c r="E714" s="27">
        <v>-1</v>
      </c>
      <c r="F714" s="27">
        <v>-1</v>
      </c>
      <c r="H714" s="27">
        <v>21</v>
      </c>
      <c r="I714" s="27" t="str">
        <f>IF(H714="","",VLOOKUP(H714,'#状态名词'!$A$2:$C$99,2))</f>
        <v>speed</v>
      </c>
      <c r="J714" s="27" t="str">
        <f>IF(H714="","",VLOOKUP(H714,'#状态名词'!$A$2:$C$99,3))</f>
        <v>速度+</v>
      </c>
      <c r="K714" s="26">
        <v>1000</v>
      </c>
    </row>
    <row r="715" spans="1:11">
      <c r="A715" s="27">
        <v>31082</v>
      </c>
      <c r="B715" s="20" t="s">
        <v>7303</v>
      </c>
      <c r="C715" s="27" t="s">
        <v>3679</v>
      </c>
      <c r="E715" s="27">
        <v>1</v>
      </c>
      <c r="F715" s="27">
        <v>0</v>
      </c>
      <c r="H715" s="27">
        <v>36</v>
      </c>
      <c r="I715" s="27" t="str">
        <f>IF(H715="","",VLOOKUP(H715,'#状态名词'!$A$2:$C$99,2))</f>
        <v>atk_damage</v>
      </c>
      <c r="J715" s="27" t="str">
        <f>IF(H715="","",VLOOKUP(H715,'#状态名词'!$A$2:$C$99,3))</f>
        <v>攻击附加伤害</v>
      </c>
      <c r="K715" s="26" t="s">
        <v>5379</v>
      </c>
    </row>
    <row r="716" spans="1:11">
      <c r="A716" s="27">
        <v>31083</v>
      </c>
      <c r="B716" s="20" t="s">
        <v>7299</v>
      </c>
      <c r="C716" s="27" t="s">
        <v>3680</v>
      </c>
      <c r="E716" s="27">
        <v>-1</v>
      </c>
      <c r="F716" s="27">
        <v>-1</v>
      </c>
      <c r="H716" s="27">
        <v>13</v>
      </c>
      <c r="I716" s="27" t="str">
        <f>IF(H716="","",VLOOKUP(H716,'#状态名词'!$A$2:$C$99,2))</f>
        <v>arm</v>
      </c>
      <c r="J716" s="27" t="str">
        <f>IF(H716="","",VLOOKUP(H716,'#状态名词'!$A$2:$C$99,3))</f>
        <v>ARM+</v>
      </c>
      <c r="K716" s="26">
        <v>20</v>
      </c>
    </row>
    <row r="717" spans="1:11">
      <c r="B717" s="20" t="s">
        <v>84</v>
      </c>
      <c r="E717" s="27">
        <v>-1</v>
      </c>
      <c r="F717" s="27">
        <v>-1</v>
      </c>
      <c r="H717" s="27">
        <v>15</v>
      </c>
      <c r="I717" s="27" t="str">
        <f>IF(H717="","",VLOOKUP(H717,'#状态名词'!$A$2:$C$99,2))</f>
        <v>mr</v>
      </c>
      <c r="J717" s="27" t="str">
        <f>IF(H717="","",VLOOKUP(H717,'#状态名词'!$A$2:$C$99,3))</f>
        <v>MR+</v>
      </c>
      <c r="K717" s="26">
        <v>20</v>
      </c>
    </row>
    <row r="718" spans="1:11">
      <c r="A718" s="27">
        <v>31084</v>
      </c>
      <c r="B718" s="20">
        <v>0</v>
      </c>
      <c r="E718" s="27">
        <v>-1</v>
      </c>
      <c r="F718" s="27">
        <v>-1</v>
      </c>
      <c r="H718" s="27">
        <v>13</v>
      </c>
      <c r="I718" s="27" t="str">
        <f>IF(H718="","",VLOOKUP(H718,'#状态名词'!$A$2:$C$99,2))</f>
        <v>arm</v>
      </c>
      <c r="J718" s="27" t="str">
        <f>IF(H718="","",VLOOKUP(H718,'#状态名词'!$A$2:$C$99,3))</f>
        <v>ARM+</v>
      </c>
      <c r="K718" s="26">
        <v>-20</v>
      </c>
    </row>
    <row r="719" spans="1:11">
      <c r="B719" s="20" t="s">
        <v>84</v>
      </c>
      <c r="E719" s="27">
        <v>-1</v>
      </c>
      <c r="F719" s="27">
        <v>-1</v>
      </c>
      <c r="H719" s="27">
        <v>15</v>
      </c>
      <c r="I719" s="27" t="str">
        <f>IF(H719="","",VLOOKUP(H719,'#状态名词'!$A$2:$C$99,2))</f>
        <v>mr</v>
      </c>
      <c r="J719" s="27" t="str">
        <f>IF(H719="","",VLOOKUP(H719,'#状态名词'!$A$2:$C$99,3))</f>
        <v>MR+</v>
      </c>
      <c r="K719" s="26">
        <v>-20</v>
      </c>
    </row>
    <row r="720" spans="1:11">
      <c r="A720" s="27">
        <v>31085</v>
      </c>
      <c r="B720" s="20" t="e">
        <v>#N/A</v>
      </c>
      <c r="C720" s="27" t="s">
        <v>3681</v>
      </c>
      <c r="E720" s="27">
        <v>-1</v>
      </c>
      <c r="F720" s="27">
        <v>-1</v>
      </c>
      <c r="H720" s="27">
        <v>72</v>
      </c>
      <c r="I720" s="27" t="str">
        <f>IF(H720="","",VLOOKUP(H720,'#状态名词'!$A$2:$C$99,2))</f>
        <v>sk_levelpos</v>
      </c>
      <c r="J720" s="27" t="str">
        <f>IF(H720="","",VLOOKUP(H720,'#状态名词'!$A$2:$C$99,3))</f>
        <v>增加主角第几层的技能</v>
      </c>
      <c r="K720" s="26" t="s">
        <v>5380</v>
      </c>
    </row>
    <row r="721" spans="1:11">
      <c r="A721" s="27">
        <v>31086</v>
      </c>
      <c r="B721" s="20" t="s">
        <v>7306</v>
      </c>
      <c r="C721" s="27" t="s">
        <v>3682</v>
      </c>
      <c r="E721" s="27">
        <v>-1</v>
      </c>
      <c r="F721" s="27">
        <v>-1</v>
      </c>
      <c r="H721" s="27">
        <v>13</v>
      </c>
      <c r="I721" s="27" t="str">
        <f>IF(H721="","",VLOOKUP(H721,'#状态名词'!$A$2:$C$99,2))</f>
        <v>arm</v>
      </c>
      <c r="J721" s="27" t="str">
        <f>IF(H721="","",VLOOKUP(H721,'#状态名词'!$A$2:$C$99,3))</f>
        <v>ARM+</v>
      </c>
      <c r="K721" s="26">
        <v>65</v>
      </c>
    </row>
    <row r="722" spans="1:11">
      <c r="A722" s="27">
        <v>31087</v>
      </c>
      <c r="B722" s="20" t="s">
        <v>7309</v>
      </c>
      <c r="C722" s="27" t="s">
        <v>3683</v>
      </c>
      <c r="E722" s="27">
        <v>-1</v>
      </c>
      <c r="F722" s="27">
        <v>-1</v>
      </c>
      <c r="H722" s="27">
        <v>58</v>
      </c>
      <c r="I722" s="27" t="str">
        <f>IF(H722="","",VLOOKUP(H722,'#状态名词'!$A$2:$C$99,2))</f>
        <v>vit</v>
      </c>
      <c r="J722" s="27" t="str">
        <f>IF(H722="","",VLOOKUP(H722,'#状态名词'!$A$2:$C$99,3))</f>
        <v>体力</v>
      </c>
      <c r="K722" s="26">
        <v>60</v>
      </c>
    </row>
    <row r="723" spans="1:11">
      <c r="B723" s="20" t="s">
        <v>84</v>
      </c>
      <c r="E723" s="27">
        <v>-1</v>
      </c>
      <c r="F723" s="27">
        <v>-1</v>
      </c>
      <c r="H723" s="27">
        <v>35</v>
      </c>
      <c r="I723" s="27" t="str">
        <f>IF(H723="","",VLOOKUP(H723,'#状态名词'!$A$2:$C$99,2))</f>
        <v>reelement</v>
      </c>
      <c r="J723" s="27" t="str">
        <f>IF(H723="","",VLOOKUP(H723,'#状态名词'!$A$2:$C$99,3))</f>
        <v>全属性抗性</v>
      </c>
      <c r="K723" s="26">
        <v>10</v>
      </c>
    </row>
    <row r="724" spans="1:11">
      <c r="A724" s="27">
        <v>31088</v>
      </c>
      <c r="B724" s="20" t="s">
        <v>7310</v>
      </c>
      <c r="C724" s="27" t="s">
        <v>3684</v>
      </c>
      <c r="E724" s="27">
        <v>1</v>
      </c>
      <c r="F724" s="27">
        <v>0</v>
      </c>
      <c r="H724" s="27">
        <v>54</v>
      </c>
      <c r="I724" s="27" t="str">
        <f>IF(H724="","",VLOOKUP(H724,'#状态名词'!$A$2:$C$99,2))</f>
        <v>spi</v>
      </c>
      <c r="J724" s="27" t="str">
        <f>IF(H724="","",VLOOKUP(H724,'#状态名词'!$A$2:$C$99,3))</f>
        <v>精神</v>
      </c>
      <c r="K724" s="26">
        <v>1000</v>
      </c>
    </row>
    <row r="725" spans="1:11">
      <c r="A725" s="27">
        <v>31089</v>
      </c>
      <c r="B725" s="20" t="s">
        <v>7307</v>
      </c>
      <c r="C725" s="27" t="s">
        <v>3685</v>
      </c>
      <c r="E725" s="27">
        <v>1</v>
      </c>
      <c r="F725" s="27">
        <v>0</v>
      </c>
      <c r="H725" s="27">
        <v>38</v>
      </c>
      <c r="I725" s="27" t="str">
        <f>IF(H725="","",VLOOKUP(H725,'#状态名词'!$A$2:$C$99,2))</f>
        <v>hurt_damage</v>
      </c>
      <c r="J725" s="27" t="str">
        <f>IF(H725="","",VLOOKUP(H725,'#状态名词'!$A$2:$C$99,3))</f>
        <v>被攻击造成伤害</v>
      </c>
      <c r="K725" s="26" t="s">
        <v>5381</v>
      </c>
    </row>
    <row r="726" spans="1:11">
      <c r="B726" s="20" t="s">
        <v>84</v>
      </c>
      <c r="E726" s="27">
        <v>-1</v>
      </c>
      <c r="F726" s="27">
        <v>-1</v>
      </c>
      <c r="H726" s="27">
        <v>65</v>
      </c>
      <c r="I726" s="27" t="str">
        <f>IF(H726="","",VLOOKUP(H726,'#状态名词'!$A$2:$C$99,2))</f>
        <v>str</v>
      </c>
      <c r="J726" s="27" t="str">
        <f>IF(H726="","",VLOOKUP(H726,'#状态名词'!$A$2:$C$99,3))</f>
        <v>力量</v>
      </c>
      <c r="K726" s="26">
        <v>30</v>
      </c>
    </row>
    <row r="727" spans="1:11">
      <c r="B727" s="20" t="s">
        <v>84</v>
      </c>
      <c r="E727" s="27">
        <v>-1</v>
      </c>
      <c r="F727" s="27">
        <v>-1</v>
      </c>
      <c r="H727" s="27">
        <v>67</v>
      </c>
      <c r="I727" s="27" t="str">
        <f>IF(H727="","",VLOOKUP(H727,'#状态名词'!$A$2:$C$99,2))</f>
        <v>inte</v>
      </c>
      <c r="J727" s="27" t="str">
        <f>IF(H727="","",VLOOKUP(H727,'#状态名词'!$A$2:$C$99,3))</f>
        <v>智力</v>
      </c>
      <c r="K727" s="26">
        <v>30</v>
      </c>
    </row>
    <row r="728" spans="1:11">
      <c r="A728" s="27">
        <v>31090</v>
      </c>
      <c r="B728" s="20" t="e">
        <v>#N/A</v>
      </c>
      <c r="C728" s="27" t="s">
        <v>3686</v>
      </c>
      <c r="E728" s="27">
        <v>-1</v>
      </c>
      <c r="F728" s="27">
        <v>-1</v>
      </c>
      <c r="H728" s="27">
        <v>71</v>
      </c>
      <c r="I728" s="27" t="str">
        <f>IF(H728="","",VLOOKUP(H728,'#状态名词'!$A$2:$C$99,2))</f>
        <v>sk_level</v>
      </c>
      <c r="J728" s="27" t="str">
        <f>IF(H728="","",VLOOKUP(H728,'#状态名词'!$A$2:$C$99,3))</f>
        <v>增加某个技能等级</v>
      </c>
      <c r="K728" s="26" t="s">
        <v>5382</v>
      </c>
    </row>
    <row r="729" spans="1:11">
      <c r="A729" s="27">
        <v>31091</v>
      </c>
      <c r="B729" s="20" t="s">
        <v>7312</v>
      </c>
      <c r="C729" s="27" t="s">
        <v>3687</v>
      </c>
      <c r="E729" s="27">
        <v>-1</v>
      </c>
      <c r="F729" s="27">
        <v>1</v>
      </c>
      <c r="H729" s="27">
        <v>14</v>
      </c>
      <c r="I729" s="27" t="str">
        <f>IF(H729="","",VLOOKUP(H729,'#状态名词'!$A$2:$C$99,2))</f>
        <v>arm_per</v>
      </c>
      <c r="J729" s="27" t="str">
        <f>IF(H729="","",VLOOKUP(H729,'#状态名词'!$A$2:$C$99,3))</f>
        <v>护甲百分比</v>
      </c>
      <c r="K729" s="26">
        <v>10</v>
      </c>
    </row>
    <row r="730" spans="1:11">
      <c r="A730" s="27">
        <v>31092</v>
      </c>
      <c r="B730" s="20" t="s">
        <v>7308</v>
      </c>
      <c r="C730" s="27" t="s">
        <v>3688</v>
      </c>
      <c r="E730" s="27">
        <v>-1</v>
      </c>
      <c r="F730" s="27">
        <v>-1</v>
      </c>
      <c r="H730" s="27">
        <v>24</v>
      </c>
      <c r="I730" s="27" t="str">
        <f>IF(H730="","",VLOOKUP(H730,'#状态名词'!$A$2:$C$99,2))</f>
        <v>heal</v>
      </c>
      <c r="J730" s="27" t="str">
        <f>IF(H730="","",VLOOKUP(H730,'#状态名词'!$A$2:$C$99,3))</f>
        <v>治疗效果+</v>
      </c>
      <c r="K730" s="26">
        <v>200</v>
      </c>
    </row>
    <row r="731" spans="1:11">
      <c r="A731" s="27">
        <v>31093</v>
      </c>
      <c r="B731" s="20" t="e">
        <v>#N/A</v>
      </c>
      <c r="C731" s="27" t="s">
        <v>3689</v>
      </c>
      <c r="E731" s="27">
        <v>-1</v>
      </c>
      <c r="F731" s="27">
        <v>-1</v>
      </c>
      <c r="H731" s="27">
        <v>71</v>
      </c>
      <c r="I731" s="27" t="str">
        <f>IF(H731="","",VLOOKUP(H731,'#状态名词'!$A$2:$C$99,2))</f>
        <v>sk_level</v>
      </c>
      <c r="J731" s="27" t="str">
        <f>IF(H731="","",VLOOKUP(H731,'#状态名词'!$A$2:$C$99,3))</f>
        <v>增加某个技能等级</v>
      </c>
      <c r="K731" s="26" t="s">
        <v>5383</v>
      </c>
    </row>
    <row r="732" spans="1:11">
      <c r="A732" s="27">
        <v>31094</v>
      </c>
      <c r="B732" s="20" t="s">
        <v>7314</v>
      </c>
      <c r="C732" s="27" t="s">
        <v>3690</v>
      </c>
      <c r="E732" s="27">
        <v>1</v>
      </c>
      <c r="F732" s="27">
        <v>-1</v>
      </c>
      <c r="H732" s="27">
        <v>42</v>
      </c>
      <c r="I732" s="27" t="str">
        <f>IF(H732="","",VLOOKUP(H732,'#状态名词'!$A$2:$C$99,2))</f>
        <v>turn_heal</v>
      </c>
      <c r="J732" s="27" t="str">
        <f>IF(H732="","",VLOOKUP(H732,'#状态名词'!$A$2:$C$99,3))</f>
        <v>回合回复</v>
      </c>
      <c r="K732" s="26" t="s">
        <v>5384</v>
      </c>
    </row>
    <row r="733" spans="1:11">
      <c r="A733" s="20">
        <v>31095</v>
      </c>
      <c r="B733" s="27" t="s">
        <v>7315</v>
      </c>
      <c r="C733" s="32" t="s">
        <v>3691</v>
      </c>
      <c r="E733" s="27">
        <v>-1</v>
      </c>
      <c r="F733" s="27">
        <v>-1</v>
      </c>
      <c r="H733" s="27">
        <v>13</v>
      </c>
      <c r="I733" s="27" t="str">
        <f>IF(H733="","",VLOOKUP(H733,'#状态名词'!$A$2:$C$99,2))</f>
        <v>arm</v>
      </c>
      <c r="J733" s="27" t="str">
        <f>IF(H733="","",VLOOKUP(H733,'#状态名词'!$A$2:$C$99,3))</f>
        <v>ARM+</v>
      </c>
      <c r="K733" s="26">
        <v>-35</v>
      </c>
    </row>
    <row r="734" spans="1:11">
      <c r="A734" s="20">
        <v>31096</v>
      </c>
      <c r="B734" s="27" t="e">
        <v>#N/A</v>
      </c>
      <c r="C734" s="32" t="s">
        <v>3692</v>
      </c>
      <c r="E734" s="27">
        <v>-1</v>
      </c>
      <c r="F734" s="27">
        <v>-1</v>
      </c>
      <c r="H734" s="27">
        <v>71</v>
      </c>
      <c r="I734" s="27" t="str">
        <f>IF(H734="","",VLOOKUP(H734,'#状态名词'!$A$2:$C$99,2))</f>
        <v>sk_level</v>
      </c>
      <c r="J734" s="27" t="str">
        <f>IF(H734="","",VLOOKUP(H734,'#状态名词'!$A$2:$C$99,3))</f>
        <v>增加某个技能等级</v>
      </c>
      <c r="K734" s="26" t="s">
        <v>5385</v>
      </c>
    </row>
    <row r="735" spans="1:11">
      <c r="A735" s="20">
        <v>31097</v>
      </c>
      <c r="B735" s="27" t="s">
        <v>7319</v>
      </c>
      <c r="C735" s="32" t="s">
        <v>3693</v>
      </c>
      <c r="E735" s="27">
        <v>-1</v>
      </c>
      <c r="F735" s="27">
        <v>-1</v>
      </c>
      <c r="H735" s="27">
        <v>30</v>
      </c>
      <c r="I735" s="27" t="str">
        <f>IF(H735="","",VLOOKUP(H735,'#状态名词'!$A$2:$C$99,2))</f>
        <v>elementup</v>
      </c>
      <c r="J735" s="27" t="str">
        <f>IF(H735="","",VLOOKUP(H735,'#状态名词'!$A$2:$C$99,3))</f>
        <v>全属性强化</v>
      </c>
      <c r="K735" s="26">
        <v>20</v>
      </c>
    </row>
    <row r="736" spans="1:11">
      <c r="A736" s="20">
        <v>31098</v>
      </c>
      <c r="B736" s="27" t="s">
        <v>7316</v>
      </c>
      <c r="C736" s="32" t="s">
        <v>3694</v>
      </c>
      <c r="E736" s="27">
        <v>-1</v>
      </c>
      <c r="F736" s="27">
        <v>-1</v>
      </c>
      <c r="H736" s="27">
        <v>67</v>
      </c>
      <c r="I736" s="27" t="str">
        <f>IF(H736="","",VLOOKUP(H736,'#状态名词'!$A$2:$C$99,2))</f>
        <v>inte</v>
      </c>
      <c r="J736" s="27" t="str">
        <f>IF(H736="","",VLOOKUP(H736,'#状态名词'!$A$2:$C$99,3))</f>
        <v>智力</v>
      </c>
      <c r="K736" s="26">
        <v>50</v>
      </c>
    </row>
    <row r="737" spans="1:11">
      <c r="A737" s="20">
        <v>31099</v>
      </c>
      <c r="B737" s="27" t="e">
        <v>#N/A</v>
      </c>
      <c r="C737" s="32" t="s">
        <v>3695</v>
      </c>
      <c r="E737" s="27">
        <v>-1</v>
      </c>
      <c r="F737" s="27">
        <v>-1</v>
      </c>
      <c r="H737" s="27">
        <v>71</v>
      </c>
      <c r="I737" s="27" t="str">
        <f>IF(H737="","",VLOOKUP(H737,'#状态名词'!$A$2:$C$99,2))</f>
        <v>sk_level</v>
      </c>
      <c r="J737" s="27" t="str">
        <f>IF(H737="","",VLOOKUP(H737,'#状态名词'!$A$2:$C$99,3))</f>
        <v>增加某个技能等级</v>
      </c>
      <c r="K737" s="26" t="s">
        <v>5386</v>
      </c>
    </row>
    <row r="738" spans="1:11">
      <c r="A738" s="20">
        <v>31100</v>
      </c>
      <c r="B738" s="27" t="s">
        <v>7321</v>
      </c>
      <c r="C738" s="32" t="s">
        <v>3696</v>
      </c>
      <c r="E738" s="27">
        <v>-1</v>
      </c>
      <c r="F738" s="27">
        <v>-1</v>
      </c>
      <c r="H738" s="27">
        <v>15</v>
      </c>
      <c r="I738" s="27" t="str">
        <f>IF(H738="","",VLOOKUP(H738,'#状态名词'!$A$2:$C$99,2))</f>
        <v>mr</v>
      </c>
      <c r="J738" s="27" t="str">
        <f>IF(H738="","",VLOOKUP(H738,'#状态名词'!$A$2:$C$99,3))</f>
        <v>MR+</v>
      </c>
      <c r="K738" s="26">
        <v>2000</v>
      </c>
    </row>
    <row r="739" spans="1:11">
      <c r="A739" s="20"/>
      <c r="B739" s="27" t="s">
        <v>84</v>
      </c>
      <c r="C739" s="32"/>
      <c r="E739" s="27">
        <v>-1</v>
      </c>
      <c r="F739" s="27">
        <v>-1</v>
      </c>
      <c r="H739" s="27">
        <v>18</v>
      </c>
      <c r="I739" s="27" t="str">
        <f>IF(H739="","",VLOOKUP(H739,'#状态名词'!$A$2:$C$99,2))</f>
        <v>api</v>
      </c>
      <c r="J739" s="27" t="str">
        <f>IF(H739="","",VLOOKUP(H739,'#状态名词'!$A$2:$C$99,3))</f>
        <v>法穿</v>
      </c>
      <c r="K739" s="26">
        <v>1000</v>
      </c>
    </row>
    <row r="740" spans="1:11">
      <c r="A740" s="20">
        <v>31101</v>
      </c>
      <c r="B740" s="27" t="e">
        <v>#N/A</v>
      </c>
      <c r="C740" s="32" t="s">
        <v>3697</v>
      </c>
      <c r="E740" s="27">
        <v>-1</v>
      </c>
      <c r="F740" s="27">
        <v>-1</v>
      </c>
      <c r="H740" s="27">
        <v>74</v>
      </c>
      <c r="I740" s="27" t="str">
        <f>IF(H740="","",VLOOKUP(H740,'#状态名词'!$A$2:$C$99,2))</f>
        <v>sk_levelprofession</v>
      </c>
      <c r="J740" s="27" t="str">
        <f>IF(H740="","",VLOOKUP(H740,'#状态名词'!$A$2:$C$99,3))</f>
        <v>增加某个职业技能</v>
      </c>
      <c r="K740" s="26" t="s">
        <v>6230</v>
      </c>
    </row>
    <row r="741" spans="1:11">
      <c r="A741" s="20">
        <v>31102</v>
      </c>
      <c r="B741" s="27" t="s">
        <v>7322</v>
      </c>
      <c r="C741" s="32" t="s">
        <v>3698</v>
      </c>
      <c r="E741" s="27">
        <v>-1</v>
      </c>
      <c r="F741" s="27">
        <v>-1</v>
      </c>
      <c r="H741" s="27">
        <v>28</v>
      </c>
      <c r="I741" s="27" t="str">
        <f>IF(H741="","",VLOOKUP(H741,'#状态名词'!$A$2:$C$99,2))</f>
        <v>lightup</v>
      </c>
      <c r="J741" s="27" t="str">
        <f>IF(H741="","",VLOOKUP(H741,'#状态名词'!$A$2:$C$99,3))</f>
        <v>光属性强化</v>
      </c>
      <c r="K741" s="26">
        <v>10</v>
      </c>
    </row>
    <row r="742" spans="1:11">
      <c r="A742" s="20">
        <v>31103</v>
      </c>
      <c r="B742" s="27" t="e">
        <v>#N/A</v>
      </c>
      <c r="C742" s="32" t="s">
        <v>3699</v>
      </c>
      <c r="E742" s="27">
        <v>-1</v>
      </c>
      <c r="F742" s="27">
        <v>-1</v>
      </c>
      <c r="H742" s="27">
        <v>72</v>
      </c>
      <c r="I742" s="27" t="str">
        <f>IF(H742="","",VLOOKUP(H742,'#状态名词'!$A$2:$C$99,2))</f>
        <v>sk_levelpos</v>
      </c>
      <c r="J742" s="27" t="str">
        <f>IF(H742="","",VLOOKUP(H742,'#状态名词'!$A$2:$C$99,3))</f>
        <v>增加主角第几层的技能</v>
      </c>
      <c r="K742" s="26" t="s">
        <v>5387</v>
      </c>
    </row>
    <row r="743" spans="1:11">
      <c r="A743" s="20">
        <v>31104</v>
      </c>
      <c r="B743" s="27" t="s">
        <v>7230</v>
      </c>
      <c r="C743" s="32" t="s">
        <v>4544</v>
      </c>
      <c r="E743" s="27">
        <v>1</v>
      </c>
      <c r="F743" s="27">
        <v>-1</v>
      </c>
      <c r="H743" s="27">
        <v>65</v>
      </c>
      <c r="I743" s="27" t="str">
        <f>IF(H743="","",VLOOKUP(H743,'#状态名词'!$A$2:$C$99,2))</f>
        <v>str</v>
      </c>
      <c r="J743" s="27" t="str">
        <f>IF(H743="","",VLOOKUP(H743,'#状态名词'!$A$2:$C$99,3))</f>
        <v>力量</v>
      </c>
      <c r="K743" s="26" t="s">
        <v>5359</v>
      </c>
    </row>
    <row r="744" spans="1:11">
      <c r="A744" s="20"/>
      <c r="B744" s="27" t="s">
        <v>84</v>
      </c>
      <c r="C744" s="32"/>
      <c r="H744" s="27">
        <v>67</v>
      </c>
      <c r="I744" s="27" t="str">
        <f>IF(H744="","",VLOOKUP(H744,'#状态名词'!$A$2:$C$99,2))</f>
        <v>inte</v>
      </c>
      <c r="J744" s="27" t="str">
        <f>IF(H744="","",VLOOKUP(H744,'#状态名词'!$A$2:$C$99,3))</f>
        <v>智力</v>
      </c>
      <c r="K744" s="26" t="s">
        <v>5359</v>
      </c>
    </row>
    <row r="745" spans="1:11">
      <c r="A745" s="20"/>
      <c r="B745" s="27" t="s">
        <v>84</v>
      </c>
      <c r="C745" s="32"/>
      <c r="H745" s="27">
        <v>58</v>
      </c>
      <c r="I745" s="27" t="str">
        <f>IF(H745="","",VLOOKUP(H745,'#状态名词'!$A$2:$C$99,2))</f>
        <v>vit</v>
      </c>
      <c r="J745" s="27" t="str">
        <f>IF(H745="","",VLOOKUP(H745,'#状态名词'!$A$2:$C$99,3))</f>
        <v>体力</v>
      </c>
      <c r="K745" s="26" t="s">
        <v>5359</v>
      </c>
    </row>
    <row r="746" spans="1:11">
      <c r="A746" s="20"/>
      <c r="B746" s="27" t="s">
        <v>84</v>
      </c>
      <c r="C746" s="32"/>
      <c r="H746" s="27">
        <v>54</v>
      </c>
      <c r="I746" s="27" t="str">
        <f>IF(H746="","",VLOOKUP(H746,'#状态名词'!$A$2:$C$99,2))</f>
        <v>spi</v>
      </c>
      <c r="J746" s="27" t="str">
        <f>IF(H746="","",VLOOKUP(H746,'#状态名词'!$A$2:$C$99,3))</f>
        <v>精神</v>
      </c>
      <c r="K746" s="26" t="s">
        <v>5359</v>
      </c>
    </row>
    <row r="747" spans="1:11">
      <c r="A747" s="20">
        <v>31105</v>
      </c>
      <c r="B747" s="27" t="e">
        <v>#N/A</v>
      </c>
      <c r="C747" s="32" t="s">
        <v>4545</v>
      </c>
      <c r="E747" s="27">
        <v>1</v>
      </c>
      <c r="F747" s="27">
        <v>-1</v>
      </c>
      <c r="H747" s="27">
        <v>74</v>
      </c>
      <c r="I747" s="27" t="str">
        <f>IF(H747="","",VLOOKUP(H747,'#状态名词'!$A$2:$C$99,2))</f>
        <v>sk_levelprofession</v>
      </c>
      <c r="J747" s="27" t="str">
        <f>IF(H747="","",VLOOKUP(H747,'#状态名词'!$A$2:$C$99,3))</f>
        <v>增加某个职业技能</v>
      </c>
      <c r="K747" s="26" t="s">
        <v>5388</v>
      </c>
    </row>
    <row r="748" spans="1:11">
      <c r="A748" s="20">
        <v>31106</v>
      </c>
      <c r="B748" s="27" t="e">
        <v>#N/A</v>
      </c>
      <c r="C748" s="32" t="s">
        <v>4546</v>
      </c>
      <c r="E748" s="27">
        <v>1</v>
      </c>
      <c r="F748" s="27">
        <v>-1</v>
      </c>
      <c r="H748" s="27">
        <v>74</v>
      </c>
      <c r="I748" s="27" t="str">
        <f>IF(H748="","",VLOOKUP(H748,'#状态名词'!$A$2:$C$99,2))</f>
        <v>sk_levelprofession</v>
      </c>
      <c r="J748" s="27" t="str">
        <f>IF(H748="","",VLOOKUP(H748,'#状态名词'!$A$2:$C$99,3))</f>
        <v>增加某个职业技能</v>
      </c>
      <c r="K748" s="26" t="s">
        <v>6225</v>
      </c>
    </row>
    <row r="749" spans="1:11">
      <c r="A749" s="20">
        <v>31107</v>
      </c>
      <c r="B749" s="27" t="e">
        <v>#N/A</v>
      </c>
      <c r="C749" s="32" t="s">
        <v>4547</v>
      </c>
      <c r="E749" s="27">
        <v>1</v>
      </c>
      <c r="F749" s="27">
        <v>-1</v>
      </c>
      <c r="H749" s="27">
        <v>74</v>
      </c>
      <c r="I749" s="27" t="str">
        <f>IF(H749="","",VLOOKUP(H749,'#状态名词'!$A$2:$C$99,2))</f>
        <v>sk_levelprofession</v>
      </c>
      <c r="J749" s="27" t="str">
        <f>IF(H749="","",VLOOKUP(H749,'#状态名词'!$A$2:$C$99,3))</f>
        <v>增加某个职业技能</v>
      </c>
      <c r="K749" s="26" t="s">
        <v>6226</v>
      </c>
    </row>
    <row r="750" spans="1:11">
      <c r="A750" s="20">
        <v>31108</v>
      </c>
      <c r="B750" s="27" t="e">
        <v>#N/A</v>
      </c>
      <c r="C750" s="32" t="s">
        <v>4548</v>
      </c>
      <c r="E750" s="27">
        <v>1</v>
      </c>
      <c r="F750" s="27">
        <v>-1</v>
      </c>
      <c r="H750" s="27">
        <v>74</v>
      </c>
      <c r="I750" s="27" t="str">
        <f>IF(H750="","",VLOOKUP(H750,'#状态名词'!$A$2:$C$99,2))</f>
        <v>sk_levelprofession</v>
      </c>
      <c r="J750" s="27" t="str">
        <f>IF(H750="","",VLOOKUP(H750,'#状态名词'!$A$2:$C$99,3))</f>
        <v>增加某个职业技能</v>
      </c>
      <c r="K750" s="26" t="s">
        <v>6227</v>
      </c>
    </row>
    <row r="751" spans="1:11">
      <c r="A751" s="20">
        <v>31109</v>
      </c>
      <c r="B751" s="27" t="e">
        <v>#N/A</v>
      </c>
      <c r="C751" s="32" t="s">
        <v>4549</v>
      </c>
      <c r="E751" s="27">
        <v>1</v>
      </c>
      <c r="F751" s="27">
        <v>-1</v>
      </c>
      <c r="H751" s="27">
        <v>74</v>
      </c>
      <c r="I751" s="27" t="str">
        <f>IF(H751="","",VLOOKUP(H751,'#状态名词'!$A$2:$C$99,2))</f>
        <v>sk_levelprofession</v>
      </c>
      <c r="J751" s="27" t="str">
        <f>IF(H751="","",VLOOKUP(H751,'#状态名词'!$A$2:$C$99,3))</f>
        <v>增加某个职业技能</v>
      </c>
      <c r="K751" s="26" t="s">
        <v>6228</v>
      </c>
    </row>
    <row r="752" spans="1:11">
      <c r="A752" s="20">
        <v>31110</v>
      </c>
      <c r="B752" s="27" t="e">
        <v>#N/A</v>
      </c>
      <c r="C752" s="32" t="s">
        <v>4550</v>
      </c>
      <c r="E752" s="27">
        <v>1</v>
      </c>
      <c r="F752" s="27">
        <v>-1</v>
      </c>
      <c r="H752" s="27">
        <v>74</v>
      </c>
      <c r="I752" s="27" t="str">
        <f>IF(H752="","",VLOOKUP(H752,'#状态名词'!$A$2:$C$99,2))</f>
        <v>sk_levelprofession</v>
      </c>
      <c r="J752" s="27" t="str">
        <f>IF(H752="","",VLOOKUP(H752,'#状态名词'!$A$2:$C$99,3))</f>
        <v>增加某个职业技能</v>
      </c>
      <c r="K752" s="26" t="s">
        <v>6229</v>
      </c>
    </row>
    <row r="753" spans="1:11">
      <c r="A753" s="20">
        <v>31111</v>
      </c>
      <c r="B753" s="27" t="e">
        <v>#N/A</v>
      </c>
      <c r="C753" s="32" t="s">
        <v>4551</v>
      </c>
      <c r="E753" s="27">
        <v>1</v>
      </c>
      <c r="F753" s="27">
        <v>-1</v>
      </c>
      <c r="H753" s="27">
        <v>74</v>
      </c>
      <c r="I753" s="27" t="str">
        <f>IF(H753="","",VLOOKUP(H753,'#状态名词'!$A$2:$C$99,2))</f>
        <v>sk_levelprofession</v>
      </c>
      <c r="J753" s="27" t="str">
        <f>IF(H753="","",VLOOKUP(H753,'#状态名词'!$A$2:$C$99,3))</f>
        <v>增加某个职业技能</v>
      </c>
      <c r="K753" s="26" t="s">
        <v>6230</v>
      </c>
    </row>
    <row r="754" spans="1:11">
      <c r="A754" s="20">
        <v>31112</v>
      </c>
      <c r="B754" s="27" t="s">
        <v>7400</v>
      </c>
      <c r="C754" s="32" t="s">
        <v>4552</v>
      </c>
      <c r="E754" s="27">
        <v>1</v>
      </c>
      <c r="F754" s="27">
        <v>-1</v>
      </c>
      <c r="H754" s="27">
        <v>65</v>
      </c>
      <c r="I754" s="27" t="str">
        <f>IF(H754="","",VLOOKUP(H754,'#状态名词'!$A$2:$C$99,2))</f>
        <v>str</v>
      </c>
      <c r="J754" s="27" t="str">
        <f>IF(H754="","",VLOOKUP(H754,'#状态名词'!$A$2:$C$99,3))</f>
        <v>力量</v>
      </c>
      <c r="K754" s="26" t="s">
        <v>5337</v>
      </c>
    </row>
    <row r="755" spans="1:11">
      <c r="A755" s="20"/>
      <c r="B755" s="27" t="s">
        <v>84</v>
      </c>
      <c r="C755" s="32"/>
      <c r="H755" s="27">
        <v>67</v>
      </c>
      <c r="I755" s="27" t="str">
        <f>IF(H755="","",VLOOKUP(H755,'#状态名词'!$A$2:$C$99,2))</f>
        <v>inte</v>
      </c>
      <c r="J755" s="27" t="str">
        <f>IF(H755="","",VLOOKUP(H755,'#状态名词'!$A$2:$C$99,3))</f>
        <v>智力</v>
      </c>
      <c r="K755" s="26" t="s">
        <v>5337</v>
      </c>
    </row>
    <row r="756" spans="1:11">
      <c r="A756" s="20"/>
      <c r="B756" s="27" t="s">
        <v>84</v>
      </c>
      <c r="C756" s="32"/>
      <c r="H756" s="27">
        <v>58</v>
      </c>
      <c r="I756" s="27" t="str">
        <f>IF(H756="","",VLOOKUP(H756,'#状态名词'!$A$2:$C$99,2))</f>
        <v>vit</v>
      </c>
      <c r="J756" s="27" t="str">
        <f>IF(H756="","",VLOOKUP(H756,'#状态名词'!$A$2:$C$99,3))</f>
        <v>体力</v>
      </c>
      <c r="K756" s="26" t="s">
        <v>5337</v>
      </c>
    </row>
    <row r="757" spans="1:11">
      <c r="A757" s="20"/>
      <c r="B757" s="27" t="s">
        <v>84</v>
      </c>
      <c r="C757" s="32"/>
      <c r="H757" s="27">
        <v>54</v>
      </c>
      <c r="I757" s="27" t="str">
        <f>IF(H757="","",VLOOKUP(H757,'#状态名词'!$A$2:$C$99,2))</f>
        <v>spi</v>
      </c>
      <c r="J757" s="27" t="str">
        <f>IF(H757="","",VLOOKUP(H757,'#状态名词'!$A$2:$C$99,3))</f>
        <v>精神</v>
      </c>
      <c r="K757" s="26" t="s">
        <v>5337</v>
      </c>
    </row>
    <row r="758" spans="1:11">
      <c r="A758" s="20">
        <v>31113</v>
      </c>
      <c r="B758" s="27" t="s">
        <v>7401</v>
      </c>
      <c r="C758" s="32" t="s">
        <v>5389</v>
      </c>
      <c r="E758" s="27">
        <v>1</v>
      </c>
      <c r="F758" s="27">
        <v>0</v>
      </c>
      <c r="H758" s="27">
        <v>75</v>
      </c>
      <c r="I758" s="27" t="str">
        <f>IF(H758="","",VLOOKUP(H758,'#状态名词'!$A$2:$C$99,2))</f>
        <v>action_useskill</v>
      </c>
      <c r="J758" s="27" t="str">
        <f>IF(H758="","",VLOOKUP(H758,'#状态名词'!$A$2:$C$99,3))</f>
        <v>行动时有几率使用技能</v>
      </c>
      <c r="K758" s="26" t="s">
        <v>6454</v>
      </c>
    </row>
    <row r="759" spans="1:11">
      <c r="A759" s="20">
        <v>31115</v>
      </c>
      <c r="B759" s="27" t="s">
        <v>7402</v>
      </c>
      <c r="C759" s="32" t="s">
        <v>4553</v>
      </c>
      <c r="E759" s="27">
        <v>1</v>
      </c>
      <c r="F759" s="27">
        <v>-1</v>
      </c>
      <c r="H759" s="27">
        <v>21</v>
      </c>
      <c r="I759" s="27" t="str">
        <f>IF(H759="","",VLOOKUP(H759,'#状态名词'!$A$2:$C$99,2))</f>
        <v>speed</v>
      </c>
      <c r="J759" s="27" t="str">
        <f>IF(H759="","",VLOOKUP(H759,'#状态名词'!$A$2:$C$99,3))</f>
        <v>速度+</v>
      </c>
      <c r="K759" s="26" t="s">
        <v>5390</v>
      </c>
    </row>
    <row r="760" spans="1:11">
      <c r="A760" s="20">
        <v>31116</v>
      </c>
      <c r="B760" s="27" t="s">
        <v>7403</v>
      </c>
      <c r="C760" s="32" t="s">
        <v>4554</v>
      </c>
      <c r="E760" s="27">
        <v>-1</v>
      </c>
      <c r="F760" s="27">
        <v>-1</v>
      </c>
      <c r="H760" s="27">
        <v>21</v>
      </c>
      <c r="I760" s="27" t="str">
        <f>IF(H760="","",VLOOKUP(H760,'#状态名词'!$A$2:$C$99,2))</f>
        <v>speed</v>
      </c>
      <c r="J760" s="27" t="str">
        <f>IF(H760="","",VLOOKUP(H760,'#状态名词'!$A$2:$C$99,3))</f>
        <v>速度+</v>
      </c>
      <c r="K760" s="26" t="s">
        <v>5346</v>
      </c>
    </row>
    <row r="761" spans="1:11">
      <c r="A761" s="20">
        <v>31117</v>
      </c>
      <c r="B761" s="27" t="s">
        <v>7404</v>
      </c>
      <c r="C761" s="32" t="s">
        <v>4555</v>
      </c>
      <c r="E761" s="27">
        <v>1</v>
      </c>
      <c r="F761" s="27">
        <v>-1</v>
      </c>
      <c r="H761" s="27">
        <v>30</v>
      </c>
      <c r="I761" s="27" t="str">
        <f>IF(H761="","",VLOOKUP(H761,'#状态名词'!$A$2:$C$99,2))</f>
        <v>elementup</v>
      </c>
      <c r="J761" s="27" t="str">
        <f>IF(H761="","",VLOOKUP(H761,'#状态名词'!$A$2:$C$99,3))</f>
        <v>全属性强化</v>
      </c>
      <c r="K761" s="26" t="s">
        <v>5337</v>
      </c>
    </row>
    <row r="762" spans="1:11">
      <c r="A762" s="20">
        <v>31118</v>
      </c>
      <c r="B762" s="27" t="s">
        <v>7405</v>
      </c>
      <c r="C762" s="32" t="s">
        <v>4556</v>
      </c>
      <c r="E762" s="27">
        <v>-1</v>
      </c>
      <c r="F762" s="27">
        <v>-1</v>
      </c>
      <c r="H762" s="27">
        <v>30</v>
      </c>
      <c r="I762" s="27" t="str">
        <f>IF(H762="","",VLOOKUP(H762,'#状态名词'!$A$2:$C$99,2))</f>
        <v>elementup</v>
      </c>
      <c r="J762" s="27" t="str">
        <f>IF(H762="","",VLOOKUP(H762,'#状态名词'!$A$2:$C$99,3))</f>
        <v>全属性强化</v>
      </c>
      <c r="K762" s="26" t="s">
        <v>5342</v>
      </c>
    </row>
    <row r="763" spans="1:11">
      <c r="A763" s="27">
        <v>31119</v>
      </c>
      <c r="B763" s="27" t="s">
        <v>7406</v>
      </c>
      <c r="C763" s="27" t="s">
        <v>4557</v>
      </c>
      <c r="E763" s="27">
        <v>1</v>
      </c>
      <c r="F763" s="27">
        <v>-1</v>
      </c>
      <c r="H763" s="27">
        <v>19</v>
      </c>
      <c r="I763" s="27" t="str">
        <f>IF(H763="","",VLOOKUP(H763,'#状态名词'!$A$2:$C$99,2))</f>
        <v>rating</v>
      </c>
      <c r="J763" s="27" t="str">
        <f>IF(H763="","",VLOOKUP(H763,'#状态名词'!$A$2:$C$99,3))</f>
        <v>暴击+</v>
      </c>
      <c r="K763" s="26" t="s">
        <v>5391</v>
      </c>
    </row>
    <row r="764" spans="1:11">
      <c r="A764" s="27">
        <v>31120</v>
      </c>
      <c r="B764" s="27" t="s">
        <v>7407</v>
      </c>
      <c r="C764" s="27" t="s">
        <v>4494</v>
      </c>
      <c r="E764" s="27">
        <v>1</v>
      </c>
      <c r="F764" s="27">
        <v>-1</v>
      </c>
      <c r="H764" s="27">
        <v>20</v>
      </c>
      <c r="I764" s="27" t="str">
        <f>IF(H764="","",VLOOKUP(H764,'#状态名词'!$A$2:$C$99,2))</f>
        <v>ratingdamage</v>
      </c>
      <c r="J764" s="27" t="str">
        <f>IF(H764="","",VLOOKUP(H764,'#状态名词'!$A$2:$C$99,3))</f>
        <v>暴伤+</v>
      </c>
      <c r="K764" s="26" t="s">
        <v>5346</v>
      </c>
    </row>
    <row r="765" spans="1:11">
      <c r="A765" s="27">
        <v>31121</v>
      </c>
      <c r="B765" s="27" t="e">
        <v>#N/A</v>
      </c>
      <c r="C765" s="27" t="s">
        <v>4558</v>
      </c>
      <c r="E765" s="27">
        <v>1</v>
      </c>
      <c r="F765" s="27">
        <v>-1</v>
      </c>
      <c r="H765" s="27">
        <v>74</v>
      </c>
      <c r="I765" s="27" t="str">
        <f>IF(H765="","",VLOOKUP(H765,'#状态名词'!$A$2:$C$99,2))</f>
        <v>sk_levelprofession</v>
      </c>
      <c r="J765" s="27" t="str">
        <f>IF(H765="","",VLOOKUP(H765,'#状态名词'!$A$2:$C$99,3))</f>
        <v>增加某个职业技能</v>
      </c>
      <c r="K765" s="26" t="s">
        <v>5392</v>
      </c>
    </row>
    <row r="766" spans="1:11">
      <c r="B766" s="27" t="s">
        <v>84</v>
      </c>
      <c r="H766" s="27">
        <v>74</v>
      </c>
      <c r="I766" s="27" t="str">
        <f>IF(H766="","",VLOOKUP(H766,'#状态名词'!$A$2:$C$99,2))</f>
        <v>sk_levelprofession</v>
      </c>
      <c r="J766" s="27" t="str">
        <f>IF(H766="","",VLOOKUP(H766,'#状态名词'!$A$2:$C$99,3))</f>
        <v>增加某个职业技能</v>
      </c>
      <c r="K766" s="26" t="s">
        <v>5393</v>
      </c>
    </row>
    <row r="767" spans="1:11">
      <c r="B767" s="27" t="s">
        <v>84</v>
      </c>
      <c r="H767" s="27">
        <v>74</v>
      </c>
      <c r="I767" s="27" t="str">
        <f>IF(H767="","",VLOOKUP(H767,'#状态名词'!$A$2:$C$99,2))</f>
        <v>sk_levelprofession</v>
      </c>
      <c r="J767" s="27" t="str">
        <f>IF(H767="","",VLOOKUP(H767,'#状态名词'!$A$2:$C$99,3))</f>
        <v>增加某个职业技能</v>
      </c>
      <c r="K767" s="26" t="s">
        <v>5394</v>
      </c>
    </row>
    <row r="768" spans="1:11">
      <c r="A768" s="27">
        <v>31122</v>
      </c>
      <c r="B768" s="27" t="e">
        <v>#N/A</v>
      </c>
      <c r="C768" s="27" t="s">
        <v>4559</v>
      </c>
      <c r="E768" s="27">
        <v>1</v>
      </c>
      <c r="F768" s="27">
        <v>-1</v>
      </c>
      <c r="H768" s="27">
        <v>74</v>
      </c>
      <c r="I768" s="27" t="str">
        <f>IF(H768="","",VLOOKUP(H768,'#状态名词'!$A$2:$C$99,2))</f>
        <v>sk_levelprofession</v>
      </c>
      <c r="J768" s="27" t="str">
        <f>IF(H768="","",VLOOKUP(H768,'#状态名词'!$A$2:$C$99,3))</f>
        <v>增加某个职业技能</v>
      </c>
      <c r="K768" s="26" t="s">
        <v>5395</v>
      </c>
    </row>
    <row r="769" spans="1:11">
      <c r="B769" s="27" t="s">
        <v>84</v>
      </c>
      <c r="H769" s="27">
        <v>74</v>
      </c>
      <c r="I769" s="27" t="str">
        <f>IF(H769="","",VLOOKUP(H769,'#状态名词'!$A$2:$C$99,2))</f>
        <v>sk_levelprofession</v>
      </c>
      <c r="J769" s="27" t="str">
        <f>IF(H769="","",VLOOKUP(H769,'#状态名词'!$A$2:$C$99,3))</f>
        <v>增加某个职业技能</v>
      </c>
      <c r="K769" s="26" t="s">
        <v>5396</v>
      </c>
    </row>
    <row r="770" spans="1:11">
      <c r="A770" s="27">
        <v>31123</v>
      </c>
      <c r="B770" s="27" t="s">
        <v>7408</v>
      </c>
      <c r="C770" s="27" t="s">
        <v>4560</v>
      </c>
      <c r="E770" s="27">
        <v>1</v>
      </c>
      <c r="F770" s="27">
        <v>-1</v>
      </c>
      <c r="H770" s="27">
        <v>70</v>
      </c>
      <c r="I770" s="27" t="str">
        <f>IF(H770="","",VLOOKUP(H770,'#状态名词'!$A$2:$C$99,2))</f>
        <v>eva</v>
      </c>
      <c r="J770" s="27" t="str">
        <f>IF(H770="","",VLOOKUP(H770,'#状态名词'!$A$2:$C$99,3))</f>
        <v>回避率</v>
      </c>
      <c r="K770" s="26" t="s">
        <v>5397</v>
      </c>
    </row>
    <row r="771" spans="1:11">
      <c r="A771" s="27">
        <v>31124</v>
      </c>
      <c r="B771" s="27" t="s">
        <v>7409</v>
      </c>
      <c r="C771" s="27" t="s">
        <v>4561</v>
      </c>
      <c r="E771" s="27">
        <v>-1</v>
      </c>
      <c r="F771" s="27">
        <v>5</v>
      </c>
      <c r="H771" s="27">
        <v>70</v>
      </c>
      <c r="I771" s="27" t="str">
        <f>IF(H771="","",VLOOKUP(H771,'#状态名词'!$A$2:$C$99,2))</f>
        <v>eva</v>
      </c>
      <c r="J771" s="27" t="str">
        <f>IF(H771="","",VLOOKUP(H771,'#状态名词'!$A$2:$C$99,3))</f>
        <v>回避率</v>
      </c>
      <c r="K771" s="26" t="s">
        <v>5337</v>
      </c>
    </row>
    <row r="772" spans="1:11">
      <c r="A772" s="27">
        <v>31125</v>
      </c>
      <c r="B772" s="27" t="s">
        <v>7410</v>
      </c>
      <c r="C772" s="27" t="s">
        <v>4562</v>
      </c>
      <c r="E772" s="27">
        <v>1</v>
      </c>
      <c r="F772" s="27">
        <v>-1</v>
      </c>
      <c r="H772" s="27">
        <v>3</v>
      </c>
      <c r="I772" s="27" t="str">
        <f>IF(H772="","",VLOOKUP(H772,'#状态名词'!$A$2:$C$99,2))</f>
        <v>attach_dama</v>
      </c>
      <c r="J772" s="27" t="str">
        <f>IF(H772="","",VLOOKUP(H772,'#状态名词'!$A$2:$C$99,3))</f>
        <v>攻击额外伤害C类增伤</v>
      </c>
      <c r="K772" s="26" t="s">
        <v>5353</v>
      </c>
    </row>
    <row r="773" spans="1:11">
      <c r="A773" s="27">
        <v>31126</v>
      </c>
      <c r="B773" s="27" t="s">
        <v>7411</v>
      </c>
      <c r="C773" s="27" t="s">
        <v>4563</v>
      </c>
      <c r="E773" s="27">
        <v>1</v>
      </c>
      <c r="F773" s="27">
        <v>-1</v>
      </c>
      <c r="H773" s="27">
        <v>3</v>
      </c>
      <c r="I773" s="27" t="str">
        <f>IF(H773="","",VLOOKUP(H773,'#状态名词'!$A$2:$C$99,2))</f>
        <v>attach_dama</v>
      </c>
      <c r="J773" s="27" t="str">
        <f>IF(H773="","",VLOOKUP(H773,'#状态名词'!$A$2:$C$99,3))</f>
        <v>攻击额外伤害C类增伤</v>
      </c>
      <c r="K773" s="26" t="s">
        <v>5353</v>
      </c>
    </row>
    <row r="774" spans="1:11">
      <c r="A774" s="27">
        <v>31127</v>
      </c>
      <c r="B774" s="27" t="s">
        <v>7412</v>
      </c>
      <c r="C774" s="27" t="s">
        <v>4564</v>
      </c>
      <c r="E774" s="27">
        <v>1</v>
      </c>
      <c r="F774" s="27">
        <v>-1</v>
      </c>
      <c r="H774" s="27">
        <v>58</v>
      </c>
      <c r="I774" s="27" t="str">
        <f>IF(H774="","",VLOOKUP(H774,'#状态名词'!$A$2:$C$99,2))</f>
        <v>vit</v>
      </c>
      <c r="J774" s="27" t="str">
        <f>IF(H774="","",VLOOKUP(H774,'#状态名词'!$A$2:$C$99,3))</f>
        <v>体力</v>
      </c>
      <c r="K774" s="26" t="s">
        <v>5398</v>
      </c>
    </row>
    <row r="775" spans="1:11">
      <c r="B775" s="27" t="s">
        <v>84</v>
      </c>
      <c r="H775" s="27">
        <v>54</v>
      </c>
      <c r="I775" s="27" t="str">
        <f>IF(H775="","",VLOOKUP(H775,'#状态名词'!$A$2:$C$99,2))</f>
        <v>spi</v>
      </c>
      <c r="J775" s="27" t="str">
        <f>IF(H775="","",VLOOKUP(H775,'#状态名词'!$A$2:$C$99,3))</f>
        <v>精神</v>
      </c>
      <c r="K775" s="26" t="s">
        <v>5398</v>
      </c>
    </row>
    <row r="776" spans="1:11">
      <c r="A776" s="27">
        <v>31128</v>
      </c>
      <c r="B776" s="27" t="s">
        <v>7413</v>
      </c>
      <c r="C776" s="27" t="s">
        <v>4565</v>
      </c>
      <c r="E776" s="27">
        <v>1</v>
      </c>
      <c r="F776" s="27">
        <v>-1</v>
      </c>
      <c r="H776" s="27">
        <v>60</v>
      </c>
      <c r="I776" s="27" t="str">
        <f>IF(H776="","",VLOOKUP(H776,'#状态名词'!$A$2:$C$99,2))</f>
        <v>health</v>
      </c>
      <c r="J776" s="27" t="str">
        <f>IF(H776="","",VLOOKUP(H776,'#状态名词'!$A$2:$C$99,3))</f>
        <v>固定血量</v>
      </c>
      <c r="K776" s="26" t="s">
        <v>5399</v>
      </c>
    </row>
    <row r="777" spans="1:11">
      <c r="A777" s="27">
        <v>31129</v>
      </c>
      <c r="B777" s="27" t="s">
        <v>7414</v>
      </c>
      <c r="C777" s="27" t="s">
        <v>4566</v>
      </c>
      <c r="E777" s="27">
        <v>1</v>
      </c>
      <c r="F777" s="27">
        <v>-1</v>
      </c>
      <c r="H777" s="27">
        <v>24</v>
      </c>
      <c r="I777" s="27" t="str">
        <f>IF(H777="","",VLOOKUP(H777,'#状态名词'!$A$2:$C$99,2))</f>
        <v>heal</v>
      </c>
      <c r="J777" s="27" t="str">
        <f>IF(H777="","",VLOOKUP(H777,'#状态名词'!$A$2:$C$99,3))</f>
        <v>治疗效果+</v>
      </c>
      <c r="K777" s="26" t="s">
        <v>5400</v>
      </c>
    </row>
    <row r="778" spans="1:11">
      <c r="A778" s="27">
        <v>31130</v>
      </c>
      <c r="B778" s="27" t="s">
        <v>7415</v>
      </c>
      <c r="C778" s="27" t="s">
        <v>4567</v>
      </c>
      <c r="E778" s="27">
        <v>1</v>
      </c>
      <c r="F778" s="27">
        <v>-1</v>
      </c>
      <c r="H778" s="27">
        <v>42</v>
      </c>
      <c r="I778" s="27" t="str">
        <f>IF(H778="","",VLOOKUP(H778,'#状态名词'!$A$2:$C$99,2))</f>
        <v>turn_heal</v>
      </c>
      <c r="J778" s="27" t="str">
        <f>IF(H778="","",VLOOKUP(H778,'#状态名词'!$A$2:$C$99,3))</f>
        <v>回合回复</v>
      </c>
      <c r="K778" s="26" t="s">
        <v>5401</v>
      </c>
    </row>
    <row r="779" spans="1:11">
      <c r="A779" s="27">
        <v>31131</v>
      </c>
      <c r="B779" s="27" t="s">
        <v>7416</v>
      </c>
      <c r="C779" s="27" t="s">
        <v>4568</v>
      </c>
      <c r="E779" s="27">
        <v>1</v>
      </c>
      <c r="F779" s="27">
        <v>-1</v>
      </c>
      <c r="H779" s="27">
        <v>17</v>
      </c>
      <c r="I779" s="27" t="str">
        <f>IF(H779="","",VLOOKUP(H779,'#状态名词'!$A$2:$C$99,2))</f>
        <v>adi</v>
      </c>
      <c r="J779" s="27" t="str">
        <f>IF(H779="","",VLOOKUP(H779,'#状态名词'!$A$2:$C$99,3))</f>
        <v>物穿</v>
      </c>
      <c r="K779" s="26" t="s">
        <v>5397</v>
      </c>
    </row>
    <row r="780" spans="1:11">
      <c r="B780" s="27" t="s">
        <v>84</v>
      </c>
      <c r="H780" s="27">
        <v>18</v>
      </c>
      <c r="I780" s="27" t="str">
        <f>IF(H780="","",VLOOKUP(H780,'#状态名词'!$A$2:$C$99,2))</f>
        <v>api</v>
      </c>
      <c r="J780" s="27" t="str">
        <f>IF(H780="","",VLOOKUP(H780,'#状态名词'!$A$2:$C$99,3))</f>
        <v>法穿</v>
      </c>
      <c r="K780" s="26" t="s">
        <v>5397</v>
      </c>
    </row>
    <row r="781" spans="1:11">
      <c r="A781" s="27">
        <v>31132</v>
      </c>
      <c r="B781" s="27" t="s">
        <v>7417</v>
      </c>
      <c r="C781" s="27" t="s">
        <v>4569</v>
      </c>
      <c r="E781" s="27">
        <v>-1</v>
      </c>
      <c r="F781" s="27">
        <v>-1</v>
      </c>
      <c r="H781" s="27">
        <v>13</v>
      </c>
      <c r="I781" s="27" t="str">
        <f>IF(H781="","",VLOOKUP(H781,'#状态名词'!$A$2:$C$99,2))</f>
        <v>arm</v>
      </c>
      <c r="J781" s="27" t="str">
        <f>IF(H781="","",VLOOKUP(H781,'#状态名词'!$A$2:$C$99,3))</f>
        <v>ARM+</v>
      </c>
      <c r="K781" s="26" t="s">
        <v>5402</v>
      </c>
    </row>
    <row r="782" spans="1:11">
      <c r="B782" s="27" t="s">
        <v>84</v>
      </c>
      <c r="H782" s="27">
        <v>15</v>
      </c>
      <c r="I782" s="27" t="str">
        <f>IF(H782="","",VLOOKUP(H782,'#状态名词'!$A$2:$C$99,2))</f>
        <v>mr</v>
      </c>
      <c r="J782" s="27" t="str">
        <f>IF(H782="","",VLOOKUP(H782,'#状态名词'!$A$2:$C$99,3))</f>
        <v>MR+</v>
      </c>
      <c r="K782" s="26" t="s">
        <v>5402</v>
      </c>
    </row>
    <row r="783" spans="1:11">
      <c r="A783" s="27">
        <v>31133</v>
      </c>
      <c r="B783" s="27" t="s">
        <v>7418</v>
      </c>
      <c r="C783" s="27" t="s">
        <v>4570</v>
      </c>
      <c r="E783" s="27">
        <v>-1</v>
      </c>
      <c r="F783" s="27">
        <v>-1</v>
      </c>
      <c r="H783" s="27">
        <v>19</v>
      </c>
      <c r="I783" s="27" t="str">
        <f>IF(H783="","",VLOOKUP(H783,'#状态名词'!$A$2:$C$99,2))</f>
        <v>rating</v>
      </c>
      <c r="J783" s="27" t="str">
        <f>IF(H783="","",VLOOKUP(H783,'#状态名词'!$A$2:$C$99,3))</f>
        <v>暴击+</v>
      </c>
      <c r="K783" s="26">
        <v>2000</v>
      </c>
    </row>
    <row r="784" spans="1:11">
      <c r="A784" s="27">
        <v>31134</v>
      </c>
      <c r="B784" s="27" t="s">
        <v>7419</v>
      </c>
      <c r="C784" s="27" t="s">
        <v>4571</v>
      </c>
      <c r="E784" s="27">
        <v>-1</v>
      </c>
      <c r="F784" s="27">
        <v>-1</v>
      </c>
      <c r="H784" s="27">
        <v>7</v>
      </c>
      <c r="I784" s="27" t="str">
        <f>IF(H784="","",VLOOKUP(H784,'#状态名词'!$A$2:$C$99,2))</f>
        <v>pvpjs_per</v>
      </c>
      <c r="J784" s="27" t="str">
        <f>IF(H784="","",VLOOKUP(H784,'#状态名词'!$A$2:$C$99,3))</f>
        <v>pvp减伤</v>
      </c>
      <c r="K784" s="26" t="s">
        <v>6984</v>
      </c>
    </row>
    <row r="785" spans="1:11">
      <c r="A785" s="27">
        <v>31135</v>
      </c>
      <c r="B785" s="27" t="s">
        <v>7420</v>
      </c>
      <c r="C785" s="27" t="s">
        <v>3815</v>
      </c>
      <c r="E785" s="27">
        <v>-1</v>
      </c>
      <c r="F785" s="27">
        <v>-1</v>
      </c>
      <c r="H785" s="27">
        <v>7</v>
      </c>
      <c r="I785" s="27" t="str">
        <f>IF(H785="","",VLOOKUP(H785,'#状态名词'!$A$2:$C$99,2))</f>
        <v>pvpjs_per</v>
      </c>
      <c r="J785" s="27" t="str">
        <f>IF(H785="","",VLOOKUP(H785,'#状态名词'!$A$2:$C$99,3))</f>
        <v>pvp减伤</v>
      </c>
      <c r="K785" s="26">
        <v>10</v>
      </c>
    </row>
    <row r="786" spans="1:11">
      <c r="A786" s="27">
        <v>31136</v>
      </c>
      <c r="B786" s="27" t="s">
        <v>4572</v>
      </c>
      <c r="C786" s="27" t="s">
        <v>4573</v>
      </c>
      <c r="E786" s="27">
        <v>1</v>
      </c>
      <c r="F786" s="27">
        <v>-1</v>
      </c>
      <c r="H786" s="27">
        <v>65</v>
      </c>
      <c r="I786" s="27" t="str">
        <f>IF(H786="","",VLOOKUP(H786,'#状态名词'!$A$2:$C$99,2))</f>
        <v>str</v>
      </c>
      <c r="J786" s="27" t="str">
        <f>IF(H786="","",VLOOKUP(H786,'#状态名词'!$A$2:$C$99,3))</f>
        <v>力量</v>
      </c>
      <c r="K786" s="26" t="s">
        <v>5403</v>
      </c>
    </row>
    <row r="787" spans="1:11">
      <c r="B787" s="27" t="s">
        <v>84</v>
      </c>
      <c r="H787" s="27">
        <v>67</v>
      </c>
      <c r="I787" s="27" t="str">
        <f>IF(H787="","",VLOOKUP(H787,'#状态名词'!$A$2:$C$99,2))</f>
        <v>inte</v>
      </c>
      <c r="J787" s="27" t="str">
        <f>IF(H787="","",VLOOKUP(H787,'#状态名词'!$A$2:$C$99,3))</f>
        <v>智力</v>
      </c>
      <c r="K787" s="26" t="s">
        <v>5403</v>
      </c>
    </row>
    <row r="788" spans="1:11">
      <c r="B788" s="27" t="s">
        <v>84</v>
      </c>
      <c r="H788" s="27">
        <v>58</v>
      </c>
      <c r="I788" s="27" t="str">
        <f>IF(H788="","",VLOOKUP(H788,'#状态名词'!$A$2:$C$99,2))</f>
        <v>vit</v>
      </c>
      <c r="J788" s="27" t="str">
        <f>IF(H788="","",VLOOKUP(H788,'#状态名词'!$A$2:$C$99,3))</f>
        <v>体力</v>
      </c>
      <c r="K788" s="26" t="s">
        <v>5403</v>
      </c>
    </row>
    <row r="789" spans="1:11">
      <c r="B789" s="27" t="s">
        <v>84</v>
      </c>
      <c r="H789" s="27">
        <v>54</v>
      </c>
      <c r="I789" s="27" t="str">
        <f>IF(H789="","",VLOOKUP(H789,'#状态名词'!$A$2:$C$99,2))</f>
        <v>spi</v>
      </c>
      <c r="J789" s="27" t="str">
        <f>IF(H789="","",VLOOKUP(H789,'#状态名词'!$A$2:$C$99,3))</f>
        <v>精神</v>
      </c>
      <c r="K789" s="26" t="s">
        <v>5403</v>
      </c>
    </row>
    <row r="790" spans="1:11">
      <c r="A790" s="27">
        <v>31137</v>
      </c>
      <c r="B790" s="27">
        <v>0</v>
      </c>
      <c r="E790" s="27">
        <v>1</v>
      </c>
      <c r="F790" s="27">
        <v>-1</v>
      </c>
      <c r="H790" s="27">
        <v>19</v>
      </c>
      <c r="I790" s="27" t="str">
        <f>IF(H790="","",VLOOKUP(H790,'#状态名词'!$A$2:$C$99,2))</f>
        <v>rating</v>
      </c>
      <c r="J790" s="27" t="str">
        <f>IF(H790="","",VLOOKUP(H790,'#状态名词'!$A$2:$C$99,3))</f>
        <v>暴击+</v>
      </c>
      <c r="K790" s="26" t="s">
        <v>5364</v>
      </c>
    </row>
    <row r="791" spans="1:11">
      <c r="B791" s="27" t="s">
        <v>84</v>
      </c>
      <c r="H791" s="27">
        <v>20</v>
      </c>
      <c r="I791" s="27" t="str">
        <f>IF(H791="","",VLOOKUP(H791,'#状态名词'!$A$2:$C$99,2))</f>
        <v>ratingdamage</v>
      </c>
      <c r="J791" s="27" t="str">
        <f>IF(H791="","",VLOOKUP(H791,'#状态名词'!$A$2:$C$99,3))</f>
        <v>暴伤+</v>
      </c>
      <c r="K791" s="26" t="s">
        <v>5364</v>
      </c>
    </row>
    <row r="792" spans="1:11">
      <c r="A792" s="27">
        <v>31138</v>
      </c>
      <c r="B792" s="27">
        <v>0</v>
      </c>
      <c r="E792" s="27">
        <v>1</v>
      </c>
      <c r="F792" s="27">
        <v>-1</v>
      </c>
      <c r="H792" s="27">
        <v>21</v>
      </c>
      <c r="I792" s="27" t="str">
        <f>IF(H792="","",VLOOKUP(H792,'#状态名词'!$A$2:$C$99,2))</f>
        <v>speed</v>
      </c>
      <c r="J792" s="27" t="str">
        <f>IF(H792="","",VLOOKUP(H792,'#状态名词'!$A$2:$C$99,3))</f>
        <v>速度+</v>
      </c>
      <c r="K792" s="26" t="s">
        <v>5390</v>
      </c>
    </row>
    <row r="793" spans="1:11">
      <c r="A793" s="27">
        <v>31139</v>
      </c>
      <c r="B793" s="27">
        <v>0</v>
      </c>
      <c r="E793" s="27">
        <v>1</v>
      </c>
      <c r="F793" s="27">
        <v>-1</v>
      </c>
      <c r="H793" s="27">
        <v>30</v>
      </c>
      <c r="I793" s="27" t="str">
        <f>IF(H793="","",VLOOKUP(H793,'#状态名词'!$A$2:$C$99,2))</f>
        <v>elementup</v>
      </c>
      <c r="J793" s="27" t="str">
        <f>IF(H793="","",VLOOKUP(H793,'#状态名词'!$A$2:$C$99,3))</f>
        <v>全属性强化</v>
      </c>
      <c r="K793" s="26" t="s">
        <v>5403</v>
      </c>
    </row>
    <row r="794" spans="1:11">
      <c r="A794" s="27">
        <v>31140</v>
      </c>
      <c r="B794" s="27">
        <v>0</v>
      </c>
      <c r="E794" s="27">
        <v>1</v>
      </c>
      <c r="F794" s="27">
        <v>-1</v>
      </c>
      <c r="H794" s="27">
        <v>69</v>
      </c>
      <c r="I794" s="27" t="str">
        <f>IF(H794="","",VLOOKUP(H794,'#状态名词'!$A$2:$C$99,2))</f>
        <v>hit</v>
      </c>
      <c r="J794" s="27" t="str">
        <f>IF(H794="","",VLOOKUP(H794,'#状态名词'!$A$2:$C$99,3))</f>
        <v>命中率</v>
      </c>
      <c r="K794" s="26" t="s">
        <v>5364</v>
      </c>
    </row>
    <row r="795" spans="1:11">
      <c r="B795" s="27" t="s">
        <v>84</v>
      </c>
      <c r="H795" s="27">
        <v>70</v>
      </c>
      <c r="I795" s="27" t="str">
        <f>IF(H795="","",VLOOKUP(H795,'#状态名词'!$A$2:$C$99,2))</f>
        <v>eva</v>
      </c>
      <c r="J795" s="27" t="str">
        <f>IF(H795="","",VLOOKUP(H795,'#状态名词'!$A$2:$C$99,3))</f>
        <v>回避率</v>
      </c>
      <c r="K795" s="26" t="s">
        <v>5364</v>
      </c>
    </row>
    <row r="796" spans="1:11">
      <c r="A796" s="20">
        <v>31141</v>
      </c>
      <c r="B796" s="27" t="s">
        <v>7421</v>
      </c>
      <c r="C796" s="21" t="s">
        <v>9275</v>
      </c>
      <c r="E796" s="27">
        <v>-1</v>
      </c>
      <c r="F796" s="27">
        <v>-1</v>
      </c>
      <c r="H796" s="27">
        <v>7</v>
      </c>
      <c r="I796" s="27" t="str">
        <f>IF(H796="","",VLOOKUP(H796,'#状态名词'!$A$2:$C$99,2))</f>
        <v>pvpjs_per</v>
      </c>
      <c r="J796" s="27" t="str">
        <f>IF(H796="","",VLOOKUP(H796,'#状态名词'!$A$2:$C$99,3))</f>
        <v>pvp减伤</v>
      </c>
      <c r="K796" s="26" t="s">
        <v>6458</v>
      </c>
    </row>
    <row r="797" spans="1:11">
      <c r="A797" s="20"/>
      <c r="B797" s="27" t="s">
        <v>84</v>
      </c>
      <c r="E797" s="27">
        <v>-1</v>
      </c>
      <c r="F797" s="27">
        <v>-1</v>
      </c>
      <c r="H797" s="27">
        <v>19</v>
      </c>
      <c r="I797" s="27" t="str">
        <f>IF(H797="","",VLOOKUP(H797,'#状态名词'!$A$2:$C$99,2))</f>
        <v>rating</v>
      </c>
      <c r="J797" s="27" t="str">
        <f>IF(H797="","",VLOOKUP(H797,'#状态名词'!$A$2:$C$99,3))</f>
        <v>暴击+</v>
      </c>
      <c r="K797" s="26" t="s">
        <v>9276</v>
      </c>
    </row>
    <row r="798" spans="1:11">
      <c r="A798" s="20">
        <v>31142</v>
      </c>
      <c r="B798" s="27" t="s">
        <v>7422</v>
      </c>
      <c r="C798" s="21" t="s">
        <v>9274</v>
      </c>
      <c r="E798" s="27">
        <v>1</v>
      </c>
      <c r="F798" s="27">
        <v>1</v>
      </c>
      <c r="H798" s="27">
        <v>65</v>
      </c>
      <c r="I798" s="27" t="str">
        <f>IF(H798="","",VLOOKUP(H798,'#状态名词'!$A$2:$C$99,2))</f>
        <v>str</v>
      </c>
      <c r="J798" s="27" t="str">
        <f>IF(H798="","",VLOOKUP(H798,'#状态名词'!$A$2:$C$99,3))</f>
        <v>力量</v>
      </c>
      <c r="K798" s="26" t="s">
        <v>9277</v>
      </c>
    </row>
    <row r="799" spans="1:11">
      <c r="A799" s="20"/>
      <c r="B799" s="27" t="s">
        <v>84</v>
      </c>
      <c r="E799" s="27">
        <v>1</v>
      </c>
      <c r="F799" s="27">
        <v>1</v>
      </c>
      <c r="H799" s="27">
        <v>67</v>
      </c>
      <c r="I799" s="27" t="str">
        <f>IF(H799="","",VLOOKUP(H799,'#状态名词'!$A$2:$C$99,2))</f>
        <v>inte</v>
      </c>
      <c r="J799" s="27" t="str">
        <f>IF(H799="","",VLOOKUP(H799,'#状态名词'!$A$2:$C$99,3))</f>
        <v>智力</v>
      </c>
      <c r="K799" s="26" t="s">
        <v>9278</v>
      </c>
    </row>
    <row r="800" spans="1:11">
      <c r="A800" s="20">
        <v>31143</v>
      </c>
      <c r="B800" s="27" t="s">
        <v>7232</v>
      </c>
      <c r="C800" s="21" t="s">
        <v>6524</v>
      </c>
      <c r="E800" s="27">
        <v>-1</v>
      </c>
      <c r="F800" s="27">
        <v>-1</v>
      </c>
      <c r="H800" s="27">
        <v>3</v>
      </c>
      <c r="I800" s="27" t="str">
        <f>IF(H800="","",VLOOKUP(H800,'#状态名词'!$A$2:$C$99,2))</f>
        <v>attach_dama</v>
      </c>
      <c r="J800" s="27" t="str">
        <f>IF(H800="","",VLOOKUP(H800,'#状态名词'!$A$2:$C$99,3))</f>
        <v>攻击额外伤害C类增伤</v>
      </c>
      <c r="K800" s="26" t="s">
        <v>7117</v>
      </c>
    </row>
    <row r="801" spans="1:12">
      <c r="A801" s="20">
        <v>31144</v>
      </c>
      <c r="B801" s="27" t="s">
        <v>7230</v>
      </c>
      <c r="E801" s="27">
        <v>1</v>
      </c>
      <c r="F801" s="27">
        <v>-1</v>
      </c>
      <c r="H801" s="27">
        <v>7</v>
      </c>
      <c r="I801" s="27" t="str">
        <f>IF(H801="","",VLOOKUP(H801,'#状态名词'!$A$2:$C$99,2))</f>
        <v>pvpjs_per</v>
      </c>
      <c r="J801" s="27" t="str">
        <f>IF(H801="","",VLOOKUP(H801,'#状态名词'!$A$2:$C$99,3))</f>
        <v>pvp减伤</v>
      </c>
      <c r="K801" s="26" t="s">
        <v>6995</v>
      </c>
    </row>
    <row r="802" spans="1:12">
      <c r="A802" s="37">
        <v>31145</v>
      </c>
      <c r="B802" s="20" t="s">
        <v>7485</v>
      </c>
      <c r="C802" s="21" t="s">
        <v>7523</v>
      </c>
      <c r="E802" s="27">
        <v>1</v>
      </c>
      <c r="F802" s="27">
        <v>-1</v>
      </c>
      <c r="H802" s="27">
        <v>1</v>
      </c>
      <c r="I802" s="27" t="str">
        <f>IF(H802="","",VLOOKUP(H802,'#状态名词'!$A$2:$C$99,2))</f>
        <v>skilldama</v>
      </c>
      <c r="J802" s="27" t="str">
        <f>IF(H802="","",VLOOKUP(H802,'#状态名词'!$A$2:$C$99,3))</f>
        <v>技能伤害和治疗效果提升B类</v>
      </c>
      <c r="K802" s="26" t="s">
        <v>7524</v>
      </c>
      <c r="L802" s="27">
        <v>33848</v>
      </c>
    </row>
    <row r="803" spans="1:12">
      <c r="A803" s="37">
        <v>31146</v>
      </c>
      <c r="B803" s="20" t="s">
        <v>7487</v>
      </c>
      <c r="C803" s="21" t="s">
        <v>8153</v>
      </c>
      <c r="E803" s="27">
        <v>-1</v>
      </c>
      <c r="F803" s="27">
        <v>0</v>
      </c>
      <c r="H803" s="27">
        <v>38</v>
      </c>
      <c r="I803" s="27" t="str">
        <f>IF(H803="","",VLOOKUP(H803,'#状态名词'!$A$2:$C$99,2))</f>
        <v>hurt_damage</v>
      </c>
      <c r="J803" s="27" t="str">
        <f>IF(H803="","",VLOOKUP(H803,'#状态名词'!$A$2:$C$99,3))</f>
        <v>被攻击造成伤害</v>
      </c>
      <c r="K803" s="26" t="s">
        <v>8156</v>
      </c>
    </row>
    <row r="804" spans="1:12">
      <c r="A804" s="37">
        <v>31147</v>
      </c>
      <c r="B804" s="20" t="s">
        <v>8139</v>
      </c>
      <c r="C804" s="73" t="s">
        <v>8154</v>
      </c>
      <c r="E804" s="27">
        <v>-1</v>
      </c>
      <c r="F804" s="27">
        <v>0</v>
      </c>
      <c r="H804" s="27">
        <v>40</v>
      </c>
      <c r="I804" s="27" t="str">
        <f>IF(H804="","",VLOOKUP(H804,'#状态名词'!$A$2:$C$99,2))</f>
        <v>hurt_heal</v>
      </c>
      <c r="J804" s="27" t="str">
        <f>IF(H804="","",VLOOKUP(H804,'#状态名词'!$A$2:$C$99,3))</f>
        <v>被攻击时治疗</v>
      </c>
      <c r="K804" s="26" t="s">
        <v>8157</v>
      </c>
    </row>
    <row r="805" spans="1:12">
      <c r="A805" s="37">
        <v>31148</v>
      </c>
      <c r="B805" s="20" t="s">
        <v>7488</v>
      </c>
      <c r="C805" s="21" t="s">
        <v>7517</v>
      </c>
      <c r="E805" s="27">
        <v>1</v>
      </c>
      <c r="F805" s="27">
        <v>0</v>
      </c>
      <c r="H805" s="27">
        <v>2</v>
      </c>
      <c r="I805" s="27" t="str">
        <f>IF(H805="","",VLOOKUP(H805,'#状态名词'!$A$2:$C$99,2))</f>
        <v>damaup</v>
      </c>
      <c r="J805" s="27" t="str">
        <f>IF(H805="","",VLOOKUP(H805,'#状态名词'!$A$2:$C$99,3))</f>
        <v>伤害提升A类增伤</v>
      </c>
      <c r="K805" s="26" t="s">
        <v>7526</v>
      </c>
    </row>
    <row r="806" spans="1:12">
      <c r="A806" s="37">
        <v>31149</v>
      </c>
      <c r="B806" s="20" t="s">
        <v>7489</v>
      </c>
      <c r="C806" s="21" t="s">
        <v>7518</v>
      </c>
      <c r="E806" s="27">
        <v>1</v>
      </c>
      <c r="F806" s="27">
        <v>0</v>
      </c>
      <c r="H806" s="27">
        <v>3</v>
      </c>
      <c r="I806" s="27" t="str">
        <f>IF(H806="","",VLOOKUP(H806,'#状态名词'!$A$2:$C$99,2))</f>
        <v>attach_dama</v>
      </c>
      <c r="J806" s="27" t="str">
        <f>IF(H806="","",VLOOKUP(H806,'#状态名词'!$A$2:$C$99,3))</f>
        <v>攻击额外伤害C类增伤</v>
      </c>
      <c r="K806" s="26" t="s">
        <v>7526</v>
      </c>
    </row>
    <row r="807" spans="1:12" ht="27">
      <c r="A807" s="37">
        <v>31150</v>
      </c>
      <c r="B807" s="27" t="s">
        <v>7597</v>
      </c>
      <c r="C807" s="21" t="s">
        <v>7750</v>
      </c>
      <c r="E807" s="27">
        <v>-1</v>
      </c>
      <c r="F807" s="27">
        <v>0</v>
      </c>
      <c r="H807" s="27">
        <v>38</v>
      </c>
      <c r="I807" s="27" t="str">
        <f>IF(H807="","",VLOOKUP(H807,'#状态名词'!$A$2:$C$99,2))</f>
        <v>hurt_damage</v>
      </c>
      <c r="J807" s="27" t="str">
        <f>IF(H807="","",VLOOKUP(H807,'#状态名词'!$A$2:$C$99,3))</f>
        <v>被攻击造成伤害</v>
      </c>
      <c r="K807" s="26" t="s">
        <v>7751</v>
      </c>
    </row>
    <row r="808" spans="1:12">
      <c r="A808" s="37">
        <v>31151</v>
      </c>
      <c r="C808" s="21" t="s">
        <v>7490</v>
      </c>
      <c r="E808" s="27">
        <v>-1</v>
      </c>
      <c r="F808" s="27">
        <v>-1</v>
      </c>
      <c r="H808" s="27">
        <v>24</v>
      </c>
      <c r="I808" s="27" t="str">
        <f>IF(H808="","",VLOOKUP(H808,'#状态名词'!$A$2:$C$99,2))</f>
        <v>heal</v>
      </c>
      <c r="J808" s="27" t="str">
        <f>IF(H808="","",VLOOKUP(H808,'#状态名词'!$A$2:$C$99,3))</f>
        <v>治疗效果+</v>
      </c>
      <c r="K808" s="26" t="s">
        <v>7749</v>
      </c>
    </row>
    <row r="809" spans="1:12">
      <c r="A809" s="37">
        <v>31152</v>
      </c>
      <c r="B809" s="27" t="s">
        <v>8838</v>
      </c>
      <c r="C809" s="21" t="s">
        <v>8848</v>
      </c>
      <c r="E809" s="27">
        <v>1</v>
      </c>
      <c r="F809" s="27">
        <v>-1</v>
      </c>
      <c r="H809" s="27">
        <v>54</v>
      </c>
      <c r="I809" s="27" t="str">
        <f>IF(H809="","",VLOOKUP(H809,'#状态名词'!$A$2:$C$99,2))</f>
        <v>spi</v>
      </c>
      <c r="J809" s="27" t="str">
        <f>IF(H809="","",VLOOKUP(H809,'#状态名词'!$A$2:$C$99,3))</f>
        <v>精神</v>
      </c>
      <c r="K809" s="26" t="s">
        <v>8850</v>
      </c>
    </row>
    <row r="810" spans="1:12">
      <c r="A810" s="37"/>
      <c r="C810" s="21"/>
      <c r="H810" s="27">
        <v>58</v>
      </c>
      <c r="I810" s="27" t="str">
        <f>IF(H810="","",VLOOKUP(H810,'#状态名词'!$A$2:$C$99,2))</f>
        <v>vit</v>
      </c>
      <c r="J810" s="27" t="str">
        <f>IF(H810="","",VLOOKUP(H810,'#状态名词'!$A$2:$C$99,3))</f>
        <v>体力</v>
      </c>
      <c r="K810" s="26" t="s">
        <v>8850</v>
      </c>
    </row>
    <row r="811" spans="1:12">
      <c r="A811" s="37">
        <v>31153</v>
      </c>
      <c r="B811" s="27" t="s">
        <v>8840</v>
      </c>
      <c r="C811" s="21" t="s">
        <v>8844</v>
      </c>
      <c r="E811" s="27">
        <v>1</v>
      </c>
      <c r="F811" s="27">
        <v>-1</v>
      </c>
      <c r="H811" s="27">
        <v>7</v>
      </c>
      <c r="I811" s="27" t="str">
        <f>IF(H811="","",VLOOKUP(H811,'#状态名词'!$A$2:$C$99,2))</f>
        <v>pvpjs_per</v>
      </c>
      <c r="J811" s="27" t="str">
        <f>IF(H811="","",VLOOKUP(H811,'#状态名词'!$A$2:$C$99,3))</f>
        <v>pvp减伤</v>
      </c>
      <c r="K811" s="26" t="s">
        <v>8851</v>
      </c>
    </row>
    <row r="812" spans="1:12">
      <c r="A812" s="37">
        <v>31154</v>
      </c>
      <c r="B812" s="27" t="s">
        <v>8838</v>
      </c>
      <c r="C812" s="21" t="s">
        <v>8849</v>
      </c>
      <c r="E812" s="27">
        <v>-1</v>
      </c>
      <c r="F812" s="27">
        <v>0</v>
      </c>
      <c r="H812" s="27">
        <v>38</v>
      </c>
      <c r="I812" s="27" t="str">
        <f>IF(H812="","",VLOOKUP(H812,'#状态名词'!$A$2:$C$99,2))</f>
        <v>hurt_damage</v>
      </c>
      <c r="J812" s="27" t="str">
        <f>IF(H812="","",VLOOKUP(H812,'#状态名词'!$A$2:$C$99,3))</f>
        <v>被攻击造成伤害</v>
      </c>
      <c r="K812" s="26" t="s">
        <v>8156</v>
      </c>
    </row>
    <row r="813" spans="1:12">
      <c r="A813" s="75">
        <v>31155</v>
      </c>
      <c r="B813" s="20" t="s">
        <v>9226</v>
      </c>
      <c r="C813" s="21" t="s">
        <v>9229</v>
      </c>
      <c r="E813" s="27">
        <v>1</v>
      </c>
      <c r="F813" s="27">
        <v>0</v>
      </c>
      <c r="H813" s="27">
        <v>36</v>
      </c>
      <c r="I813" s="27" t="str">
        <f>IF(H813="","",VLOOKUP(H813,'#状态名词'!$A$2:$C$99,2))</f>
        <v>atk_damage</v>
      </c>
      <c r="J813" s="27" t="str">
        <f>IF(H813="","",VLOOKUP(H813,'#状态名词'!$A$2:$C$99,3))</f>
        <v>攻击附加伤害</v>
      </c>
      <c r="K813" s="26" t="s">
        <v>9237</v>
      </c>
    </row>
    <row r="814" spans="1:12">
      <c r="A814" s="75">
        <v>31156</v>
      </c>
      <c r="B814" s="20" t="s">
        <v>9227</v>
      </c>
      <c r="C814" s="21" t="s">
        <v>9230</v>
      </c>
      <c r="E814" s="27">
        <v>30</v>
      </c>
      <c r="F814" s="27">
        <v>-1</v>
      </c>
      <c r="H814" s="27">
        <v>2</v>
      </c>
      <c r="I814" s="27" t="str">
        <f>IF(H814="","",VLOOKUP(H814,'#状态名词'!$A$2:$C$99,2))</f>
        <v>damaup</v>
      </c>
      <c r="J814" s="27" t="str">
        <f>IF(H814="","",VLOOKUP(H814,'#状态名词'!$A$2:$C$99,3))</f>
        <v>伤害提升A类增伤</v>
      </c>
      <c r="K814" s="26" t="s">
        <v>9236</v>
      </c>
    </row>
    <row r="815" spans="1:12" ht="27">
      <c r="A815" s="75">
        <v>31157</v>
      </c>
      <c r="B815" s="20" t="s">
        <v>9228</v>
      </c>
      <c r="C815" s="21" t="s">
        <v>9231</v>
      </c>
      <c r="E815" s="27">
        <v>1</v>
      </c>
      <c r="F815" s="27">
        <v>-1</v>
      </c>
      <c r="H815" s="27">
        <v>2</v>
      </c>
      <c r="I815" s="27" t="str">
        <f>IF(H815="","",VLOOKUP(H815,'#状态名词'!$A$2:$C$99,2))</f>
        <v>damaup</v>
      </c>
      <c r="J815" s="27" t="str">
        <f>IF(H815="","",VLOOKUP(H815,'#状态名词'!$A$2:$C$99,3))</f>
        <v>伤害提升A类增伤</v>
      </c>
      <c r="K815" s="26" t="s">
        <v>9232</v>
      </c>
    </row>
    <row r="816" spans="1:12">
      <c r="A816" s="37"/>
      <c r="C816" s="21"/>
      <c r="H816" s="27">
        <v>3</v>
      </c>
      <c r="I816" s="27" t="str">
        <f>IF(H816="","",VLOOKUP(H816,'#状态名词'!$A$2:$C$99,2))</f>
        <v>attach_dama</v>
      </c>
      <c r="J816" s="27" t="str">
        <f>IF(H816="","",VLOOKUP(H816,'#状态名词'!$A$2:$C$99,3))</f>
        <v>攻击额外伤害C类增伤</v>
      </c>
      <c r="K816" s="26" t="s">
        <v>9232</v>
      </c>
    </row>
    <row r="817" spans="1:12">
      <c r="A817" s="37"/>
      <c r="C817" s="21"/>
      <c r="H817" s="27">
        <v>44</v>
      </c>
      <c r="I817" s="27" t="str">
        <f>IF(H817="","",VLOOKUP(H817,'#状态名词'!$A$2:$C$99,2))</f>
        <v>dotup</v>
      </c>
      <c r="J817" s="27" t="str">
        <f>IF(H817="","",VLOOKUP(H817,'#状态名词'!$A$2:$C$99,3))</f>
        <v>持续伤害强化</v>
      </c>
      <c r="K817" s="26" t="s">
        <v>9233</v>
      </c>
    </row>
    <row r="818" spans="1:12">
      <c r="A818" s="37"/>
      <c r="C818" s="21"/>
      <c r="H818" s="27">
        <v>65</v>
      </c>
      <c r="I818" s="27" t="str">
        <f>IF(H818="","",VLOOKUP(H818,'#状态名词'!$A$2:$C$99,2))</f>
        <v>str</v>
      </c>
      <c r="J818" s="27" t="str">
        <f>IF(H818="","",VLOOKUP(H818,'#状态名词'!$A$2:$C$99,3))</f>
        <v>力量</v>
      </c>
      <c r="K818" s="26" t="s">
        <v>9234</v>
      </c>
    </row>
    <row r="819" spans="1:12">
      <c r="A819" s="37"/>
      <c r="C819" s="21"/>
      <c r="H819" s="27">
        <v>67</v>
      </c>
      <c r="I819" s="27" t="str">
        <f>IF(H819="","",VLOOKUP(H819,'#状态名词'!$A$2:$C$99,2))</f>
        <v>inte</v>
      </c>
      <c r="J819" s="27" t="str">
        <f>IF(H819="","",VLOOKUP(H819,'#状态名词'!$A$2:$C$99,3))</f>
        <v>智力</v>
      </c>
      <c r="K819" s="26" t="s">
        <v>9235</v>
      </c>
    </row>
    <row r="820" spans="1:12">
      <c r="A820" s="37">
        <v>31158</v>
      </c>
      <c r="B820" s="27" t="s">
        <v>9240</v>
      </c>
      <c r="C820" s="21" t="s">
        <v>9239</v>
      </c>
      <c r="E820" s="27">
        <v>1</v>
      </c>
      <c r="F820" s="27">
        <v>-1</v>
      </c>
      <c r="H820" s="27">
        <v>19</v>
      </c>
      <c r="I820" s="27" t="str">
        <f>IF(H820="","",VLOOKUP(H820,'#状态名词'!$A$2:$C$99,2))</f>
        <v>rating</v>
      </c>
      <c r="J820" s="27" t="str">
        <f>IF(H820="","",VLOOKUP(H820,'#状态名词'!$A$2:$C$99,3))</f>
        <v>暴击+</v>
      </c>
      <c r="K820" s="26" t="s">
        <v>9241</v>
      </c>
    </row>
    <row r="821" spans="1:12">
      <c r="A821" s="37"/>
      <c r="C821" s="21"/>
      <c r="H821" s="27">
        <v>20</v>
      </c>
      <c r="I821" s="27" t="str">
        <f>IF(H821="","",VLOOKUP(H821,'#状态名词'!$A$2:$C$99,2))</f>
        <v>ratingdamage</v>
      </c>
      <c r="J821" s="27" t="str">
        <f>IF(H821="","",VLOOKUP(H821,'#状态名词'!$A$2:$C$99,3))</f>
        <v>暴伤+</v>
      </c>
      <c r="K821" s="26" t="s">
        <v>9242</v>
      </c>
    </row>
    <row r="822" spans="1:12">
      <c r="A822" s="37"/>
      <c r="C822" s="21"/>
      <c r="H822" s="27">
        <v>7</v>
      </c>
      <c r="I822" s="27" t="str">
        <f>IF(H822="","",VLOOKUP(H822,'#状态名词'!$A$2:$C$99,2))</f>
        <v>pvpjs_per</v>
      </c>
      <c r="J822" s="27" t="str">
        <f>IF(H822="","",VLOOKUP(H822,'#状态名词'!$A$2:$C$99,3))</f>
        <v>pvp减伤</v>
      </c>
      <c r="K822" s="26" t="s">
        <v>9243</v>
      </c>
    </row>
    <row r="823" spans="1:12">
      <c r="A823" s="27">
        <v>32001</v>
      </c>
      <c r="B823" s="27" t="s">
        <v>4574</v>
      </c>
      <c r="C823" s="27" t="s">
        <v>5404</v>
      </c>
      <c r="E823" s="27">
        <v>1</v>
      </c>
      <c r="F823" s="27">
        <v>0</v>
      </c>
      <c r="H823" s="27">
        <v>30</v>
      </c>
      <c r="I823" s="27" t="str">
        <f>IF(H823="","",VLOOKUP(H823,'#状态名词'!$A$2:$C$99,2))</f>
        <v>elementup</v>
      </c>
      <c r="J823" s="27" t="str">
        <f>IF(H823="","",VLOOKUP(H823,'#状态名词'!$A$2:$C$99,3))</f>
        <v>全属性强化</v>
      </c>
      <c r="K823" s="26">
        <v>10</v>
      </c>
    </row>
    <row r="824" spans="1:12">
      <c r="A824" s="27">
        <v>32002</v>
      </c>
      <c r="B824" s="27" t="s">
        <v>4575</v>
      </c>
      <c r="C824" s="27" t="s">
        <v>5405</v>
      </c>
      <c r="E824" s="27">
        <v>1</v>
      </c>
      <c r="F824" s="27">
        <v>0</v>
      </c>
      <c r="H824" s="27">
        <v>62</v>
      </c>
      <c r="I824" s="27" t="str">
        <f>IF(H824="","",VLOOKUP(H824,'#状态名词'!$A$2:$C$99,2))</f>
        <v>team_ap</v>
      </c>
      <c r="J824" s="27" t="str">
        <f>IF(H824="","",VLOOKUP(H824,'#状态名词'!$A$2:$C$99,3))</f>
        <v>队伍AP</v>
      </c>
      <c r="K824" s="26">
        <v>150</v>
      </c>
    </row>
    <row r="825" spans="1:12">
      <c r="A825" s="27">
        <v>32003</v>
      </c>
      <c r="B825" s="27" t="s">
        <v>4577</v>
      </c>
      <c r="C825" s="27" t="s">
        <v>5406</v>
      </c>
      <c r="E825" s="27">
        <v>1</v>
      </c>
      <c r="F825" s="27">
        <v>0</v>
      </c>
      <c r="H825" s="27">
        <v>23</v>
      </c>
      <c r="I825" s="27" t="str">
        <f>IF(H825="","",VLOOKUP(H825,'#状态名词'!$A$2:$C$99,2))</f>
        <v>steal</v>
      </c>
      <c r="J825" s="27" t="str">
        <f>IF(H825="","",VLOOKUP(H825,'#状态名词'!$A$2:$C$99,3))</f>
        <v>生命偷取</v>
      </c>
      <c r="K825" s="26">
        <v>1500</v>
      </c>
    </row>
    <row r="826" spans="1:12">
      <c r="A826" s="27">
        <v>32004</v>
      </c>
      <c r="B826" s="27" t="s">
        <v>4579</v>
      </c>
      <c r="C826" s="27" t="s">
        <v>5407</v>
      </c>
      <c r="E826" s="27">
        <v>1</v>
      </c>
      <c r="F826" s="27">
        <v>0</v>
      </c>
      <c r="H826" s="27">
        <v>17</v>
      </c>
      <c r="I826" s="27" t="str">
        <f>IF(H826="","",VLOOKUP(H826,'#状态名词'!$A$2:$C$99,2))</f>
        <v>adi</v>
      </c>
      <c r="J826" s="27" t="str">
        <f>IF(H826="","",VLOOKUP(H826,'#状态名词'!$A$2:$C$99,3))</f>
        <v>物穿</v>
      </c>
      <c r="K826" s="26">
        <v>250</v>
      </c>
    </row>
    <row r="827" spans="1:12">
      <c r="A827" s="27">
        <v>32005</v>
      </c>
      <c r="B827" s="27" t="s">
        <v>4581</v>
      </c>
      <c r="C827" s="27" t="s">
        <v>747</v>
      </c>
      <c r="E827" s="27">
        <v>1</v>
      </c>
      <c r="F827" s="27">
        <v>0</v>
      </c>
      <c r="H827" s="27">
        <v>46</v>
      </c>
      <c r="I827" s="27" t="str">
        <f>IF(H827="","",VLOOKUP(H827,'#状态名词'!$A$2:$C$99,2))</f>
        <v>energyup</v>
      </c>
      <c r="J827" s="27" t="str">
        <f>IF(H827="","",VLOOKUP(H827,'#状态名词'!$A$2:$C$99,3))</f>
        <v>行动回能量</v>
      </c>
      <c r="K827" s="26">
        <v>5</v>
      </c>
      <c r="L827" s="27">
        <v>100</v>
      </c>
    </row>
    <row r="828" spans="1:12">
      <c r="A828" s="27">
        <v>32006</v>
      </c>
      <c r="B828" s="27" t="s">
        <v>1442</v>
      </c>
      <c r="C828" s="27" t="s">
        <v>1439</v>
      </c>
      <c r="E828" s="27">
        <v>1</v>
      </c>
      <c r="F828" s="27">
        <v>0</v>
      </c>
      <c r="H828" s="27">
        <v>2</v>
      </c>
      <c r="I828" s="27" t="str">
        <f>IF(H828="","",VLOOKUP(H828,'#状态名词'!$A$2:$C$99,2))</f>
        <v>damaup</v>
      </c>
      <c r="J828" s="27" t="str">
        <f>IF(H828="","",VLOOKUP(H828,'#状态名词'!$A$2:$C$99,3))</f>
        <v>伤害提升A类增伤</v>
      </c>
      <c r="K828" s="26" t="s">
        <v>8062</v>
      </c>
    </row>
    <row r="829" spans="1:12">
      <c r="A829" s="27">
        <v>32007</v>
      </c>
      <c r="B829" s="27" t="s">
        <v>4582</v>
      </c>
      <c r="C829" s="27" t="s">
        <v>1440</v>
      </c>
      <c r="E829" s="27">
        <v>1</v>
      </c>
      <c r="F829" s="27">
        <v>0</v>
      </c>
      <c r="H829" s="27">
        <v>21</v>
      </c>
      <c r="I829" s="27" t="str">
        <f>IF(H829="","",VLOOKUP(H829,'#状态名词'!$A$2:$C$99,2))</f>
        <v>speed</v>
      </c>
      <c r="J829" s="27" t="str">
        <f>IF(H829="","",VLOOKUP(H829,'#状态名词'!$A$2:$C$99,3))</f>
        <v>速度+</v>
      </c>
      <c r="K829" s="26">
        <v>2000</v>
      </c>
    </row>
    <row r="830" spans="1:12">
      <c r="A830" s="27">
        <v>32008</v>
      </c>
      <c r="B830" s="27" t="s">
        <v>4583</v>
      </c>
      <c r="C830" s="27" t="s">
        <v>1441</v>
      </c>
      <c r="E830" s="27">
        <v>1</v>
      </c>
      <c r="F830" s="27">
        <v>0</v>
      </c>
      <c r="H830" s="27">
        <v>17</v>
      </c>
      <c r="I830" s="27" t="str">
        <f>IF(H830="","",VLOOKUP(H830,'#状态名词'!$A$2:$C$99,2))</f>
        <v>adi</v>
      </c>
      <c r="J830" s="27" t="str">
        <f>IF(H830="","",VLOOKUP(H830,'#状态名词'!$A$2:$C$99,3))</f>
        <v>物穿</v>
      </c>
      <c r="K830" s="26">
        <v>1500</v>
      </c>
    </row>
    <row r="831" spans="1:12">
      <c r="A831" s="27">
        <v>32010</v>
      </c>
      <c r="B831" s="20" t="s">
        <v>7589</v>
      </c>
      <c r="C831" s="16" t="s">
        <v>7584</v>
      </c>
      <c r="E831" s="27">
        <v>1</v>
      </c>
      <c r="F831" s="27">
        <v>0</v>
      </c>
      <c r="H831" s="27">
        <v>33</v>
      </c>
      <c r="I831" s="27" t="str">
        <f>IF(H831="","",VLOOKUP(H831,'#状态名词'!$A$2:$C$99,2))</f>
        <v>relight</v>
      </c>
      <c r="J831" s="27" t="str">
        <f>IF(H831="","",VLOOKUP(H831,'#状态名词'!$A$2:$C$99,3))</f>
        <v>光属性抗性</v>
      </c>
      <c r="K831" s="26" t="s">
        <v>7603</v>
      </c>
    </row>
    <row r="832" spans="1:12">
      <c r="A832" s="27">
        <v>32011</v>
      </c>
      <c r="B832" s="20" t="s">
        <v>7590</v>
      </c>
      <c r="C832" s="16" t="s">
        <v>7741</v>
      </c>
      <c r="E832" s="27">
        <v>1</v>
      </c>
      <c r="F832" s="27">
        <v>0</v>
      </c>
      <c r="G832" s="27">
        <v>32011</v>
      </c>
      <c r="H832" s="27">
        <v>21</v>
      </c>
      <c r="I832" s="27" t="str">
        <f>IF(H832="","",VLOOKUP(H832,'#状态名词'!$A$2:$C$99,2))</f>
        <v>speed</v>
      </c>
      <c r="J832" s="27" t="str">
        <f>IF(H832="","",VLOOKUP(H832,'#状态名词'!$A$2:$C$99,3))</f>
        <v>速度+</v>
      </c>
      <c r="K832" s="26" t="s">
        <v>7742</v>
      </c>
    </row>
    <row r="833" spans="1:11">
      <c r="B833" s="20"/>
      <c r="C833" s="16"/>
      <c r="H833" s="27">
        <v>13</v>
      </c>
      <c r="I833" s="27" t="str">
        <f>IF(H833="","",VLOOKUP(H833,'#状态名词'!$A$2:$C$99,2))</f>
        <v>arm</v>
      </c>
      <c r="J833" s="27" t="str">
        <f>IF(H833="","",VLOOKUP(H833,'#状态名词'!$A$2:$C$99,3))</f>
        <v>ARM+</v>
      </c>
      <c r="K833" s="26" t="s">
        <v>7525</v>
      </c>
    </row>
    <row r="834" spans="1:11">
      <c r="B834" s="20"/>
      <c r="C834" s="16"/>
      <c r="H834" s="27">
        <v>15</v>
      </c>
      <c r="I834" s="27" t="str">
        <f>IF(H834="","",VLOOKUP(H834,'#状态名词'!$A$2:$C$99,2))</f>
        <v>mr</v>
      </c>
      <c r="J834" s="27" t="str">
        <f>IF(H834="","",VLOOKUP(H834,'#状态名词'!$A$2:$C$99,3))</f>
        <v>MR+</v>
      </c>
      <c r="K834" s="26" t="s">
        <v>7525</v>
      </c>
    </row>
    <row r="835" spans="1:11">
      <c r="A835" s="27">
        <v>32012</v>
      </c>
      <c r="B835" s="20" t="s">
        <v>7591</v>
      </c>
      <c r="C835" s="16" t="s">
        <v>7585</v>
      </c>
      <c r="E835" s="27">
        <v>1</v>
      </c>
      <c r="F835" s="27">
        <v>0</v>
      </c>
      <c r="H835" s="27">
        <v>13</v>
      </c>
      <c r="I835" s="27" t="str">
        <f>IF(H835="","",VLOOKUP(H835,'#状态名词'!$A$2:$C$99,2))</f>
        <v>arm</v>
      </c>
      <c r="J835" s="27" t="str">
        <f>IF(H835="","",VLOOKUP(H835,'#状态名词'!$A$2:$C$99,3))</f>
        <v>ARM+</v>
      </c>
      <c r="K835" s="26" t="s">
        <v>7601</v>
      </c>
    </row>
    <row r="836" spans="1:11">
      <c r="B836" s="20"/>
      <c r="C836" s="16"/>
      <c r="H836" s="27">
        <v>15</v>
      </c>
      <c r="I836" s="27" t="str">
        <f>IF(H836="","",VLOOKUP(H836,'#状态名词'!$A$2:$C$99,2))</f>
        <v>mr</v>
      </c>
      <c r="J836" s="27" t="str">
        <f>IF(H836="","",VLOOKUP(H836,'#状态名词'!$A$2:$C$99,3))</f>
        <v>MR+</v>
      </c>
      <c r="K836" s="26" t="s">
        <v>7602</v>
      </c>
    </row>
    <row r="837" spans="1:11">
      <c r="A837" s="27">
        <v>32014</v>
      </c>
      <c r="B837" s="20" t="s">
        <v>7594</v>
      </c>
      <c r="C837" s="16" t="s">
        <v>7587</v>
      </c>
      <c r="E837" s="27">
        <v>1</v>
      </c>
      <c r="F837" s="27">
        <v>0</v>
      </c>
      <c r="H837" s="27">
        <v>30</v>
      </c>
      <c r="I837" s="27" t="str">
        <f>IF(H837="","",VLOOKUP(H837,'#状态名词'!$A$2:$C$99,2))</f>
        <v>elementup</v>
      </c>
      <c r="J837" s="27" t="str">
        <f>IF(H837="","",VLOOKUP(H837,'#状态名词'!$A$2:$C$99,3))</f>
        <v>全属性强化</v>
      </c>
      <c r="K837" s="26" t="s">
        <v>7600</v>
      </c>
    </row>
    <row r="838" spans="1:11">
      <c r="A838" s="27">
        <v>32015</v>
      </c>
      <c r="B838" s="20" t="s">
        <v>7595</v>
      </c>
      <c r="C838" s="16" t="s">
        <v>7588</v>
      </c>
      <c r="E838" s="27">
        <v>1</v>
      </c>
      <c r="F838" s="27">
        <v>0</v>
      </c>
      <c r="H838" s="27">
        <v>61</v>
      </c>
      <c r="I838" s="27" t="str">
        <f>IF(H838="","",VLOOKUP(H838,'#状态名词'!$A$2:$C$99,2))</f>
        <v>team_ad</v>
      </c>
      <c r="J838" s="27" t="str">
        <f>IF(H838="","",VLOOKUP(H838,'#状态名词'!$A$2:$C$99,3))</f>
        <v>队伍AD</v>
      </c>
      <c r="K838" s="26" t="s">
        <v>7599</v>
      </c>
    </row>
    <row r="839" spans="1:11">
      <c r="B839" s="20"/>
      <c r="C839" s="16"/>
      <c r="H839" s="27">
        <v>62</v>
      </c>
      <c r="I839" s="27" t="str">
        <f>IF(H839="","",VLOOKUP(H839,'#状态名词'!$A$2:$C$99,2))</f>
        <v>team_ap</v>
      </c>
      <c r="J839" s="27" t="str">
        <f>IF(H839="","",VLOOKUP(H839,'#状态名词'!$A$2:$C$99,3))</f>
        <v>队伍AP</v>
      </c>
      <c r="K839" s="26" t="s">
        <v>7599</v>
      </c>
    </row>
    <row r="840" spans="1:11">
      <c r="A840" s="27">
        <v>32016</v>
      </c>
      <c r="B840" s="20" t="s">
        <v>7593</v>
      </c>
      <c r="C840" s="16" t="s">
        <v>7586</v>
      </c>
      <c r="E840" s="27">
        <v>1</v>
      </c>
      <c r="F840" s="27">
        <v>0</v>
      </c>
      <c r="H840" s="27">
        <v>20</v>
      </c>
      <c r="I840" s="27" t="str">
        <f>IF(H840="","",VLOOKUP(H840,'#状态名词'!$A$2:$C$99,2))</f>
        <v>ratingdamage</v>
      </c>
      <c r="J840" s="27" t="str">
        <f>IF(H840="","",VLOOKUP(H840,'#状态名词'!$A$2:$C$99,3))</f>
        <v>暴伤+</v>
      </c>
      <c r="K840" s="26" t="s">
        <v>7598</v>
      </c>
    </row>
    <row r="841" spans="1:11">
      <c r="A841" s="27">
        <v>32017</v>
      </c>
      <c r="B841" s="20"/>
      <c r="C841" s="16"/>
      <c r="E841" s="27">
        <v>1</v>
      </c>
      <c r="F841" s="27">
        <v>0</v>
      </c>
      <c r="H841" s="27">
        <v>3</v>
      </c>
      <c r="I841" s="27" t="str">
        <f>IF(H841="","",VLOOKUP(H841,'#状态名词'!$A$2:$C$99,2))</f>
        <v>attach_dama</v>
      </c>
      <c r="J841" s="27" t="str">
        <f>IF(H841="","",VLOOKUP(H841,'#状态名词'!$A$2:$C$99,3))</f>
        <v>攻击额外伤害C类增伤</v>
      </c>
      <c r="K841" s="26" t="s">
        <v>7740</v>
      </c>
    </row>
    <row r="842" spans="1:11">
      <c r="A842" s="27">
        <v>32018</v>
      </c>
      <c r="B842" s="20"/>
      <c r="C842" s="16"/>
      <c r="E842" s="27">
        <v>1</v>
      </c>
      <c r="F842" s="27">
        <v>0</v>
      </c>
      <c r="H842" s="27">
        <v>47</v>
      </c>
      <c r="I842" s="27" t="s">
        <v>9006</v>
      </c>
      <c r="J842" s="27" t="s">
        <v>9007</v>
      </c>
      <c r="K842" s="26" t="s">
        <v>5349</v>
      </c>
    </row>
    <row r="843" spans="1:11">
      <c r="A843" s="20">
        <v>33001</v>
      </c>
      <c r="B843" s="27" t="s">
        <v>3747</v>
      </c>
      <c r="E843" s="27">
        <v>1</v>
      </c>
      <c r="F843" s="27">
        <v>0</v>
      </c>
      <c r="H843" s="27">
        <v>2</v>
      </c>
      <c r="I843" s="27" t="str">
        <f>IF(H843="","",VLOOKUP(H843,'#状态名词'!$A$2:$C$99,2))</f>
        <v>damaup</v>
      </c>
      <c r="J843" s="27" t="str">
        <f>IF(H843="","",VLOOKUP(H843,'#状态名词'!$A$2:$C$99,3))</f>
        <v>伤害提升A类增伤</v>
      </c>
      <c r="K843" s="26" t="s">
        <v>8063</v>
      </c>
    </row>
    <row r="844" spans="1:11">
      <c r="A844" s="20">
        <v>33003</v>
      </c>
      <c r="B844" s="27" t="s">
        <v>3749</v>
      </c>
      <c r="C844" s="36">
        <v>0.02</v>
      </c>
      <c r="E844" s="27">
        <v>1</v>
      </c>
      <c r="F844" s="27">
        <v>-1</v>
      </c>
      <c r="H844" s="27">
        <v>7</v>
      </c>
      <c r="I844" s="27" t="str">
        <f>IF(H844="","",VLOOKUP(H844,'#状态名词'!$A$2:$C$99,2))</f>
        <v>pvpjs_per</v>
      </c>
      <c r="J844" s="27" t="str">
        <f>IF(H844="","",VLOOKUP(H844,'#状态名词'!$A$2:$C$99,3))</f>
        <v>pvp减伤</v>
      </c>
      <c r="K844" s="26">
        <v>2</v>
      </c>
    </row>
    <row r="845" spans="1:11" ht="27">
      <c r="A845" s="20">
        <v>33004</v>
      </c>
      <c r="B845" s="68" t="s">
        <v>7874</v>
      </c>
      <c r="C845" s="69" t="s">
        <v>7878</v>
      </c>
      <c r="E845" s="27">
        <v>1</v>
      </c>
      <c r="F845" s="27">
        <v>0</v>
      </c>
      <c r="H845" s="27">
        <v>75</v>
      </c>
      <c r="I845" s="27" t="str">
        <f>IF(H845="","",VLOOKUP(H845,'#状态名词'!$A$2:$C$99,2))</f>
        <v>action_useskill</v>
      </c>
      <c r="J845" s="27" t="str">
        <f>IF(H845="","",VLOOKUP(H845,'#状态名词'!$A$2:$C$99,3))</f>
        <v>行动时有几率使用技能</v>
      </c>
      <c r="K845" s="26" t="s">
        <v>7882</v>
      </c>
    </row>
    <row r="846" spans="1:11" ht="27">
      <c r="A846" s="20">
        <v>33005</v>
      </c>
      <c r="B846" s="68" t="s">
        <v>7875</v>
      </c>
      <c r="C846" s="69" t="s">
        <v>7879</v>
      </c>
      <c r="E846" s="27">
        <v>1</v>
      </c>
      <c r="F846" s="27">
        <v>0</v>
      </c>
      <c r="H846" s="27">
        <v>75</v>
      </c>
      <c r="I846" s="27" t="str">
        <f>IF(H846="","",VLOOKUP(H846,'#状态名词'!$A$2:$C$99,2))</f>
        <v>action_useskill</v>
      </c>
      <c r="J846" s="27" t="str">
        <f>IF(H846="","",VLOOKUP(H846,'#状态名词'!$A$2:$C$99,3))</f>
        <v>行动时有几率使用技能</v>
      </c>
      <c r="K846" s="26" t="s">
        <v>7883</v>
      </c>
    </row>
    <row r="847" spans="1:11">
      <c r="A847" s="27">
        <v>33504</v>
      </c>
      <c r="B847" s="27" t="s">
        <v>3753</v>
      </c>
      <c r="C847" s="27" t="s">
        <v>3754</v>
      </c>
      <c r="E847" s="27">
        <v>1</v>
      </c>
      <c r="F847" s="27">
        <v>-1</v>
      </c>
      <c r="H847" s="27">
        <v>36</v>
      </c>
      <c r="I847" s="27" t="str">
        <f>IF(H847="","",VLOOKUP(H847,'#状态名词'!$A$2:$C$99,2))</f>
        <v>atk_damage</v>
      </c>
      <c r="J847" s="27" t="str">
        <f>IF(H847="","",VLOOKUP(H847,'#状态名词'!$A$2:$C$99,3))</f>
        <v>攻击附加伤害</v>
      </c>
      <c r="K847" s="26" t="s">
        <v>3833</v>
      </c>
    </row>
    <row r="848" spans="1:11">
      <c r="A848" s="27">
        <v>33505</v>
      </c>
      <c r="B848" s="27" t="s">
        <v>3755</v>
      </c>
      <c r="C848" s="27" t="s">
        <v>3756</v>
      </c>
      <c r="E848" s="27">
        <v>1</v>
      </c>
      <c r="F848" s="27">
        <v>-1</v>
      </c>
      <c r="H848" s="27">
        <v>36</v>
      </c>
      <c r="I848" s="27" t="str">
        <f>IF(H848="","",VLOOKUP(H848,'#状态名词'!$A$2:$C$99,2))</f>
        <v>atk_damage</v>
      </c>
      <c r="J848" s="27" t="str">
        <f>IF(H848="","",VLOOKUP(H848,'#状态名词'!$A$2:$C$99,3))</f>
        <v>攻击附加伤害</v>
      </c>
      <c r="K848" s="26" t="s">
        <v>3834</v>
      </c>
    </row>
    <row r="849" spans="1:11">
      <c r="A849" s="27">
        <v>33506</v>
      </c>
      <c r="B849" s="27" t="s">
        <v>3757</v>
      </c>
      <c r="C849" s="27" t="s">
        <v>3758</v>
      </c>
      <c r="E849" s="27">
        <v>1</v>
      </c>
      <c r="F849" s="27">
        <v>-1</v>
      </c>
      <c r="H849" s="27">
        <v>36</v>
      </c>
      <c r="I849" s="27" t="str">
        <f>IF(H849="","",VLOOKUP(H849,'#状态名词'!$A$2:$C$99,2))</f>
        <v>atk_damage</v>
      </c>
      <c r="J849" s="27" t="str">
        <f>IF(H849="","",VLOOKUP(H849,'#状态名词'!$A$2:$C$99,3))</f>
        <v>攻击附加伤害</v>
      </c>
      <c r="K849" s="26" t="s">
        <v>3835</v>
      </c>
    </row>
    <row r="850" spans="1:11">
      <c r="A850" s="27">
        <v>33507</v>
      </c>
      <c r="B850" s="27" t="s">
        <v>3759</v>
      </c>
      <c r="C850" s="27" t="s">
        <v>3760</v>
      </c>
      <c r="E850" s="27">
        <v>1</v>
      </c>
      <c r="F850" s="27">
        <v>-1</v>
      </c>
      <c r="H850" s="27">
        <v>33</v>
      </c>
      <c r="I850" s="27" t="str">
        <f>IF(H850="","",VLOOKUP(H850,'#状态名词'!$A$2:$C$99,2))</f>
        <v>relight</v>
      </c>
      <c r="J850" s="27" t="str">
        <f>IF(H850="","",VLOOKUP(H850,'#状态名词'!$A$2:$C$99,3))</f>
        <v>光属性抗性</v>
      </c>
      <c r="K850" s="26">
        <v>-10</v>
      </c>
    </row>
    <row r="851" spans="1:11">
      <c r="B851" s="27" t="s">
        <v>84</v>
      </c>
      <c r="H851" s="27">
        <v>29</v>
      </c>
      <c r="I851" s="27" t="str">
        <f>IF(H851="","",VLOOKUP(H851,'#状态名词'!$A$2:$C$99,2))</f>
        <v>darkup</v>
      </c>
      <c r="J851" s="27" t="str">
        <f>IF(H851="","",VLOOKUP(H851,'#状态名词'!$A$2:$C$99,3))</f>
        <v>暗属性强化</v>
      </c>
      <c r="K851" s="26">
        <v>10</v>
      </c>
    </row>
    <row r="852" spans="1:11">
      <c r="A852" s="27">
        <v>33508</v>
      </c>
      <c r="B852" s="27" t="s">
        <v>3761</v>
      </c>
      <c r="C852" s="27" t="s">
        <v>3762</v>
      </c>
      <c r="E852" s="27">
        <v>1</v>
      </c>
      <c r="F852" s="27">
        <v>-1</v>
      </c>
      <c r="H852" s="27">
        <v>59</v>
      </c>
      <c r="I852" s="27" t="str">
        <f>IF(H852="","",VLOOKUP(H852,'#状态名词'!$A$2:$C$99,2))</f>
        <v>vit_per</v>
      </c>
      <c r="J852" s="27" t="str">
        <f>IF(H852="","",VLOOKUP(H852,'#状态名词'!$A$2:$C$99,3))</f>
        <v>体力百分比</v>
      </c>
      <c r="K852" s="26" t="s">
        <v>5408</v>
      </c>
    </row>
    <row r="853" spans="1:11">
      <c r="B853" s="27" t="s">
        <v>84</v>
      </c>
      <c r="H853" s="27">
        <v>29</v>
      </c>
      <c r="I853" s="27" t="str">
        <f>IF(H853="","",VLOOKUP(H853,'#状态名词'!$A$2:$C$99,2))</f>
        <v>darkup</v>
      </c>
      <c r="J853" s="27" t="str">
        <f>IF(H853="","",VLOOKUP(H853,'#状态名词'!$A$2:$C$99,3))</f>
        <v>暗属性强化</v>
      </c>
      <c r="K853" s="26" t="s">
        <v>5409</v>
      </c>
    </row>
    <row r="854" spans="1:11">
      <c r="A854" s="27">
        <v>33509</v>
      </c>
      <c r="B854" s="27" t="s">
        <v>3763</v>
      </c>
      <c r="C854" s="27" t="s">
        <v>3764</v>
      </c>
      <c r="E854" s="27">
        <v>1</v>
      </c>
      <c r="F854" s="27">
        <v>-1</v>
      </c>
      <c r="H854" s="27">
        <v>55</v>
      </c>
      <c r="I854" s="27" t="str">
        <f>IF(H854="","",VLOOKUP(H854,'#状态名词'!$A$2:$C$99,2))</f>
        <v>spi_per</v>
      </c>
      <c r="J854" s="27" t="str">
        <f>IF(H854="","",VLOOKUP(H854,'#状态名词'!$A$2:$C$99,3))</f>
        <v>精神百分比</v>
      </c>
      <c r="K854" s="26" t="s">
        <v>5408</v>
      </c>
    </row>
    <row r="855" spans="1:11">
      <c r="B855" s="27" t="s">
        <v>84</v>
      </c>
      <c r="H855" s="27">
        <v>29</v>
      </c>
      <c r="I855" s="27" t="str">
        <f>IF(H855="","",VLOOKUP(H855,'#状态名词'!$A$2:$C$99,2))</f>
        <v>darkup</v>
      </c>
      <c r="J855" s="27" t="str">
        <f>IF(H855="","",VLOOKUP(H855,'#状态名词'!$A$2:$C$99,3))</f>
        <v>暗属性强化</v>
      </c>
      <c r="K855" s="26" t="s">
        <v>5410</v>
      </c>
    </row>
    <row r="856" spans="1:11">
      <c r="A856" s="27">
        <v>33510</v>
      </c>
      <c r="B856" s="27" t="s">
        <v>3765</v>
      </c>
      <c r="C856" s="27" t="s">
        <v>3766</v>
      </c>
      <c r="E856" s="27">
        <v>-1</v>
      </c>
      <c r="F856" s="27">
        <v>-1</v>
      </c>
      <c r="H856" s="27">
        <v>29</v>
      </c>
      <c r="I856" s="27" t="str">
        <f>IF(H856="","",VLOOKUP(H856,'#状态名词'!$A$2:$C$99,2))</f>
        <v>darkup</v>
      </c>
      <c r="J856" s="27" t="str">
        <f>IF(H856="","",VLOOKUP(H856,'#状态名词'!$A$2:$C$99,3))</f>
        <v>暗属性强化</v>
      </c>
      <c r="K856" s="26" t="s">
        <v>5411</v>
      </c>
    </row>
    <row r="857" spans="1:11">
      <c r="A857" s="27">
        <v>33511</v>
      </c>
      <c r="B857" s="27" t="s">
        <v>3767</v>
      </c>
      <c r="C857" s="27" t="s">
        <v>3768</v>
      </c>
      <c r="E857" s="27">
        <v>-1</v>
      </c>
      <c r="F857" s="27">
        <v>-1</v>
      </c>
      <c r="H857" s="27">
        <v>29</v>
      </c>
      <c r="I857" s="27" t="str">
        <f>IF(H857="","",VLOOKUP(H857,'#状态名词'!$A$2:$C$99,2))</f>
        <v>darkup</v>
      </c>
      <c r="J857" s="27" t="str">
        <f>IF(H857="","",VLOOKUP(H857,'#状态名词'!$A$2:$C$99,3))</f>
        <v>暗属性强化</v>
      </c>
      <c r="K857" s="26" t="s">
        <v>5353</v>
      </c>
    </row>
    <row r="858" spans="1:11">
      <c r="A858" s="27">
        <v>33512</v>
      </c>
      <c r="B858" s="27" t="s">
        <v>3769</v>
      </c>
      <c r="C858" s="27" t="s">
        <v>3770</v>
      </c>
      <c r="E858" s="27">
        <v>1</v>
      </c>
      <c r="F858" s="27">
        <v>-1</v>
      </c>
      <c r="H858" s="27">
        <v>34</v>
      </c>
      <c r="I858" s="27" t="str">
        <f>IF(H858="","",VLOOKUP(H858,'#状态名词'!$A$2:$C$99,2))</f>
        <v>redark</v>
      </c>
      <c r="J858" s="27" t="str">
        <f>IF(H858="","",VLOOKUP(H858,'#状态名词'!$A$2:$C$99,3))</f>
        <v>暗属性抗性</v>
      </c>
      <c r="K858" s="26" t="s">
        <v>5412</v>
      </c>
    </row>
    <row r="859" spans="1:11">
      <c r="A859" s="27">
        <v>33519</v>
      </c>
      <c r="B859" s="27" t="s">
        <v>3777</v>
      </c>
      <c r="C859" s="27" t="s">
        <v>3778</v>
      </c>
      <c r="E859" s="27">
        <v>1</v>
      </c>
      <c r="F859" s="27">
        <v>0</v>
      </c>
      <c r="H859" s="27">
        <v>76</v>
      </c>
      <c r="I859" s="27" t="str">
        <f>IF(H859="","",VLOOKUP(H859,'#状态名词'!$A$2:$C$99,2))</f>
        <v>hurt_userskill</v>
      </c>
      <c r="J859" s="27" t="str">
        <f>IF(H859="","",VLOOKUP(H859,'#状态名词'!$A$2:$C$99,3))</f>
        <v>被攻击有几率使用技能</v>
      </c>
      <c r="K859" s="26">
        <v>33691</v>
      </c>
    </row>
    <row r="860" spans="1:11">
      <c r="A860" s="27">
        <v>33520</v>
      </c>
      <c r="B860" s="27" t="s">
        <v>3779</v>
      </c>
      <c r="C860" s="27" t="s">
        <v>3780</v>
      </c>
      <c r="E860" s="27">
        <v>1</v>
      </c>
      <c r="F860" s="27">
        <v>0</v>
      </c>
      <c r="H860" s="27">
        <v>76</v>
      </c>
      <c r="I860" s="27" t="str">
        <f>IF(H860="","",VLOOKUP(H860,'#状态名词'!$A$2:$C$99,2))</f>
        <v>hurt_userskill</v>
      </c>
      <c r="J860" s="27" t="str">
        <f>IF(H860="","",VLOOKUP(H860,'#状态名词'!$A$2:$C$99,3))</f>
        <v>被攻击有几率使用技能</v>
      </c>
      <c r="K860" s="26">
        <v>33692</v>
      </c>
    </row>
    <row r="861" spans="1:11">
      <c r="A861" s="27">
        <v>33521</v>
      </c>
      <c r="B861" s="27" t="s">
        <v>3781</v>
      </c>
      <c r="C861" s="27" t="s">
        <v>3782</v>
      </c>
      <c r="E861" s="27">
        <v>1</v>
      </c>
      <c r="F861" s="27">
        <v>0</v>
      </c>
      <c r="H861" s="27">
        <v>76</v>
      </c>
      <c r="I861" s="27" t="str">
        <f>IF(H861="","",VLOOKUP(H861,'#状态名词'!$A$2:$C$99,2))</f>
        <v>hurt_userskill</v>
      </c>
      <c r="J861" s="27" t="str">
        <f>IF(H861="","",VLOOKUP(H861,'#状态名词'!$A$2:$C$99,3))</f>
        <v>被攻击有几率使用技能</v>
      </c>
      <c r="K861" s="26">
        <v>33693</v>
      </c>
    </row>
    <row r="862" spans="1:11">
      <c r="A862" s="27">
        <v>33522</v>
      </c>
      <c r="B862" s="27" t="s">
        <v>3783</v>
      </c>
      <c r="C862" s="27" t="s">
        <v>3784</v>
      </c>
      <c r="E862" s="27">
        <v>1</v>
      </c>
      <c r="F862" s="27">
        <v>0</v>
      </c>
      <c r="H862" s="27">
        <v>75</v>
      </c>
      <c r="I862" s="27" t="str">
        <f>IF(H862="","",VLOOKUP(H862,'#状态名词'!$A$2:$C$99,2))</f>
        <v>action_useskill</v>
      </c>
      <c r="J862" s="27" t="str">
        <f>IF(H862="","",VLOOKUP(H862,'#状态名词'!$A$2:$C$99,3))</f>
        <v>行动时有几率使用技能</v>
      </c>
      <c r="K862" s="26">
        <v>33694</v>
      </c>
    </row>
    <row r="863" spans="1:11">
      <c r="A863" s="27">
        <v>33523</v>
      </c>
      <c r="B863" s="27" t="s">
        <v>3785</v>
      </c>
      <c r="C863" s="27" t="s">
        <v>3786</v>
      </c>
      <c r="E863" s="27">
        <v>1</v>
      </c>
      <c r="F863" s="27">
        <v>0</v>
      </c>
      <c r="H863" s="27">
        <v>75</v>
      </c>
      <c r="I863" s="27" t="str">
        <f>IF(H863="","",VLOOKUP(H863,'#状态名词'!$A$2:$C$99,2))</f>
        <v>action_useskill</v>
      </c>
      <c r="J863" s="27" t="str">
        <f>IF(H863="","",VLOOKUP(H863,'#状态名词'!$A$2:$C$99,3))</f>
        <v>行动时有几率使用技能</v>
      </c>
      <c r="K863" s="26">
        <v>33695</v>
      </c>
    </row>
    <row r="864" spans="1:11">
      <c r="A864" s="27">
        <v>33524</v>
      </c>
      <c r="B864" s="27" t="s">
        <v>3787</v>
      </c>
      <c r="C864" s="27" t="s">
        <v>3788</v>
      </c>
      <c r="E864" s="27">
        <v>1</v>
      </c>
      <c r="F864" s="27">
        <v>0</v>
      </c>
      <c r="H864" s="27">
        <v>75</v>
      </c>
      <c r="I864" s="27" t="str">
        <f>IF(H864="","",VLOOKUP(H864,'#状态名词'!$A$2:$C$99,2))</f>
        <v>action_useskill</v>
      </c>
      <c r="J864" s="27" t="str">
        <f>IF(H864="","",VLOOKUP(H864,'#状态名词'!$A$2:$C$99,3))</f>
        <v>行动时有几率使用技能</v>
      </c>
      <c r="K864" s="26">
        <v>33696</v>
      </c>
    </row>
    <row r="865" spans="1:12">
      <c r="A865" s="27">
        <v>33527</v>
      </c>
      <c r="B865" s="27" t="s">
        <v>3791</v>
      </c>
      <c r="C865" s="27" t="s">
        <v>3792</v>
      </c>
      <c r="E865" s="27">
        <v>1</v>
      </c>
      <c r="F865" s="27">
        <v>-1</v>
      </c>
      <c r="H865" s="27">
        <v>21</v>
      </c>
      <c r="I865" s="27" t="str">
        <f>IF(H865="","",VLOOKUP(H865,'#状态名词'!$A$2:$C$99,2))</f>
        <v>speed</v>
      </c>
      <c r="J865" s="27" t="str">
        <f>IF(H865="","",VLOOKUP(H865,'#状态名词'!$A$2:$C$99,3))</f>
        <v>速度+</v>
      </c>
      <c r="K865" s="26" t="s">
        <v>5413</v>
      </c>
    </row>
    <row r="866" spans="1:12">
      <c r="B866" s="27" t="s">
        <v>84</v>
      </c>
      <c r="H866" s="27">
        <v>14</v>
      </c>
      <c r="I866" s="27" t="str">
        <f>IF(H866="","",VLOOKUP(H866,'#状态名词'!$A$2:$C$99,2))</f>
        <v>arm_per</v>
      </c>
      <c r="J866" s="27" t="str">
        <f>IF(H866="","",VLOOKUP(H866,'#状态名词'!$A$2:$C$99,3))</f>
        <v>护甲百分比</v>
      </c>
      <c r="K866" s="26" t="s">
        <v>5414</v>
      </c>
    </row>
    <row r="867" spans="1:12">
      <c r="B867" s="27" t="s">
        <v>84</v>
      </c>
      <c r="H867" s="27">
        <v>16</v>
      </c>
      <c r="I867" s="27" t="str">
        <f>IF(H867="","",VLOOKUP(H867,'#状态名词'!$A$2:$C$99,2))</f>
        <v>mr_per</v>
      </c>
      <c r="J867" s="27" t="str">
        <f>IF(H867="","",VLOOKUP(H867,'#状态名词'!$A$2:$C$99,3))</f>
        <v>魔抗百分比</v>
      </c>
      <c r="K867" s="26" t="s">
        <v>5414</v>
      </c>
    </row>
    <row r="868" spans="1:12">
      <c r="A868" s="27">
        <v>33529</v>
      </c>
      <c r="B868" s="27" t="s">
        <v>3794</v>
      </c>
      <c r="C868" s="27" t="s">
        <v>3795</v>
      </c>
      <c r="E868" s="27">
        <v>1</v>
      </c>
      <c r="F868" s="27">
        <v>-1</v>
      </c>
      <c r="H868" s="27">
        <v>39</v>
      </c>
      <c r="I868" s="27" t="str">
        <f>IF(H868="","",VLOOKUP(H868,'#状态名词'!$A$2:$C$99,2))</f>
        <v>action_heal</v>
      </c>
      <c r="J868" s="27" t="str">
        <f>IF(H868="","",VLOOKUP(H868,'#状态名词'!$A$2:$C$99,3))</f>
        <v>行动时治疗</v>
      </c>
      <c r="K868" s="26" t="s">
        <v>5415</v>
      </c>
    </row>
    <row r="869" spans="1:12">
      <c r="B869" s="27" t="s">
        <v>84</v>
      </c>
      <c r="H869" s="27">
        <v>21</v>
      </c>
      <c r="I869" s="27" t="str">
        <f>IF(H869="","",VLOOKUP(H869,'#状态名词'!$A$2:$C$99,2))</f>
        <v>speed</v>
      </c>
      <c r="J869" s="27" t="str">
        <f>IF(H869="","",VLOOKUP(H869,'#状态名词'!$A$2:$C$99,3))</f>
        <v>速度+</v>
      </c>
      <c r="K869" s="26" t="s">
        <v>5416</v>
      </c>
    </row>
    <row r="870" spans="1:12">
      <c r="A870" s="27">
        <v>33530</v>
      </c>
      <c r="B870" s="27" t="s">
        <v>3796</v>
      </c>
      <c r="C870" s="27" t="s">
        <v>3797</v>
      </c>
      <c r="E870" s="27">
        <v>10</v>
      </c>
      <c r="F870" s="27">
        <v>-1</v>
      </c>
      <c r="H870" s="27">
        <v>65</v>
      </c>
      <c r="I870" s="27" t="str">
        <f>IF(H870="","",VLOOKUP(H870,'#状态名词'!$A$2:$C$99,2))</f>
        <v>str</v>
      </c>
      <c r="J870" s="27" t="str">
        <f>IF(H870="","",VLOOKUP(H870,'#状态名词'!$A$2:$C$99,3))</f>
        <v>力量</v>
      </c>
      <c r="K870" s="26" t="s">
        <v>5342</v>
      </c>
    </row>
    <row r="871" spans="1:12">
      <c r="B871" s="27" t="s">
        <v>84</v>
      </c>
      <c r="H871" s="27">
        <v>67</v>
      </c>
      <c r="I871" s="27" t="str">
        <f>IF(H871="","",VLOOKUP(H871,'#状态名词'!$A$2:$C$99,2))</f>
        <v>inte</v>
      </c>
      <c r="J871" s="27" t="str">
        <f>IF(H871="","",VLOOKUP(H871,'#状态名词'!$A$2:$C$99,3))</f>
        <v>智力</v>
      </c>
      <c r="K871" s="26" t="s">
        <v>5342</v>
      </c>
    </row>
    <row r="872" spans="1:12">
      <c r="A872" s="27">
        <v>33528</v>
      </c>
      <c r="B872" s="27" t="s">
        <v>7469</v>
      </c>
      <c r="C872" s="27" t="s">
        <v>3797</v>
      </c>
      <c r="E872" s="27">
        <v>10</v>
      </c>
      <c r="F872" s="27">
        <v>-1</v>
      </c>
      <c r="H872" s="27">
        <v>65</v>
      </c>
      <c r="I872" s="27" t="str">
        <f>IF(H872="","",VLOOKUP(H872,'#状态名词'!$A$2:$C$99,2))</f>
        <v>str</v>
      </c>
      <c r="J872" s="27" t="str">
        <f>IF(H872="","",VLOOKUP(H872,'#状态名词'!$A$2:$C$99,3))</f>
        <v>力量</v>
      </c>
      <c r="K872" s="26" t="s">
        <v>5361</v>
      </c>
    </row>
    <row r="873" spans="1:12">
      <c r="B873" s="27" t="s">
        <v>84</v>
      </c>
      <c r="H873" s="27">
        <v>67</v>
      </c>
      <c r="I873" s="27" t="str">
        <f>IF(H873="","",VLOOKUP(H873,'#状态名词'!$A$2:$C$99,2))</f>
        <v>inte</v>
      </c>
      <c r="J873" s="27" t="str">
        <f>IF(H873="","",VLOOKUP(H873,'#状态名词'!$A$2:$C$99,3))</f>
        <v>智力</v>
      </c>
      <c r="K873" s="26" t="s">
        <v>5361</v>
      </c>
    </row>
    <row r="874" spans="1:12">
      <c r="B874" s="27" t="s">
        <v>84</v>
      </c>
      <c r="H874" s="27">
        <v>19</v>
      </c>
      <c r="I874" s="27" t="str">
        <f>IF(H874="","",VLOOKUP(H874,'#状态名词'!$A$2:$C$99,2))</f>
        <v>rating</v>
      </c>
      <c r="J874" s="27" t="str">
        <f>IF(H874="","",VLOOKUP(H874,'#状态名词'!$A$2:$C$99,3))</f>
        <v>暴击+</v>
      </c>
      <c r="K874" s="26" t="s">
        <v>5337</v>
      </c>
    </row>
    <row r="875" spans="1:12">
      <c r="A875" s="27">
        <v>33532</v>
      </c>
      <c r="B875" s="27" t="s">
        <v>7423</v>
      </c>
      <c r="C875" s="27" t="s">
        <v>4461</v>
      </c>
      <c r="E875" s="27">
        <v>-1</v>
      </c>
      <c r="F875" s="27">
        <v>-1</v>
      </c>
      <c r="H875" s="27">
        <v>29</v>
      </c>
      <c r="I875" s="27" t="str">
        <f>IF(H875="","",VLOOKUP(H875,'#状态名词'!$A$2:$C$99,2))</f>
        <v>darkup</v>
      </c>
      <c r="J875" s="27" t="str">
        <f>IF(H875="","",VLOOKUP(H875,'#状态名词'!$A$2:$C$99,3))</f>
        <v>暗属性强化</v>
      </c>
      <c r="K875" s="26">
        <v>8</v>
      </c>
    </row>
    <row r="876" spans="1:12">
      <c r="A876" s="27">
        <v>33533</v>
      </c>
      <c r="B876" s="27" t="s">
        <v>7424</v>
      </c>
      <c r="C876" s="27" t="s">
        <v>4462</v>
      </c>
      <c r="E876" s="27">
        <v>-1</v>
      </c>
      <c r="F876" s="27">
        <v>-1</v>
      </c>
      <c r="H876" s="27">
        <v>1</v>
      </c>
      <c r="I876" s="27" t="str">
        <f>IF(H876="","",VLOOKUP(H876,'#状态名词'!$A$2:$C$99,2))</f>
        <v>skilldama</v>
      </c>
      <c r="J876" s="27" t="str">
        <f>IF(H876="","",VLOOKUP(H876,'#状态名词'!$A$2:$C$99,3))</f>
        <v>技能伤害和治疗效果提升B类</v>
      </c>
      <c r="K876" s="26">
        <v>1500</v>
      </c>
      <c r="L876" s="27">
        <v>31136</v>
      </c>
    </row>
    <row r="877" spans="1:12">
      <c r="A877" s="27">
        <v>33534</v>
      </c>
      <c r="B877" s="27" t="s">
        <v>7425</v>
      </c>
      <c r="C877" s="27" t="s">
        <v>4463</v>
      </c>
      <c r="E877" s="27">
        <v>-1</v>
      </c>
      <c r="F877" s="27">
        <v>-1</v>
      </c>
      <c r="H877" s="27">
        <v>19</v>
      </c>
      <c r="I877" s="27" t="str">
        <f>IF(H877="","",VLOOKUP(H877,'#状态名词'!$A$2:$C$99,2))</f>
        <v>rating</v>
      </c>
      <c r="J877" s="27" t="str">
        <f>IF(H877="","",VLOOKUP(H877,'#状态名词'!$A$2:$C$99,3))</f>
        <v>暴击+</v>
      </c>
      <c r="K877" s="26">
        <v>2000</v>
      </c>
      <c r="L877" s="27">
        <v>31136</v>
      </c>
    </row>
    <row r="878" spans="1:12">
      <c r="A878" s="27">
        <v>33535</v>
      </c>
      <c r="B878" s="27" t="s">
        <v>5020</v>
      </c>
      <c r="C878" s="27" t="s">
        <v>4464</v>
      </c>
      <c r="E878" s="27">
        <v>-1</v>
      </c>
      <c r="F878" s="27">
        <v>3</v>
      </c>
      <c r="H878" s="27">
        <v>21</v>
      </c>
      <c r="I878" s="27" t="str">
        <f>IF(H878="","",VLOOKUP(H878,'#状态名词'!$A$2:$C$99,2))</f>
        <v>speed</v>
      </c>
      <c r="J878" s="27" t="str">
        <f>IF(H878="","",VLOOKUP(H878,'#状态名词'!$A$2:$C$99,3))</f>
        <v>速度+</v>
      </c>
      <c r="K878" s="26">
        <v>1500</v>
      </c>
    </row>
    <row r="879" spans="1:12">
      <c r="A879" s="27">
        <v>33536</v>
      </c>
      <c r="B879" s="27" t="s">
        <v>7426</v>
      </c>
      <c r="C879" s="27" t="s">
        <v>4465</v>
      </c>
      <c r="E879" s="27">
        <v>1</v>
      </c>
      <c r="F879" s="27">
        <v>0</v>
      </c>
      <c r="H879" s="27">
        <v>39</v>
      </c>
      <c r="I879" s="27" t="str">
        <f>IF(H879="","",VLOOKUP(H879,'#状态名词'!$A$2:$C$99,2))</f>
        <v>action_heal</v>
      </c>
      <c r="J879" s="27" t="str">
        <f>IF(H879="","",VLOOKUP(H879,'#状态名词'!$A$2:$C$99,3))</f>
        <v>行动时治疗</v>
      </c>
      <c r="K879" s="26" t="s">
        <v>5417</v>
      </c>
    </row>
    <row r="880" spans="1:12">
      <c r="A880" s="27">
        <v>33537</v>
      </c>
      <c r="B880" s="27" t="s">
        <v>7427</v>
      </c>
      <c r="C880" s="27" t="s">
        <v>4466</v>
      </c>
      <c r="E880" s="27">
        <v>-1</v>
      </c>
      <c r="F880" s="27">
        <v>-1</v>
      </c>
      <c r="H880" s="27">
        <v>25</v>
      </c>
      <c r="I880" s="27" t="str">
        <f>IF(H880="","",VLOOKUP(H880,'#状态名词'!$A$2:$C$99,2))</f>
        <v>duochong</v>
      </c>
      <c r="J880" s="27" t="str">
        <f>IF(H880="","",VLOOKUP(H880,'#状态名词'!$A$2:$C$99,3))</f>
        <v>多重施法</v>
      </c>
      <c r="K880" s="26">
        <v>20</v>
      </c>
    </row>
    <row r="881" spans="1:11">
      <c r="A881" s="27">
        <v>33538</v>
      </c>
      <c r="B881" s="27" t="s">
        <v>7428</v>
      </c>
      <c r="C881" s="27" t="s">
        <v>4467</v>
      </c>
      <c r="E881" s="27">
        <v>-1</v>
      </c>
      <c r="F881" s="27">
        <v>-1</v>
      </c>
      <c r="H881" s="27">
        <v>70</v>
      </c>
      <c r="I881" s="27" t="str">
        <f>IF(H881="","",VLOOKUP(H881,'#状态名词'!$A$2:$C$99,2))</f>
        <v>eva</v>
      </c>
      <c r="J881" s="27" t="str">
        <f>IF(H881="","",VLOOKUP(H881,'#状态名词'!$A$2:$C$99,3))</f>
        <v>回避率</v>
      </c>
      <c r="K881" s="26">
        <v>50</v>
      </c>
    </row>
    <row r="882" spans="1:11">
      <c r="A882" s="27">
        <v>33542</v>
      </c>
      <c r="B882" s="27" t="s">
        <v>4162</v>
      </c>
      <c r="C882" s="27" t="s">
        <v>4468</v>
      </c>
      <c r="E882" s="27">
        <v>-1</v>
      </c>
      <c r="F882" s="27">
        <v>0</v>
      </c>
      <c r="H882" s="27">
        <v>40</v>
      </c>
      <c r="I882" s="27" t="str">
        <f>IF(H882="","",VLOOKUP(H882,'#状态名词'!$A$2:$C$99,2))</f>
        <v>hurt_heal</v>
      </c>
      <c r="J882" s="27" t="str">
        <f>IF(H882="","",VLOOKUP(H882,'#状态名词'!$A$2:$C$99,3))</f>
        <v>被攻击时治疗</v>
      </c>
      <c r="K882" s="26" t="s">
        <v>5418</v>
      </c>
    </row>
    <row r="883" spans="1:11">
      <c r="A883" s="27">
        <v>33543</v>
      </c>
      <c r="B883" s="27" t="s">
        <v>7429</v>
      </c>
      <c r="C883" s="27" t="s">
        <v>5419</v>
      </c>
      <c r="E883" s="27">
        <v>-1</v>
      </c>
      <c r="F883" s="27">
        <v>-1</v>
      </c>
      <c r="H883" s="27">
        <v>2</v>
      </c>
      <c r="I883" s="27" t="str">
        <f>IF(H883="","",VLOOKUP(H883,'#状态名词'!$A$2:$C$99,2))</f>
        <v>damaup</v>
      </c>
      <c r="J883" s="27" t="str">
        <f>IF(H883="","",VLOOKUP(H883,'#状态名词'!$A$2:$C$99,3))</f>
        <v>伤害提升A类增伤</v>
      </c>
      <c r="K883" s="26">
        <v>10</v>
      </c>
    </row>
    <row r="884" spans="1:11">
      <c r="A884" s="27">
        <v>33544</v>
      </c>
      <c r="B884" s="27" t="s">
        <v>7430</v>
      </c>
      <c r="C884" s="27" t="s">
        <v>3644</v>
      </c>
      <c r="E884" s="27">
        <v>-1</v>
      </c>
      <c r="F884" s="27">
        <v>-1</v>
      </c>
      <c r="H884" s="27">
        <v>65</v>
      </c>
      <c r="I884" s="27" t="str">
        <f>IF(H884="","",VLOOKUP(H884,'#状态名词'!$A$2:$C$99,2))</f>
        <v>str</v>
      </c>
      <c r="J884" s="27" t="str">
        <f>IF(H884="","",VLOOKUP(H884,'#状态名词'!$A$2:$C$99,3))</f>
        <v>力量</v>
      </c>
      <c r="K884" s="26">
        <v>20</v>
      </c>
    </row>
    <row r="885" spans="1:11">
      <c r="B885" s="27" t="s">
        <v>84</v>
      </c>
      <c r="E885" s="27">
        <v>-1</v>
      </c>
      <c r="F885" s="27">
        <v>-1</v>
      </c>
      <c r="H885" s="27">
        <v>67</v>
      </c>
      <c r="I885" s="27" t="str">
        <f>IF(H885="","",VLOOKUP(H885,'#状态名词'!$A$2:$C$99,2))</f>
        <v>inte</v>
      </c>
      <c r="J885" s="27" t="str">
        <f>IF(H885="","",VLOOKUP(H885,'#状态名词'!$A$2:$C$99,3))</f>
        <v>智力</v>
      </c>
      <c r="K885" s="26">
        <v>20</v>
      </c>
    </row>
    <row r="886" spans="1:11">
      <c r="A886" s="27">
        <v>33545</v>
      </c>
      <c r="B886" s="27">
        <v>0</v>
      </c>
      <c r="C886" s="27" t="s">
        <v>3644</v>
      </c>
      <c r="E886" s="27">
        <v>-1</v>
      </c>
      <c r="F886" s="27">
        <v>-1</v>
      </c>
      <c r="H886" s="27">
        <v>65</v>
      </c>
      <c r="I886" s="27" t="str">
        <f>IF(H886="","",VLOOKUP(H886,'#状态名词'!$A$2:$C$99,2))</f>
        <v>str</v>
      </c>
      <c r="J886" s="27" t="str">
        <f>IF(H886="","",VLOOKUP(H886,'#状态名词'!$A$2:$C$99,3))</f>
        <v>力量</v>
      </c>
      <c r="K886" s="26">
        <v>-20</v>
      </c>
    </row>
    <row r="887" spans="1:11">
      <c r="B887" s="27" t="s">
        <v>84</v>
      </c>
      <c r="E887" s="27">
        <v>-1</v>
      </c>
      <c r="F887" s="27">
        <v>-1</v>
      </c>
      <c r="H887" s="27">
        <v>67</v>
      </c>
      <c r="I887" s="27" t="str">
        <f>IF(H887="","",VLOOKUP(H887,'#状态名词'!$A$2:$C$99,2))</f>
        <v>inte</v>
      </c>
      <c r="J887" s="27" t="str">
        <f>IF(H887="","",VLOOKUP(H887,'#状态名词'!$A$2:$C$99,3))</f>
        <v>智力</v>
      </c>
      <c r="K887" s="26">
        <v>-20</v>
      </c>
    </row>
    <row r="888" spans="1:11">
      <c r="A888" s="27">
        <v>33546</v>
      </c>
      <c r="B888" s="27" t="s">
        <v>7431</v>
      </c>
      <c r="C888" s="27" t="s">
        <v>4472</v>
      </c>
      <c r="E888" s="27">
        <v>-1</v>
      </c>
      <c r="F888" s="27">
        <v>-1</v>
      </c>
      <c r="H888" s="27">
        <v>54</v>
      </c>
      <c r="I888" s="27" t="str">
        <f>IF(H888="","",VLOOKUP(H888,'#状态名词'!$A$2:$C$99,2))</f>
        <v>spi</v>
      </c>
      <c r="J888" s="27" t="str">
        <f>IF(H888="","",VLOOKUP(H888,'#状态名词'!$A$2:$C$99,3))</f>
        <v>精神</v>
      </c>
      <c r="K888" s="26">
        <v>10</v>
      </c>
    </row>
    <row r="889" spans="1:11">
      <c r="A889" s="27">
        <v>33547</v>
      </c>
      <c r="B889" s="27">
        <v>0</v>
      </c>
      <c r="E889" s="27">
        <v>-1</v>
      </c>
      <c r="F889" s="27">
        <v>-1</v>
      </c>
      <c r="H889" s="27">
        <v>54</v>
      </c>
      <c r="I889" s="27" t="str">
        <f>IF(H889="","",VLOOKUP(H889,'#状态名词'!$A$2:$C$99,2))</f>
        <v>spi</v>
      </c>
      <c r="J889" s="27" t="str">
        <f>IF(H889="","",VLOOKUP(H889,'#状态名词'!$A$2:$C$99,3))</f>
        <v>精神</v>
      </c>
      <c r="K889" s="26">
        <v>-10</v>
      </c>
    </row>
    <row r="890" spans="1:11">
      <c r="A890" s="27">
        <v>33548</v>
      </c>
      <c r="B890" s="27" t="s">
        <v>7432</v>
      </c>
      <c r="C890" s="27" t="s">
        <v>3645</v>
      </c>
      <c r="E890" s="27">
        <v>1</v>
      </c>
      <c r="F890" s="27">
        <v>0</v>
      </c>
      <c r="H890" s="27">
        <v>36</v>
      </c>
      <c r="I890" s="27" t="str">
        <f>IF(H890="","",VLOOKUP(H890,'#状态名词'!$A$2:$C$99,2))</f>
        <v>atk_damage</v>
      </c>
      <c r="J890" s="27" t="str">
        <f>IF(H890="","",VLOOKUP(H890,'#状态名词'!$A$2:$C$99,3))</f>
        <v>攻击附加伤害</v>
      </c>
      <c r="K890" s="26" t="s">
        <v>5420</v>
      </c>
    </row>
    <row r="891" spans="1:11">
      <c r="A891" s="27">
        <v>33550</v>
      </c>
      <c r="B891" s="27" t="s">
        <v>7433</v>
      </c>
      <c r="C891" s="27" t="s">
        <v>4476</v>
      </c>
      <c r="E891" s="27">
        <v>1</v>
      </c>
      <c r="F891" s="27">
        <v>0</v>
      </c>
      <c r="H891" s="27">
        <v>39</v>
      </c>
      <c r="I891" s="27" t="str">
        <f>IF(H891="","",VLOOKUP(H891,'#状态名词'!$A$2:$C$99,2))</f>
        <v>action_heal</v>
      </c>
      <c r="J891" s="27" t="str">
        <f>IF(H891="","",VLOOKUP(H891,'#状态名词'!$A$2:$C$99,3))</f>
        <v>行动时治疗</v>
      </c>
      <c r="K891" s="26" t="s">
        <v>5421</v>
      </c>
    </row>
    <row r="892" spans="1:11">
      <c r="A892" s="27">
        <v>33552</v>
      </c>
      <c r="B892" s="27" t="s">
        <v>7434</v>
      </c>
      <c r="C892" s="27" t="s">
        <v>3646</v>
      </c>
      <c r="E892" s="27">
        <v>-1</v>
      </c>
      <c r="F892" s="27">
        <v>-1</v>
      </c>
      <c r="H892" s="27">
        <v>24</v>
      </c>
      <c r="I892" s="27" t="str">
        <f>IF(H892="","",VLOOKUP(H892,'#状态名词'!$A$2:$C$99,2))</f>
        <v>heal</v>
      </c>
      <c r="J892" s="27" t="str">
        <f>IF(H892="","",VLOOKUP(H892,'#状态名词'!$A$2:$C$99,3))</f>
        <v>治疗效果+</v>
      </c>
      <c r="K892" s="26">
        <v>80</v>
      </c>
    </row>
    <row r="893" spans="1:11">
      <c r="A893" s="27">
        <v>33553</v>
      </c>
      <c r="B893" s="27" t="s">
        <v>7435</v>
      </c>
      <c r="C893" s="27" t="s">
        <v>4479</v>
      </c>
      <c r="E893" s="27">
        <v>1</v>
      </c>
      <c r="F893" s="27">
        <v>0</v>
      </c>
      <c r="H893" s="27">
        <v>36</v>
      </c>
      <c r="I893" s="27" t="str">
        <f>IF(H893="","",VLOOKUP(H893,'#状态名词'!$A$2:$C$99,2))</f>
        <v>atk_damage</v>
      </c>
      <c r="J893" s="27" t="str">
        <f>IF(H893="","",VLOOKUP(H893,'#状态名词'!$A$2:$C$99,3))</f>
        <v>攻击附加伤害</v>
      </c>
      <c r="K893" s="26">
        <v>2000</v>
      </c>
    </row>
    <row r="894" spans="1:11">
      <c r="A894" s="27">
        <v>33554</v>
      </c>
      <c r="B894" s="27" t="s">
        <v>7436</v>
      </c>
      <c r="C894" s="27" t="s">
        <v>5422</v>
      </c>
      <c r="E894" s="27">
        <v>-1</v>
      </c>
      <c r="F894" s="27">
        <v>-1</v>
      </c>
      <c r="H894" s="27">
        <v>2</v>
      </c>
      <c r="I894" s="27" t="str">
        <f>IF(H894="","",VLOOKUP(H894,'#状态名词'!$A$2:$C$99,2))</f>
        <v>damaup</v>
      </c>
      <c r="J894" s="27" t="str">
        <f>IF(H894="","",VLOOKUP(H894,'#状态名词'!$A$2:$C$99,3))</f>
        <v>伤害提升A类增伤</v>
      </c>
      <c r="K894" s="26">
        <v>5</v>
      </c>
    </row>
    <row r="895" spans="1:11">
      <c r="B895" s="27" t="s">
        <v>84</v>
      </c>
      <c r="E895" s="27">
        <v>-1</v>
      </c>
      <c r="F895" s="27">
        <v>-1</v>
      </c>
      <c r="H895" s="27">
        <v>13</v>
      </c>
      <c r="I895" s="27" t="str">
        <f>IF(H895="","",VLOOKUP(H895,'#状态名词'!$A$2:$C$99,2))</f>
        <v>arm</v>
      </c>
      <c r="J895" s="27" t="str">
        <f>IF(H895="","",VLOOKUP(H895,'#状态名词'!$A$2:$C$99,3))</f>
        <v>ARM+</v>
      </c>
      <c r="K895" s="26">
        <v>-500</v>
      </c>
    </row>
    <row r="896" spans="1:11">
      <c r="A896" s="27">
        <v>33555</v>
      </c>
      <c r="B896" s="27" t="s">
        <v>7437</v>
      </c>
      <c r="C896" s="27" t="s">
        <v>3647</v>
      </c>
      <c r="E896" s="27">
        <v>-1</v>
      </c>
      <c r="F896" s="27">
        <v>3</v>
      </c>
      <c r="H896" s="27">
        <v>19</v>
      </c>
      <c r="I896" s="27" t="str">
        <f>IF(H896="","",VLOOKUP(H896,'#状态名词'!$A$2:$C$99,2))</f>
        <v>rating</v>
      </c>
      <c r="J896" s="27" t="str">
        <f>IF(H896="","",VLOOKUP(H896,'#状态名词'!$A$2:$C$99,3))</f>
        <v>暴击+</v>
      </c>
      <c r="K896" s="26">
        <v>4000</v>
      </c>
    </row>
    <row r="897" spans="1:12">
      <c r="B897" s="27" t="s">
        <v>84</v>
      </c>
      <c r="E897" s="27">
        <v>-1</v>
      </c>
      <c r="F897" s="27">
        <v>3</v>
      </c>
      <c r="H897" s="27">
        <v>20</v>
      </c>
      <c r="I897" s="27" t="str">
        <f>IF(H897="","",VLOOKUP(H897,'#状态名词'!$A$2:$C$99,2))</f>
        <v>ratingdamage</v>
      </c>
      <c r="J897" s="27" t="str">
        <f>IF(H897="","",VLOOKUP(H897,'#状态名词'!$A$2:$C$99,3))</f>
        <v>暴伤+</v>
      </c>
      <c r="K897" s="26">
        <v>4000</v>
      </c>
    </row>
    <row r="898" spans="1:12">
      <c r="A898" s="27">
        <v>33556</v>
      </c>
      <c r="B898" s="27" t="s">
        <v>7438</v>
      </c>
      <c r="C898" s="27" t="s">
        <v>4480</v>
      </c>
      <c r="E898" s="27">
        <v>-1</v>
      </c>
      <c r="F898" s="27">
        <v>-1</v>
      </c>
      <c r="H898" s="27">
        <v>23</v>
      </c>
      <c r="I898" s="27" t="str">
        <f>IF(H898="","",VLOOKUP(H898,'#状态名词'!$A$2:$C$99,2))</f>
        <v>steal</v>
      </c>
      <c r="J898" s="27" t="str">
        <f>IF(H898="","",VLOOKUP(H898,'#状态名词'!$A$2:$C$99,3))</f>
        <v>生命偷取</v>
      </c>
      <c r="K898" s="26">
        <v>5000</v>
      </c>
      <c r="L898" s="27">
        <v>41012</v>
      </c>
    </row>
    <row r="899" spans="1:12">
      <c r="A899" s="27">
        <v>33557</v>
      </c>
      <c r="B899" s="27" t="s">
        <v>7439</v>
      </c>
      <c r="C899" s="27" t="s">
        <v>3648</v>
      </c>
      <c r="E899" s="27">
        <v>1</v>
      </c>
      <c r="F899" s="27">
        <v>0</v>
      </c>
      <c r="H899" s="27">
        <v>65</v>
      </c>
      <c r="I899" s="27" t="str">
        <f>IF(H899="","",VLOOKUP(H899,'#状态名词'!$A$2:$C$99,2))</f>
        <v>str</v>
      </c>
      <c r="J899" s="27" t="str">
        <f>IF(H899="","",VLOOKUP(H899,'#状态名词'!$A$2:$C$99,3))</f>
        <v>力量</v>
      </c>
      <c r="K899" s="26">
        <v>250</v>
      </c>
    </row>
    <row r="900" spans="1:12">
      <c r="B900" s="27" t="s">
        <v>84</v>
      </c>
      <c r="E900" s="27">
        <v>1</v>
      </c>
      <c r="F900" s="27">
        <v>0</v>
      </c>
      <c r="H900" s="27">
        <v>67</v>
      </c>
      <c r="I900" s="27" t="str">
        <f>IF(H900="","",VLOOKUP(H900,'#状态名词'!$A$2:$C$99,2))</f>
        <v>inte</v>
      </c>
      <c r="J900" s="27" t="str">
        <f>IF(H900="","",VLOOKUP(H900,'#状态名词'!$A$2:$C$99,3))</f>
        <v>智力</v>
      </c>
      <c r="K900" s="26">
        <v>250</v>
      </c>
    </row>
    <row r="901" spans="1:12">
      <c r="A901" s="27">
        <v>33558</v>
      </c>
      <c r="B901" s="27" t="s">
        <v>7440</v>
      </c>
      <c r="C901" s="27" t="s">
        <v>3649</v>
      </c>
      <c r="E901" s="27">
        <v>-1</v>
      </c>
      <c r="F901" s="27">
        <v>-1</v>
      </c>
      <c r="H901" s="27">
        <v>21</v>
      </c>
      <c r="I901" s="27" t="str">
        <f>IF(H901="","",VLOOKUP(H901,'#状态名词'!$A$2:$C$99,2))</f>
        <v>speed</v>
      </c>
      <c r="J901" s="27" t="str">
        <f>IF(H901="","",VLOOKUP(H901,'#状态名词'!$A$2:$C$99,3))</f>
        <v>速度+</v>
      </c>
      <c r="K901" s="26">
        <v>100</v>
      </c>
    </row>
    <row r="902" spans="1:12">
      <c r="B902" s="27" t="s">
        <v>84</v>
      </c>
      <c r="E902" s="27">
        <v>-1</v>
      </c>
      <c r="F902" s="27">
        <v>-1</v>
      </c>
      <c r="H902" s="27">
        <v>28</v>
      </c>
      <c r="I902" s="27" t="str">
        <f>IF(H902="","",VLOOKUP(H902,'#状态名词'!$A$2:$C$99,2))</f>
        <v>lightup</v>
      </c>
      <c r="J902" s="27" t="str">
        <f>IF(H902="","",VLOOKUP(H902,'#状态名词'!$A$2:$C$99,3))</f>
        <v>光属性强化</v>
      </c>
      <c r="K902" s="26">
        <v>3</v>
      </c>
    </row>
    <row r="903" spans="1:12">
      <c r="A903" s="27">
        <v>33559</v>
      </c>
      <c r="B903" s="27" t="s">
        <v>7441</v>
      </c>
      <c r="C903" s="27" t="s">
        <v>4481</v>
      </c>
      <c r="E903" s="27">
        <v>-1</v>
      </c>
      <c r="F903" s="27">
        <v>-1</v>
      </c>
      <c r="H903" s="27">
        <v>19</v>
      </c>
      <c r="I903" s="27" t="str">
        <f>IF(H903="","",VLOOKUP(H903,'#状态名词'!$A$2:$C$99,2))</f>
        <v>rating</v>
      </c>
      <c r="J903" s="27" t="str">
        <f>IF(H903="","",VLOOKUP(H903,'#状态名词'!$A$2:$C$99,3))</f>
        <v>暴击+</v>
      </c>
      <c r="K903" s="26">
        <v>2000</v>
      </c>
      <c r="L903" s="27">
        <v>41012</v>
      </c>
    </row>
    <row r="904" spans="1:12">
      <c r="A904" s="27">
        <v>33560</v>
      </c>
      <c r="B904" s="27" t="s">
        <v>7442</v>
      </c>
      <c r="C904" s="27" t="s">
        <v>4482</v>
      </c>
      <c r="E904" s="27">
        <v>0</v>
      </c>
      <c r="F904" s="27">
        <v>0</v>
      </c>
      <c r="H904" s="27">
        <v>36</v>
      </c>
      <c r="I904" s="27" t="str">
        <f>IF(H904="","",VLOOKUP(H904,'#状态名词'!$A$2:$C$99,2))</f>
        <v>atk_damage</v>
      </c>
      <c r="J904" s="27" t="str">
        <f>IF(H904="","",VLOOKUP(H904,'#状态名词'!$A$2:$C$99,3))</f>
        <v>攻击附加伤害</v>
      </c>
      <c r="K904" s="26" t="s">
        <v>5332</v>
      </c>
      <c r="L904" s="27">
        <v>41012</v>
      </c>
    </row>
    <row r="905" spans="1:12">
      <c r="A905" s="27">
        <v>33561</v>
      </c>
      <c r="B905" s="27" t="s">
        <v>4483</v>
      </c>
      <c r="E905" s="27">
        <v>3</v>
      </c>
      <c r="F905" s="27">
        <v>-1</v>
      </c>
      <c r="H905" s="27">
        <v>7</v>
      </c>
      <c r="I905" s="27" t="str">
        <f>IF(H905="","",VLOOKUP(H905,'#状态名词'!$A$2:$C$99,2))</f>
        <v>pvpjs_per</v>
      </c>
      <c r="J905" s="27" t="str">
        <f>IF(H905="","",VLOOKUP(H905,'#状态名词'!$A$2:$C$99,3))</f>
        <v>pvp减伤</v>
      </c>
      <c r="K905" s="26" t="s">
        <v>6830</v>
      </c>
    </row>
    <row r="906" spans="1:12">
      <c r="A906" s="27">
        <v>33562</v>
      </c>
      <c r="B906" s="27" t="s">
        <v>3798</v>
      </c>
      <c r="E906" s="27">
        <v>3</v>
      </c>
      <c r="F906" s="27">
        <v>-1</v>
      </c>
      <c r="H906" s="27">
        <v>7</v>
      </c>
      <c r="I906" s="27" t="str">
        <f>IF(H906="","",VLOOKUP(H906,'#状态名词'!$A$2:$C$99,2))</f>
        <v>pvpjs_per</v>
      </c>
      <c r="J906" s="27" t="str">
        <f>IF(H906="","",VLOOKUP(H906,'#状态名词'!$A$2:$C$99,3))</f>
        <v>pvp减伤</v>
      </c>
      <c r="K906" s="26" t="s">
        <v>6831</v>
      </c>
    </row>
    <row r="907" spans="1:12">
      <c r="A907" s="27">
        <v>33563</v>
      </c>
      <c r="B907" s="27" t="s">
        <v>3799</v>
      </c>
      <c r="E907" s="27">
        <v>3</v>
      </c>
      <c r="F907" s="27">
        <v>-1</v>
      </c>
      <c r="H907" s="27">
        <v>3</v>
      </c>
      <c r="I907" s="27" t="str">
        <f>IF(H907="","",VLOOKUP(H907,'#状态名词'!$A$2:$C$99,2))</f>
        <v>attach_dama</v>
      </c>
      <c r="J907" s="27" t="str">
        <f>IF(H907="","",VLOOKUP(H907,'#状态名词'!$A$2:$C$99,3))</f>
        <v>攻击额外伤害C类增伤</v>
      </c>
      <c r="K907" s="26" t="s">
        <v>6830</v>
      </c>
    </row>
    <row r="908" spans="1:12">
      <c r="A908" s="27">
        <v>33564</v>
      </c>
      <c r="B908" s="27" t="s">
        <v>3800</v>
      </c>
      <c r="E908" s="27">
        <v>3</v>
      </c>
      <c r="F908" s="27">
        <v>-1</v>
      </c>
      <c r="H908" s="27">
        <v>3</v>
      </c>
      <c r="I908" s="27" t="str">
        <f>IF(H908="","",VLOOKUP(H908,'#状态名词'!$A$2:$C$99,2))</f>
        <v>attach_dama</v>
      </c>
      <c r="J908" s="27" t="str">
        <f>IF(H908="","",VLOOKUP(H908,'#状态名词'!$A$2:$C$99,3))</f>
        <v>攻击额外伤害C类增伤</v>
      </c>
      <c r="K908" s="26" t="s">
        <v>6831</v>
      </c>
    </row>
    <row r="909" spans="1:12">
      <c r="A909" s="27">
        <v>33565</v>
      </c>
      <c r="B909" s="27" t="s">
        <v>5778</v>
      </c>
      <c r="C909" s="27" t="s">
        <v>5779</v>
      </c>
      <c r="E909" s="27">
        <v>-1</v>
      </c>
      <c r="F909" s="27">
        <v>-1</v>
      </c>
      <c r="H909" s="27">
        <v>36</v>
      </c>
      <c r="I909" s="27" t="str">
        <f>IF(H909="","",VLOOKUP(H909,'#状态名词'!$A$2:$C$99,2))</f>
        <v>atk_damage</v>
      </c>
      <c r="J909" s="27" t="str">
        <f>IF(H909="","",VLOOKUP(H909,'#状态名词'!$A$2:$C$99,3))</f>
        <v>攻击附加伤害</v>
      </c>
      <c r="K909" s="26" t="s">
        <v>5350</v>
      </c>
    </row>
    <row r="910" spans="1:12">
      <c r="A910" s="27">
        <v>33566</v>
      </c>
      <c r="B910" s="27" t="s">
        <v>5780</v>
      </c>
      <c r="C910" s="27" t="s">
        <v>5781</v>
      </c>
      <c r="E910" s="27">
        <v>-1</v>
      </c>
      <c r="F910" s="27">
        <v>-1</v>
      </c>
      <c r="H910" s="27">
        <v>36</v>
      </c>
      <c r="I910" s="27" t="str">
        <f>IF(H910="","",VLOOKUP(H910,'#状态名词'!$A$2:$C$99,2))</f>
        <v>atk_damage</v>
      </c>
      <c r="J910" s="27" t="str">
        <f>IF(H910="","",VLOOKUP(H910,'#状态名词'!$A$2:$C$99,3))</f>
        <v>攻击附加伤害</v>
      </c>
      <c r="K910" s="26" t="s">
        <v>5969</v>
      </c>
    </row>
    <row r="911" spans="1:12">
      <c r="A911" s="27">
        <v>33571</v>
      </c>
      <c r="B911" s="27" t="s">
        <v>5788</v>
      </c>
      <c r="C911" s="27" t="s">
        <v>7158</v>
      </c>
      <c r="E911" s="27">
        <v>-1</v>
      </c>
      <c r="F911" s="27">
        <v>-1</v>
      </c>
      <c r="H911" s="27">
        <v>7</v>
      </c>
      <c r="I911" s="27" t="str">
        <f>IF(H911="","",VLOOKUP(H911,'#状态名词'!$A$2:$C$99,2))</f>
        <v>pvpjs_per</v>
      </c>
      <c r="J911" s="27" t="str">
        <f>IF(H911="","",VLOOKUP(H911,'#状态名词'!$A$2:$C$99,3))</f>
        <v>pvp减伤</v>
      </c>
      <c r="K911" s="26" t="s">
        <v>7159</v>
      </c>
    </row>
    <row r="912" spans="1:12">
      <c r="A912" s="27">
        <v>33572</v>
      </c>
      <c r="B912" s="27" t="s">
        <v>5789</v>
      </c>
      <c r="C912" s="27" t="s">
        <v>5790</v>
      </c>
      <c r="E912" s="27">
        <v>-1</v>
      </c>
      <c r="F912" s="27">
        <v>-1</v>
      </c>
      <c r="H912" s="27">
        <v>7</v>
      </c>
      <c r="I912" s="27" t="str">
        <f>IF(H912="","",VLOOKUP(H912,'#状态名词'!$A$2:$C$99,2))</f>
        <v>pvpjs_per</v>
      </c>
      <c r="J912" s="27" t="str">
        <f>IF(H912="","",VLOOKUP(H912,'#状态名词'!$A$2:$C$99,3))</f>
        <v>pvp减伤</v>
      </c>
      <c r="K912" s="26" t="s">
        <v>5970</v>
      </c>
    </row>
    <row r="913" spans="1:11">
      <c r="B913" s="27" t="s">
        <v>84</v>
      </c>
      <c r="E913" s="27">
        <v>-1</v>
      </c>
      <c r="F913" s="27">
        <v>-1</v>
      </c>
      <c r="H913" s="27">
        <v>67</v>
      </c>
      <c r="I913" s="27" t="str">
        <f>IF(H913="","",VLOOKUP(H913,'#状态名词'!$A$2:$C$99,2))</f>
        <v>inte</v>
      </c>
      <c r="J913" s="27" t="str">
        <f>IF(H913="","",VLOOKUP(H913,'#状态名词'!$A$2:$C$99,3))</f>
        <v>智力</v>
      </c>
      <c r="K913" s="26" t="s">
        <v>5971</v>
      </c>
    </row>
    <row r="914" spans="1:11">
      <c r="A914" s="27">
        <v>33573</v>
      </c>
      <c r="B914" s="27" t="s">
        <v>5791</v>
      </c>
      <c r="C914" s="27" t="s">
        <v>5792</v>
      </c>
      <c r="E914" s="27">
        <v>-1</v>
      </c>
      <c r="F914" s="27">
        <v>-1</v>
      </c>
      <c r="H914" s="27">
        <v>30</v>
      </c>
      <c r="I914" s="27" t="str">
        <f>IF(H914="","",VLOOKUP(H914,'#状态名词'!$A$2:$C$99,2))</f>
        <v>elementup</v>
      </c>
      <c r="J914" s="27" t="str">
        <f>IF(H914="","",VLOOKUP(H914,'#状态名词'!$A$2:$C$99,3))</f>
        <v>全属性强化</v>
      </c>
      <c r="K914" s="26" t="s">
        <v>5411</v>
      </c>
    </row>
    <row r="915" spans="1:11">
      <c r="A915" s="27">
        <v>33574</v>
      </c>
      <c r="B915" s="27" t="s">
        <v>5793</v>
      </c>
      <c r="C915" s="27" t="s">
        <v>5794</v>
      </c>
      <c r="E915" s="27">
        <v>-1</v>
      </c>
      <c r="F915" s="27">
        <v>-1</v>
      </c>
      <c r="H915" s="27">
        <v>30</v>
      </c>
      <c r="I915" s="27" t="str">
        <f>IF(H915="","",VLOOKUP(H915,'#状态名词'!$A$2:$C$99,2))</f>
        <v>elementup</v>
      </c>
      <c r="J915" s="27" t="str">
        <f>IF(H915="","",VLOOKUP(H915,'#状态名词'!$A$2:$C$99,3))</f>
        <v>全属性强化</v>
      </c>
      <c r="K915" s="26" t="s">
        <v>5414</v>
      </c>
    </row>
    <row r="916" spans="1:11">
      <c r="A916" s="27">
        <v>33575</v>
      </c>
      <c r="B916" s="27" t="s">
        <v>5795</v>
      </c>
      <c r="C916" s="27" t="s">
        <v>5796</v>
      </c>
      <c r="E916" s="27">
        <v>1</v>
      </c>
      <c r="F916" s="27">
        <v>0</v>
      </c>
      <c r="H916" s="27">
        <v>36</v>
      </c>
      <c r="I916" s="27" t="str">
        <f>IF(H916="","",VLOOKUP(H916,'#状态名词'!$A$2:$C$99,2))</f>
        <v>atk_damage</v>
      </c>
      <c r="J916" s="27" t="str">
        <f>IF(H916="","",VLOOKUP(H916,'#状态名词'!$A$2:$C$99,3))</f>
        <v>攻击附加伤害</v>
      </c>
      <c r="K916" s="26" t="s">
        <v>5379</v>
      </c>
    </row>
    <row r="917" spans="1:11">
      <c r="B917" s="27" t="s">
        <v>84</v>
      </c>
      <c r="E917" s="27">
        <v>1</v>
      </c>
      <c r="F917" s="27">
        <v>0</v>
      </c>
      <c r="H917" s="27">
        <v>37</v>
      </c>
      <c r="I917" s="27" t="str">
        <f>IF(H917="","",VLOOKUP(H917,'#状态名词'!$A$2:$C$99,2))</f>
        <v>action_hurt</v>
      </c>
      <c r="J917" s="27" t="str">
        <f>IF(H917="","",VLOOKUP(H917,'#状态名词'!$A$2:$C$99,3))</f>
        <v>行动时自身受到伤害</v>
      </c>
      <c r="K917" s="26" t="s">
        <v>5972</v>
      </c>
    </row>
    <row r="918" spans="1:11">
      <c r="B918" s="27" t="s">
        <v>84</v>
      </c>
      <c r="E918" s="27">
        <v>-1</v>
      </c>
      <c r="F918" s="27">
        <v>-1</v>
      </c>
      <c r="H918" s="27">
        <v>67</v>
      </c>
      <c r="I918" s="27" t="str">
        <f>IF(H918="","",VLOOKUP(H918,'#状态名词'!$A$2:$C$99,2))</f>
        <v>inte</v>
      </c>
      <c r="J918" s="27" t="str">
        <f>IF(H918="","",VLOOKUP(H918,'#状态名词'!$A$2:$C$99,3))</f>
        <v>智力</v>
      </c>
      <c r="K918" s="26" t="s">
        <v>5408</v>
      </c>
    </row>
    <row r="919" spans="1:11">
      <c r="A919" s="27">
        <v>33576</v>
      </c>
      <c r="B919" s="27" t="s">
        <v>5797</v>
      </c>
      <c r="C919" s="27" t="s">
        <v>5798</v>
      </c>
      <c r="E919" s="27">
        <v>1</v>
      </c>
      <c r="F919" s="27">
        <v>0</v>
      </c>
      <c r="H919" s="27">
        <v>36</v>
      </c>
      <c r="I919" s="27" t="str">
        <f>IF(H919="","",VLOOKUP(H919,'#状态名词'!$A$2:$C$99,2))</f>
        <v>atk_damage</v>
      </c>
      <c r="J919" s="27" t="str">
        <f>IF(H919="","",VLOOKUP(H919,'#状态名词'!$A$2:$C$99,3))</f>
        <v>攻击附加伤害</v>
      </c>
      <c r="K919" s="26" t="s">
        <v>5973</v>
      </c>
    </row>
    <row r="920" spans="1:11">
      <c r="B920" s="27" t="s">
        <v>84</v>
      </c>
      <c r="E920" s="27">
        <v>1</v>
      </c>
      <c r="F920" s="27">
        <v>0</v>
      </c>
      <c r="H920" s="27">
        <v>37</v>
      </c>
      <c r="I920" s="27" t="str">
        <f>IF(H920="","",VLOOKUP(H920,'#状态名词'!$A$2:$C$99,2))</f>
        <v>action_hurt</v>
      </c>
      <c r="J920" s="27" t="str">
        <f>IF(H920="","",VLOOKUP(H920,'#状态名词'!$A$2:$C$99,3))</f>
        <v>行动时自身受到伤害</v>
      </c>
      <c r="K920" s="26" t="s">
        <v>5974</v>
      </c>
    </row>
    <row r="921" spans="1:11">
      <c r="B921" s="27" t="s">
        <v>84</v>
      </c>
      <c r="E921" s="27">
        <v>-1</v>
      </c>
      <c r="F921" s="27">
        <v>-1</v>
      </c>
      <c r="H921" s="27">
        <v>67</v>
      </c>
      <c r="I921" s="27" t="str">
        <f>IF(H921="","",VLOOKUP(H921,'#状态名词'!$A$2:$C$99,2))</f>
        <v>inte</v>
      </c>
      <c r="J921" s="27" t="str">
        <f>IF(H921="","",VLOOKUP(H921,'#状态名词'!$A$2:$C$99,3))</f>
        <v>智力</v>
      </c>
      <c r="K921" s="26" t="s">
        <v>5975</v>
      </c>
    </row>
    <row r="922" spans="1:11">
      <c r="A922" s="27">
        <v>33577</v>
      </c>
      <c r="B922" s="27" t="e">
        <v>#N/A</v>
      </c>
      <c r="C922" s="27" t="s">
        <v>5800</v>
      </c>
      <c r="E922" s="27">
        <v>-1</v>
      </c>
      <c r="F922" s="27">
        <v>-1</v>
      </c>
      <c r="H922" s="27">
        <v>74</v>
      </c>
      <c r="I922" s="27" t="str">
        <f>IF(H922="","",VLOOKUP(H922,'#状态名词'!$A$2:$C$99,2))</f>
        <v>sk_levelprofession</v>
      </c>
      <c r="J922" s="27" t="str">
        <f>IF(H922="","",VLOOKUP(H922,'#状态名词'!$A$2:$C$99,3))</f>
        <v>增加某个职业技能</v>
      </c>
      <c r="K922" s="26" t="s">
        <v>5371</v>
      </c>
    </row>
    <row r="923" spans="1:11">
      <c r="A923" s="27">
        <v>33578</v>
      </c>
      <c r="B923" s="27" t="e">
        <v>#N/A</v>
      </c>
      <c r="C923" s="27" t="s">
        <v>5802</v>
      </c>
      <c r="E923" s="27">
        <v>-1</v>
      </c>
      <c r="F923" s="27">
        <v>-1</v>
      </c>
      <c r="H923" s="27">
        <v>74</v>
      </c>
      <c r="I923" s="27" t="str">
        <f>IF(H923="","",VLOOKUP(H923,'#状态名词'!$A$2:$C$99,2))</f>
        <v>sk_levelprofession</v>
      </c>
      <c r="J923" s="27" t="str">
        <f>IF(H923="","",VLOOKUP(H923,'#状态名词'!$A$2:$C$99,3))</f>
        <v>增加某个职业技能</v>
      </c>
      <c r="K923" s="26" t="s">
        <v>5976</v>
      </c>
    </row>
    <row r="924" spans="1:11">
      <c r="A924" s="27">
        <v>33581</v>
      </c>
      <c r="B924" s="27" t="s">
        <v>5807</v>
      </c>
      <c r="C924" s="27" t="s">
        <v>5808</v>
      </c>
      <c r="E924" s="27">
        <v>1</v>
      </c>
      <c r="F924" s="27">
        <v>1</v>
      </c>
      <c r="H924" s="27">
        <v>21</v>
      </c>
      <c r="I924" s="27" t="str">
        <f>IF(H924="","",VLOOKUP(H924,'#状态名词'!$A$2:$C$99,2))</f>
        <v>speed</v>
      </c>
      <c r="J924" s="27" t="str">
        <f>IF(H924="","",VLOOKUP(H924,'#状态名词'!$A$2:$C$99,3))</f>
        <v>速度+</v>
      </c>
      <c r="K924" s="26" t="s">
        <v>5346</v>
      </c>
    </row>
    <row r="925" spans="1:11">
      <c r="A925" s="27">
        <v>33582</v>
      </c>
      <c r="B925" s="27" t="s">
        <v>5809</v>
      </c>
      <c r="C925" s="27" t="s">
        <v>5810</v>
      </c>
      <c r="E925" s="27">
        <v>1</v>
      </c>
      <c r="F925" s="27">
        <v>1</v>
      </c>
      <c r="H925" s="27">
        <v>21</v>
      </c>
      <c r="I925" s="27" t="str">
        <f>IF(H925="","",VLOOKUP(H925,'#状态名词'!$A$2:$C$99,2))</f>
        <v>speed</v>
      </c>
      <c r="J925" s="27" t="str">
        <f>IF(H925="","",VLOOKUP(H925,'#状态名词'!$A$2:$C$99,3))</f>
        <v>速度+</v>
      </c>
      <c r="K925" s="26" t="s">
        <v>5399</v>
      </c>
    </row>
    <row r="926" spans="1:11">
      <c r="A926" s="27">
        <v>33587</v>
      </c>
      <c r="B926" s="27" t="s">
        <v>5819</v>
      </c>
      <c r="C926" s="27" t="s">
        <v>5820</v>
      </c>
      <c r="E926" s="27">
        <v>1</v>
      </c>
      <c r="F926" s="27">
        <v>-1</v>
      </c>
      <c r="H926" s="27">
        <v>21</v>
      </c>
      <c r="I926" s="27" t="str">
        <f>IF(H926="","",VLOOKUP(H926,'#状态名词'!$A$2:$C$99,2))</f>
        <v>speed</v>
      </c>
      <c r="J926" s="27" t="str">
        <f>IF(H926="","",VLOOKUP(H926,'#状态名词'!$A$2:$C$99,3))</f>
        <v>速度+</v>
      </c>
      <c r="K926" s="26" t="s">
        <v>5364</v>
      </c>
    </row>
    <row r="927" spans="1:11">
      <c r="A927" s="27">
        <v>33588</v>
      </c>
      <c r="B927" s="27" t="s">
        <v>5821</v>
      </c>
      <c r="C927" s="27" t="s">
        <v>5822</v>
      </c>
      <c r="E927" s="27">
        <v>1</v>
      </c>
      <c r="F927" s="27">
        <v>-1</v>
      </c>
      <c r="H927" s="27">
        <v>21</v>
      </c>
      <c r="I927" s="27" t="str">
        <f>IF(H927="","",VLOOKUP(H927,'#状态名词'!$A$2:$C$99,2))</f>
        <v>speed</v>
      </c>
      <c r="J927" s="27" t="str">
        <f>IF(H927="","",VLOOKUP(H927,'#状态名词'!$A$2:$C$99,3))</f>
        <v>速度+</v>
      </c>
      <c r="K927" s="26" t="s">
        <v>5397</v>
      </c>
    </row>
    <row r="928" spans="1:11">
      <c r="A928" s="27">
        <v>33589</v>
      </c>
      <c r="B928" s="27" t="s">
        <v>5823</v>
      </c>
      <c r="C928" s="27" t="s">
        <v>5824</v>
      </c>
      <c r="E928" s="27">
        <v>1</v>
      </c>
      <c r="F928" s="27">
        <v>-1</v>
      </c>
      <c r="H928" s="27">
        <v>21</v>
      </c>
      <c r="I928" s="27" t="str">
        <f>IF(H928="","",VLOOKUP(H928,'#状态名词'!$A$2:$C$99,2))</f>
        <v>speed</v>
      </c>
      <c r="J928" s="27" t="str">
        <f>IF(H928="","",VLOOKUP(H928,'#状态名词'!$A$2:$C$99,3))</f>
        <v>速度+</v>
      </c>
      <c r="K928" s="26" t="s">
        <v>7112</v>
      </c>
    </row>
    <row r="929" spans="1:11">
      <c r="A929" s="27">
        <v>33590</v>
      </c>
      <c r="B929" s="27" t="s">
        <v>5825</v>
      </c>
      <c r="C929" s="27" t="s">
        <v>5826</v>
      </c>
      <c r="E929" s="27">
        <v>1</v>
      </c>
      <c r="F929" s="27">
        <v>-1</v>
      </c>
      <c r="H929" s="27">
        <v>21</v>
      </c>
      <c r="I929" s="27" t="str">
        <f>IF(H929="","",VLOOKUP(H929,'#状态名词'!$A$2:$C$99,2))</f>
        <v>speed</v>
      </c>
      <c r="J929" s="27" t="str">
        <f>IF(H929="","",VLOOKUP(H929,'#状态名词'!$A$2:$C$99,3))</f>
        <v>速度+</v>
      </c>
      <c r="K929" s="26" t="s">
        <v>7109</v>
      </c>
    </row>
    <row r="930" spans="1:11">
      <c r="A930" s="27">
        <v>33591</v>
      </c>
      <c r="B930" s="27" t="s">
        <v>5827</v>
      </c>
      <c r="C930" s="27" t="s">
        <v>5828</v>
      </c>
      <c r="E930" s="27">
        <v>1</v>
      </c>
      <c r="F930" s="27">
        <v>-1</v>
      </c>
      <c r="H930" s="27">
        <v>21</v>
      </c>
      <c r="I930" s="27" t="str">
        <f>IF(H930="","",VLOOKUP(H930,'#状态名词'!$A$2:$C$99,2))</f>
        <v>speed</v>
      </c>
      <c r="J930" s="27" t="str">
        <f>IF(H930="","",VLOOKUP(H930,'#状态名词'!$A$2:$C$99,3))</f>
        <v>速度+</v>
      </c>
      <c r="K930" s="26" t="s">
        <v>7111</v>
      </c>
    </row>
    <row r="931" spans="1:11">
      <c r="A931" s="27">
        <v>33592</v>
      </c>
      <c r="B931" s="27" t="s">
        <v>5829</v>
      </c>
      <c r="C931" s="27" t="s">
        <v>5830</v>
      </c>
      <c r="E931" s="27">
        <v>1</v>
      </c>
      <c r="F931" s="27">
        <v>-1</v>
      </c>
      <c r="H931" s="27">
        <v>21</v>
      </c>
      <c r="I931" s="27" t="str">
        <f>IF(H931="","",VLOOKUP(H931,'#状态名词'!$A$2:$C$99,2))</f>
        <v>speed</v>
      </c>
      <c r="J931" s="27" t="str">
        <f>IF(H931="","",VLOOKUP(H931,'#状态名词'!$A$2:$C$99,3))</f>
        <v>速度+</v>
      </c>
      <c r="K931" s="26" t="s">
        <v>7110</v>
      </c>
    </row>
    <row r="932" spans="1:11">
      <c r="A932" s="27">
        <v>33593</v>
      </c>
      <c r="B932" s="27" t="s">
        <v>5831</v>
      </c>
      <c r="C932" s="27" t="s">
        <v>5832</v>
      </c>
      <c r="E932" s="27">
        <v>1</v>
      </c>
      <c r="F932" s="27">
        <v>-1</v>
      </c>
      <c r="H932" s="27">
        <v>35</v>
      </c>
      <c r="I932" s="27" t="str">
        <f>IF(H932="","",VLOOKUP(H932,'#状态名词'!$A$2:$C$99,2))</f>
        <v>reelement</v>
      </c>
      <c r="J932" s="27" t="str">
        <f>IF(H932="","",VLOOKUP(H932,'#状态名词'!$A$2:$C$99,3))</f>
        <v>全属性抗性</v>
      </c>
      <c r="K932" s="26" t="s">
        <v>5977</v>
      </c>
    </row>
    <row r="933" spans="1:11">
      <c r="A933" s="27">
        <v>33594</v>
      </c>
      <c r="B933" s="27" t="s">
        <v>5833</v>
      </c>
      <c r="C933" s="27" t="s">
        <v>5834</v>
      </c>
      <c r="E933" s="27">
        <v>1</v>
      </c>
      <c r="F933" s="27">
        <v>-1</v>
      </c>
      <c r="H933" s="27">
        <v>35</v>
      </c>
      <c r="I933" s="27" t="str">
        <f>IF(H933="","",VLOOKUP(H933,'#状态名词'!$A$2:$C$99,2))</f>
        <v>reelement</v>
      </c>
      <c r="J933" s="27" t="str">
        <f>IF(H933="","",VLOOKUP(H933,'#状态名词'!$A$2:$C$99,3))</f>
        <v>全属性抗性</v>
      </c>
      <c r="K933" s="26" t="s">
        <v>5331</v>
      </c>
    </row>
    <row r="934" spans="1:11">
      <c r="A934" s="27">
        <v>33595</v>
      </c>
      <c r="B934" s="27" t="s">
        <v>5835</v>
      </c>
      <c r="C934" s="27" t="s">
        <v>5836</v>
      </c>
      <c r="E934" s="27">
        <v>1</v>
      </c>
      <c r="F934" s="27">
        <v>-1</v>
      </c>
      <c r="H934" s="27">
        <v>30</v>
      </c>
      <c r="I934" s="27" t="str">
        <f>IF(H934="","",VLOOKUP(H934,'#状态名词'!$A$2:$C$99,2))</f>
        <v>elementup</v>
      </c>
      <c r="J934" s="27" t="str">
        <f>IF(H934="","",VLOOKUP(H934,'#状态名词'!$A$2:$C$99,3))</f>
        <v>全属性强化</v>
      </c>
      <c r="K934" s="26" t="s">
        <v>5331</v>
      </c>
    </row>
    <row r="935" spans="1:11">
      <c r="A935" s="27">
        <v>33596</v>
      </c>
      <c r="B935" s="27" t="s">
        <v>5837</v>
      </c>
      <c r="C935" s="27" t="s">
        <v>5838</v>
      </c>
      <c r="E935" s="27">
        <v>1</v>
      </c>
      <c r="F935" s="27">
        <v>-1</v>
      </c>
      <c r="H935" s="27">
        <v>30</v>
      </c>
      <c r="I935" s="27" t="str">
        <f>IF(H935="","",VLOOKUP(H935,'#状态名词'!$A$2:$C$99,2))</f>
        <v>elementup</v>
      </c>
      <c r="J935" s="27" t="str">
        <f>IF(H935="","",VLOOKUP(H935,'#状态名词'!$A$2:$C$99,3))</f>
        <v>全属性强化</v>
      </c>
      <c r="K935" s="26" t="s">
        <v>5978</v>
      </c>
    </row>
    <row r="936" spans="1:11">
      <c r="A936" s="27">
        <v>33597</v>
      </c>
      <c r="B936" s="27" t="s">
        <v>5839</v>
      </c>
      <c r="C936" s="27" t="s">
        <v>5840</v>
      </c>
      <c r="E936" s="27">
        <v>10</v>
      </c>
      <c r="F936" s="27">
        <v>-1</v>
      </c>
      <c r="H936" s="27">
        <v>29</v>
      </c>
      <c r="I936" s="27" t="str">
        <f>IF(H936="","",VLOOKUP(H936,'#状态名词'!$A$2:$C$99,2))</f>
        <v>darkup</v>
      </c>
      <c r="J936" s="27" t="str">
        <f>IF(H936="","",VLOOKUP(H936,'#状态名词'!$A$2:$C$99,3))</f>
        <v>暗属性强化</v>
      </c>
      <c r="K936" s="26" t="s">
        <v>5349</v>
      </c>
    </row>
    <row r="937" spans="1:11">
      <c r="A937" s="27">
        <v>33598</v>
      </c>
      <c r="B937" s="27" t="s">
        <v>5841</v>
      </c>
      <c r="C937" s="27" t="s">
        <v>5842</v>
      </c>
      <c r="E937" s="27">
        <v>10</v>
      </c>
      <c r="F937" s="27">
        <v>-1</v>
      </c>
      <c r="H937" s="27">
        <v>29</v>
      </c>
      <c r="I937" s="27" t="str">
        <f>IF(H937="","",VLOOKUP(H937,'#状态名词'!$A$2:$C$99,2))</f>
        <v>darkup</v>
      </c>
      <c r="J937" s="27" t="str">
        <f>IF(H937="","",VLOOKUP(H937,'#状态名词'!$A$2:$C$99,3))</f>
        <v>暗属性强化</v>
      </c>
      <c r="K937" s="26" t="s">
        <v>5970</v>
      </c>
    </row>
    <row r="938" spans="1:11">
      <c r="A938" s="27">
        <v>33599</v>
      </c>
      <c r="B938" s="27" t="s">
        <v>5843</v>
      </c>
      <c r="C938" s="27" t="s">
        <v>5844</v>
      </c>
      <c r="E938" s="27">
        <v>10</v>
      </c>
      <c r="F938" s="27">
        <v>-1</v>
      </c>
      <c r="H938" s="27">
        <v>26</v>
      </c>
      <c r="I938" s="27" t="str">
        <f>IF(H938="","",VLOOKUP(H938,'#状态名词'!$A$2:$C$99,2))</f>
        <v>fireup</v>
      </c>
      <c r="J938" s="27" t="str">
        <f>IF(H938="","",VLOOKUP(H938,'#状态名词'!$A$2:$C$99,3))</f>
        <v>火属性强化</v>
      </c>
      <c r="K938" s="26" t="s">
        <v>5349</v>
      </c>
    </row>
    <row r="939" spans="1:11">
      <c r="A939" s="27">
        <v>33600</v>
      </c>
      <c r="B939" s="27" t="s">
        <v>5845</v>
      </c>
      <c r="C939" s="27" t="s">
        <v>5846</v>
      </c>
      <c r="E939" s="27">
        <v>10</v>
      </c>
      <c r="F939" s="27">
        <v>-1</v>
      </c>
      <c r="H939" s="27">
        <v>26</v>
      </c>
      <c r="I939" s="27" t="str">
        <f>IF(H939="","",VLOOKUP(H939,'#状态名词'!$A$2:$C$99,2))</f>
        <v>fireup</v>
      </c>
      <c r="J939" s="27" t="str">
        <f>IF(H939="","",VLOOKUP(H939,'#状态名词'!$A$2:$C$99,3))</f>
        <v>火属性强化</v>
      </c>
      <c r="K939" s="26" t="s">
        <v>5970</v>
      </c>
    </row>
    <row r="940" spans="1:11">
      <c r="A940" s="27">
        <v>33601</v>
      </c>
      <c r="B940" s="27" t="s">
        <v>5847</v>
      </c>
      <c r="C940" s="27" t="s">
        <v>5848</v>
      </c>
      <c r="E940" s="27">
        <v>10</v>
      </c>
      <c r="F940" s="27">
        <v>-1</v>
      </c>
      <c r="H940" s="27">
        <v>27</v>
      </c>
      <c r="I940" s="27" t="str">
        <f>IF(H940="","",VLOOKUP(H940,'#状态名词'!$A$2:$C$99,2))</f>
        <v>iceup</v>
      </c>
      <c r="J940" s="27" t="str">
        <f>IF(H940="","",VLOOKUP(H940,'#状态名词'!$A$2:$C$99,3))</f>
        <v>冰属性强化</v>
      </c>
      <c r="K940" s="26" t="s">
        <v>5349</v>
      </c>
    </row>
    <row r="941" spans="1:11">
      <c r="A941" s="27">
        <v>33602</v>
      </c>
      <c r="B941" s="27" t="s">
        <v>5849</v>
      </c>
      <c r="C941" s="27" t="s">
        <v>5850</v>
      </c>
      <c r="E941" s="27">
        <v>10</v>
      </c>
      <c r="F941" s="27">
        <v>-1</v>
      </c>
      <c r="H941" s="27">
        <v>27</v>
      </c>
      <c r="I941" s="27" t="str">
        <f>IF(H941="","",VLOOKUP(H941,'#状态名词'!$A$2:$C$99,2))</f>
        <v>iceup</v>
      </c>
      <c r="J941" s="27" t="str">
        <f>IF(H941="","",VLOOKUP(H941,'#状态名词'!$A$2:$C$99,3))</f>
        <v>冰属性强化</v>
      </c>
      <c r="K941" s="26" t="s">
        <v>5970</v>
      </c>
    </row>
    <row r="942" spans="1:11">
      <c r="A942" s="27">
        <v>33603</v>
      </c>
      <c r="B942" s="27" t="s">
        <v>5851</v>
      </c>
      <c r="C942" s="27" t="s">
        <v>5852</v>
      </c>
      <c r="E942" s="27">
        <v>10</v>
      </c>
      <c r="F942" s="27">
        <v>-1</v>
      </c>
      <c r="H942" s="27">
        <v>28</v>
      </c>
      <c r="I942" s="27" t="str">
        <f>IF(H942="","",VLOOKUP(H942,'#状态名词'!$A$2:$C$99,2))</f>
        <v>lightup</v>
      </c>
      <c r="J942" s="27" t="str">
        <f>IF(H942="","",VLOOKUP(H942,'#状态名词'!$A$2:$C$99,3))</f>
        <v>光属性强化</v>
      </c>
      <c r="K942" s="26" t="s">
        <v>5349</v>
      </c>
    </row>
    <row r="943" spans="1:11">
      <c r="A943" s="27">
        <v>33604</v>
      </c>
      <c r="B943" s="27" t="s">
        <v>5853</v>
      </c>
      <c r="C943" s="27" t="s">
        <v>5854</v>
      </c>
      <c r="E943" s="27">
        <v>10</v>
      </c>
      <c r="F943" s="27">
        <v>-1</v>
      </c>
      <c r="H943" s="27">
        <v>28</v>
      </c>
      <c r="I943" s="27" t="str">
        <f>IF(H943="","",VLOOKUP(H943,'#状态名词'!$A$2:$C$99,2))</f>
        <v>lightup</v>
      </c>
      <c r="J943" s="27" t="str">
        <f>IF(H943="","",VLOOKUP(H943,'#状态名词'!$A$2:$C$99,3))</f>
        <v>光属性强化</v>
      </c>
      <c r="K943" s="26" t="s">
        <v>5970</v>
      </c>
    </row>
    <row r="944" spans="1:11">
      <c r="A944" s="27">
        <v>33605</v>
      </c>
      <c r="B944" s="27" t="s">
        <v>5855</v>
      </c>
      <c r="C944" s="27" t="s">
        <v>5856</v>
      </c>
      <c r="E944" s="27">
        <v>10</v>
      </c>
      <c r="F944" s="27">
        <v>1</v>
      </c>
      <c r="H944" s="27">
        <v>3</v>
      </c>
      <c r="I944" s="27" t="str">
        <f>IF(H944="","",VLOOKUP(H944,'#状态名词'!$A$2:$C$99,2))</f>
        <v>attach_dama</v>
      </c>
      <c r="J944" s="27" t="str">
        <f>IF(H944="","",VLOOKUP(H944,'#状态名词'!$A$2:$C$99,3))</f>
        <v>攻击额外伤害C类增伤</v>
      </c>
      <c r="K944" s="26" t="s">
        <v>5423</v>
      </c>
    </row>
    <row r="945" spans="1:11">
      <c r="A945" s="27">
        <v>33606</v>
      </c>
      <c r="B945" s="27" t="s">
        <v>5857</v>
      </c>
      <c r="C945" s="27" t="s">
        <v>5858</v>
      </c>
      <c r="E945" s="27">
        <v>10</v>
      </c>
      <c r="F945" s="27">
        <v>1</v>
      </c>
      <c r="H945" s="27">
        <v>3</v>
      </c>
      <c r="I945" s="27" t="str">
        <f>IF(H945="","",VLOOKUP(H945,'#状态名词'!$A$2:$C$99,2))</f>
        <v>attach_dama</v>
      </c>
      <c r="J945" s="27" t="str">
        <f>IF(H945="","",VLOOKUP(H945,'#状态名词'!$A$2:$C$99,3))</f>
        <v>攻击额外伤害C类增伤</v>
      </c>
      <c r="K945" s="26" t="s">
        <v>5349</v>
      </c>
    </row>
    <row r="946" spans="1:11">
      <c r="A946" s="27">
        <v>33607</v>
      </c>
      <c r="B946" s="27" t="s">
        <v>5859</v>
      </c>
      <c r="C946" s="27" t="s">
        <v>5860</v>
      </c>
      <c r="E946" s="27">
        <v>10</v>
      </c>
      <c r="F946" s="27">
        <v>1</v>
      </c>
      <c r="H946" s="27">
        <v>2</v>
      </c>
      <c r="I946" s="27" t="str">
        <f>IF(H946="","",VLOOKUP(H946,'#状态名词'!$A$2:$C$99,2))</f>
        <v>damaup</v>
      </c>
      <c r="J946" s="27" t="str">
        <f>IF(H946="","",VLOOKUP(H946,'#状态名词'!$A$2:$C$99,3))</f>
        <v>伤害提升A类增伤</v>
      </c>
      <c r="K946" s="26" t="s">
        <v>5423</v>
      </c>
    </row>
    <row r="947" spans="1:11">
      <c r="A947" s="27">
        <v>33608</v>
      </c>
      <c r="B947" s="27" t="s">
        <v>5861</v>
      </c>
      <c r="C947" s="27" t="s">
        <v>5862</v>
      </c>
      <c r="E947" s="27">
        <v>10</v>
      </c>
      <c r="F947" s="27">
        <v>1</v>
      </c>
      <c r="H947" s="27">
        <v>2</v>
      </c>
      <c r="I947" s="27" t="str">
        <f>IF(H947="","",VLOOKUP(H947,'#状态名词'!$A$2:$C$99,2))</f>
        <v>damaup</v>
      </c>
      <c r="J947" s="27" t="str">
        <f>IF(H947="","",VLOOKUP(H947,'#状态名词'!$A$2:$C$99,3))</f>
        <v>伤害提升A类增伤</v>
      </c>
      <c r="K947" s="26" t="s">
        <v>5349</v>
      </c>
    </row>
    <row r="948" spans="1:11">
      <c r="A948" s="27">
        <v>33609</v>
      </c>
      <c r="B948" s="27" t="s">
        <v>5863</v>
      </c>
      <c r="C948" s="27" t="s">
        <v>5864</v>
      </c>
      <c r="E948" s="27">
        <v>-1</v>
      </c>
      <c r="F948" s="27">
        <v>-1</v>
      </c>
      <c r="H948" s="27">
        <v>19</v>
      </c>
      <c r="I948" s="27" t="str">
        <f>IF(H948="","",VLOOKUP(H948,'#状态名词'!$A$2:$C$99,2))</f>
        <v>rating</v>
      </c>
      <c r="J948" s="27" t="str">
        <f>IF(H948="","",VLOOKUP(H948,'#状态名词'!$A$2:$C$99,3))</f>
        <v>暴击+</v>
      </c>
      <c r="K948" s="26" t="s">
        <v>5403</v>
      </c>
    </row>
    <row r="949" spans="1:11">
      <c r="A949" s="27">
        <v>33610</v>
      </c>
      <c r="B949" s="27" t="s">
        <v>5865</v>
      </c>
      <c r="C949" s="27" t="s">
        <v>5866</v>
      </c>
      <c r="E949" s="27">
        <v>-1</v>
      </c>
      <c r="F949" s="27">
        <v>-1</v>
      </c>
      <c r="H949" s="27">
        <v>19</v>
      </c>
      <c r="I949" s="27" t="str">
        <f>IF(H949="","",VLOOKUP(H949,'#状态名词'!$A$2:$C$99,2))</f>
        <v>rating</v>
      </c>
      <c r="J949" s="27" t="str">
        <f>IF(H949="","",VLOOKUP(H949,'#状态名词'!$A$2:$C$99,3))</f>
        <v>暴击+</v>
      </c>
      <c r="K949" s="26" t="s">
        <v>5979</v>
      </c>
    </row>
    <row r="950" spans="1:11">
      <c r="A950" s="27">
        <v>33611</v>
      </c>
      <c r="B950" s="27" t="s">
        <v>5867</v>
      </c>
      <c r="C950" s="27" t="s">
        <v>5868</v>
      </c>
      <c r="E950" s="27">
        <v>-1</v>
      </c>
      <c r="F950" s="27">
        <v>-1</v>
      </c>
      <c r="H950" s="27">
        <v>20</v>
      </c>
      <c r="I950" s="27" t="str">
        <f>IF(H950="","",VLOOKUP(H950,'#状态名词'!$A$2:$C$99,2))</f>
        <v>ratingdamage</v>
      </c>
      <c r="J950" s="27" t="str">
        <f>IF(H950="","",VLOOKUP(H950,'#状态名词'!$A$2:$C$99,3))</f>
        <v>暴伤+</v>
      </c>
      <c r="K950" s="26" t="s">
        <v>5337</v>
      </c>
    </row>
    <row r="951" spans="1:11">
      <c r="A951" s="27">
        <v>33612</v>
      </c>
      <c r="B951" s="27" t="s">
        <v>5869</v>
      </c>
      <c r="C951" s="27" t="s">
        <v>5870</v>
      </c>
      <c r="E951" s="27">
        <v>-1</v>
      </c>
      <c r="F951" s="27">
        <v>-1</v>
      </c>
      <c r="H951" s="27">
        <v>20</v>
      </c>
      <c r="I951" s="27" t="str">
        <f>IF(H951="","",VLOOKUP(H951,'#状态名词'!$A$2:$C$99,2))</f>
        <v>ratingdamage</v>
      </c>
      <c r="J951" s="27" t="str">
        <f>IF(H951="","",VLOOKUP(H951,'#状态名词'!$A$2:$C$99,3))</f>
        <v>暴伤+</v>
      </c>
      <c r="K951" s="26" t="s">
        <v>5980</v>
      </c>
    </row>
    <row r="952" spans="1:11">
      <c r="A952" s="20">
        <v>33617</v>
      </c>
      <c r="B952" s="20" t="s">
        <v>6919</v>
      </c>
      <c r="C952" s="34" t="s">
        <v>6907</v>
      </c>
      <c r="E952" s="27">
        <v>-1</v>
      </c>
      <c r="F952" s="27">
        <v>-1</v>
      </c>
      <c r="H952" s="27">
        <v>72</v>
      </c>
      <c r="I952" s="27" t="str">
        <f>IF(H952="","",VLOOKUP(H952,'#状态名词'!$A$2:$C$99,2))</f>
        <v>sk_levelpos</v>
      </c>
      <c r="J952" s="27" t="str">
        <f>IF(H952="","",VLOOKUP(H952,'#状态名词'!$A$2:$C$99,3))</f>
        <v>增加主角第几层的技能</v>
      </c>
      <c r="K952" s="26" t="s">
        <v>6943</v>
      </c>
    </row>
    <row r="953" spans="1:11">
      <c r="A953" s="20">
        <v>33618</v>
      </c>
      <c r="B953" s="20" t="s">
        <v>6920</v>
      </c>
      <c r="C953" s="34" t="s">
        <v>6908</v>
      </c>
      <c r="E953" s="27">
        <v>-1</v>
      </c>
      <c r="F953" s="27">
        <v>-1</v>
      </c>
      <c r="H953" s="27">
        <v>72</v>
      </c>
      <c r="I953" s="27" t="str">
        <f>IF(H953="","",VLOOKUP(H953,'#状态名词'!$A$2:$C$99,2))</f>
        <v>sk_levelpos</v>
      </c>
      <c r="J953" s="27" t="str">
        <f>IF(H953="","",VLOOKUP(H953,'#状态名词'!$A$2:$C$99,3))</f>
        <v>增加主角第几层的技能</v>
      </c>
      <c r="K953" s="26" t="s">
        <v>5357</v>
      </c>
    </row>
    <row r="954" spans="1:11">
      <c r="A954" s="20">
        <v>33619</v>
      </c>
      <c r="B954" s="20" t="s">
        <v>6921</v>
      </c>
      <c r="C954" s="34" t="s">
        <v>6909</v>
      </c>
      <c r="E954" s="27">
        <v>-1</v>
      </c>
      <c r="F954" s="27">
        <v>-1</v>
      </c>
      <c r="H954" s="27">
        <v>72</v>
      </c>
      <c r="I954" s="27" t="str">
        <f>IF(H954="","",VLOOKUP(H954,'#状态名词'!$A$2:$C$99,2))</f>
        <v>sk_levelpos</v>
      </c>
      <c r="J954" s="27" t="str">
        <f>IF(H954="","",VLOOKUP(H954,'#状态名词'!$A$2:$C$99,3))</f>
        <v>增加主角第几层的技能</v>
      </c>
      <c r="K954" s="26" t="s">
        <v>6944</v>
      </c>
    </row>
    <row r="955" spans="1:11">
      <c r="A955" s="20">
        <v>33620</v>
      </c>
      <c r="B955" s="20" t="s">
        <v>6922</v>
      </c>
      <c r="C955" s="34" t="s">
        <v>6910</v>
      </c>
      <c r="E955" s="27">
        <v>-1</v>
      </c>
      <c r="F955" s="27">
        <v>-1</v>
      </c>
      <c r="H955" s="27">
        <v>72</v>
      </c>
      <c r="I955" s="27" t="str">
        <f>IF(H955="","",VLOOKUP(H955,'#状态名词'!$A$2:$C$99,2))</f>
        <v>sk_levelpos</v>
      </c>
      <c r="J955" s="27" t="str">
        <f>IF(H955="","",VLOOKUP(H955,'#状态名词'!$A$2:$C$99,3))</f>
        <v>增加主角第几层的技能</v>
      </c>
      <c r="K955" s="26" t="s">
        <v>6945</v>
      </c>
    </row>
    <row r="956" spans="1:11">
      <c r="A956" s="20">
        <v>33621</v>
      </c>
      <c r="B956" s="20" t="s">
        <v>6923</v>
      </c>
      <c r="C956" s="34" t="s">
        <v>6911</v>
      </c>
      <c r="E956" s="27">
        <v>-1</v>
      </c>
      <c r="F956" s="27">
        <v>-1</v>
      </c>
      <c r="H956" s="27">
        <v>72</v>
      </c>
      <c r="I956" s="27" t="str">
        <f>IF(H956="","",VLOOKUP(H956,'#状态名词'!$A$2:$C$99,2))</f>
        <v>sk_levelpos</v>
      </c>
      <c r="J956" s="27" t="str">
        <f>IF(H956="","",VLOOKUP(H956,'#状态名词'!$A$2:$C$99,3))</f>
        <v>增加主角第几层的技能</v>
      </c>
      <c r="K956" s="26" t="s">
        <v>6946</v>
      </c>
    </row>
    <row r="957" spans="1:11">
      <c r="A957" s="20">
        <v>33622</v>
      </c>
      <c r="B957" s="20" t="s">
        <v>6924</v>
      </c>
      <c r="C957" s="34" t="s">
        <v>6912</v>
      </c>
      <c r="E957" s="27">
        <v>-1</v>
      </c>
      <c r="F957" s="27">
        <v>-1</v>
      </c>
      <c r="H957" s="27">
        <v>72</v>
      </c>
      <c r="I957" s="27" t="str">
        <f>IF(H957="","",VLOOKUP(H957,'#状态名词'!$A$2:$C$99,2))</f>
        <v>sk_levelpos</v>
      </c>
      <c r="J957" s="27" t="str">
        <f>IF(H957="","",VLOOKUP(H957,'#状态名词'!$A$2:$C$99,3))</f>
        <v>增加主角第几层的技能</v>
      </c>
      <c r="K957" s="26" t="s">
        <v>6947</v>
      </c>
    </row>
    <row r="958" spans="1:11">
      <c r="A958" s="20">
        <v>33623</v>
      </c>
      <c r="B958" s="20" t="s">
        <v>6925</v>
      </c>
      <c r="C958" s="34" t="s">
        <v>6913</v>
      </c>
      <c r="E958" s="27">
        <v>-1</v>
      </c>
      <c r="F958" s="27">
        <v>-1</v>
      </c>
      <c r="H958" s="27">
        <v>72</v>
      </c>
      <c r="I958" s="27" t="str">
        <f>IF(H958="","",VLOOKUP(H958,'#状态名词'!$A$2:$C$99,2))</f>
        <v>sk_levelpos</v>
      </c>
      <c r="J958" s="27" t="str">
        <f>IF(H958="","",VLOOKUP(H958,'#状态名词'!$A$2:$C$99,3))</f>
        <v>增加主角第几层的技能</v>
      </c>
      <c r="K958" s="26" t="s">
        <v>6948</v>
      </c>
    </row>
    <row r="959" spans="1:11">
      <c r="A959" s="20">
        <v>33624</v>
      </c>
      <c r="B959" s="20" t="s">
        <v>6926</v>
      </c>
      <c r="C959" s="34" t="s">
        <v>6914</v>
      </c>
      <c r="E959" s="27">
        <v>-1</v>
      </c>
      <c r="F959" s="27">
        <v>-1</v>
      </c>
      <c r="H959" s="27">
        <v>72</v>
      </c>
      <c r="I959" s="27" t="str">
        <f>IF(H959="","",VLOOKUP(H959,'#状态名词'!$A$2:$C$99,2))</f>
        <v>sk_levelpos</v>
      </c>
      <c r="J959" s="27" t="str">
        <f>IF(H959="","",VLOOKUP(H959,'#状态名词'!$A$2:$C$99,3))</f>
        <v>增加主角第几层的技能</v>
      </c>
      <c r="K959" s="26" t="s">
        <v>6949</v>
      </c>
    </row>
    <row r="960" spans="1:11">
      <c r="A960" s="20">
        <v>33625</v>
      </c>
      <c r="B960" s="20" t="s">
        <v>6927</v>
      </c>
      <c r="C960" s="34" t="s">
        <v>6915</v>
      </c>
      <c r="E960" s="27">
        <v>-1</v>
      </c>
      <c r="F960" s="27">
        <v>-1</v>
      </c>
      <c r="H960" s="27">
        <v>72</v>
      </c>
      <c r="I960" s="27" t="str">
        <f>IF(H960="","",VLOOKUP(H960,'#状态名词'!$A$2:$C$99,2))</f>
        <v>sk_levelpos</v>
      </c>
      <c r="J960" s="27" t="str">
        <f>IF(H960="","",VLOOKUP(H960,'#状态名词'!$A$2:$C$99,3))</f>
        <v>增加主角第几层的技能</v>
      </c>
      <c r="K960" s="26" t="s">
        <v>6950</v>
      </c>
    </row>
    <row r="961" spans="1:11">
      <c r="A961" s="20">
        <v>33626</v>
      </c>
      <c r="B961" s="20" t="s">
        <v>6928</v>
      </c>
      <c r="C961" s="34" t="s">
        <v>6916</v>
      </c>
      <c r="E961" s="27">
        <v>-1</v>
      </c>
      <c r="F961" s="27">
        <v>-1</v>
      </c>
      <c r="H961" s="27">
        <v>72</v>
      </c>
      <c r="I961" s="27" t="str">
        <f>IF(H961="","",VLOOKUP(H961,'#状态名词'!$A$2:$C$99,2))</f>
        <v>sk_levelpos</v>
      </c>
      <c r="J961" s="27" t="str">
        <f>IF(H961="","",VLOOKUP(H961,'#状态名词'!$A$2:$C$99,3))</f>
        <v>增加主角第几层的技能</v>
      </c>
      <c r="K961" s="26" t="s">
        <v>6951</v>
      </c>
    </row>
    <row r="962" spans="1:11">
      <c r="A962" s="20">
        <v>33627</v>
      </c>
      <c r="B962" s="20" t="s">
        <v>6929</v>
      </c>
      <c r="C962" s="34" t="s">
        <v>6917</v>
      </c>
      <c r="E962" s="27">
        <v>-1</v>
      </c>
      <c r="F962" s="27">
        <v>-1</v>
      </c>
      <c r="H962" s="27">
        <v>72</v>
      </c>
      <c r="I962" s="27" t="str">
        <f>IF(H962="","",VLOOKUP(H962,'#状态名词'!$A$2:$C$99,2))</f>
        <v>sk_levelpos</v>
      </c>
      <c r="J962" s="27" t="str">
        <f>IF(H962="","",VLOOKUP(H962,'#状态名词'!$A$2:$C$99,3))</f>
        <v>增加主角第几层的技能</v>
      </c>
      <c r="K962" s="26" t="s">
        <v>6952</v>
      </c>
    </row>
    <row r="963" spans="1:11">
      <c r="A963" s="20">
        <v>33628</v>
      </c>
      <c r="B963" s="20" t="s">
        <v>6930</v>
      </c>
      <c r="C963" s="34" t="s">
        <v>6918</v>
      </c>
      <c r="E963" s="27">
        <v>-1</v>
      </c>
      <c r="F963" s="27">
        <v>-1</v>
      </c>
      <c r="H963" s="27">
        <v>72</v>
      </c>
      <c r="I963" s="27" t="str">
        <f>IF(H963="","",VLOOKUP(H963,'#状态名词'!$A$2:$C$99,2))</f>
        <v>sk_levelpos</v>
      </c>
      <c r="J963" s="27" t="str">
        <f>IF(H963="","",VLOOKUP(H963,'#状态名词'!$A$2:$C$99,3))</f>
        <v>增加主角第几层的技能</v>
      </c>
      <c r="K963" s="26" t="s">
        <v>6953</v>
      </c>
    </row>
    <row r="964" spans="1:11">
      <c r="A964" s="27">
        <v>33629</v>
      </c>
      <c r="B964" s="27" t="s">
        <v>5875</v>
      </c>
      <c r="C964" s="27" t="s">
        <v>5876</v>
      </c>
      <c r="E964" s="27">
        <v>1</v>
      </c>
      <c r="F964" s="27">
        <v>-1</v>
      </c>
      <c r="H964" s="27">
        <v>69</v>
      </c>
      <c r="I964" s="27" t="str">
        <f>IF(H964="","",VLOOKUP(H964,'#状态名词'!$A$2:$C$99,2))</f>
        <v>hit</v>
      </c>
      <c r="J964" s="27" t="str">
        <f>IF(H964="","",VLOOKUP(H964,'#状态名词'!$A$2:$C$99,3))</f>
        <v>命中率</v>
      </c>
      <c r="K964" s="26" t="s">
        <v>5413</v>
      </c>
    </row>
    <row r="965" spans="1:11">
      <c r="A965" s="27">
        <v>33630</v>
      </c>
      <c r="B965" s="27" t="s">
        <v>5877</v>
      </c>
      <c r="C965" s="27" t="s">
        <v>5878</v>
      </c>
      <c r="E965" s="27">
        <v>1</v>
      </c>
      <c r="F965" s="27">
        <v>-1</v>
      </c>
      <c r="H965" s="27">
        <v>69</v>
      </c>
      <c r="I965" s="27" t="str">
        <f>IF(H965="","",VLOOKUP(H965,'#状态名词'!$A$2:$C$99,2))</f>
        <v>hit</v>
      </c>
      <c r="J965" s="27" t="str">
        <f>IF(H965="","",VLOOKUP(H965,'#状态名词'!$A$2:$C$99,3))</f>
        <v>命中率</v>
      </c>
      <c r="K965" s="26" t="s">
        <v>5981</v>
      </c>
    </row>
    <row r="966" spans="1:11">
      <c r="A966" s="27">
        <v>33631</v>
      </c>
      <c r="B966" s="27" t="s">
        <v>5879</v>
      </c>
      <c r="C966" s="27" t="s">
        <v>5880</v>
      </c>
      <c r="E966" s="27">
        <v>10</v>
      </c>
      <c r="F966" s="27">
        <v>-1</v>
      </c>
      <c r="H966" s="27">
        <v>70</v>
      </c>
      <c r="I966" s="27" t="str">
        <f>IF(H966="","",VLOOKUP(H966,'#状态名词'!$A$2:$C$99,2))</f>
        <v>eva</v>
      </c>
      <c r="J966" s="27" t="str">
        <f>IF(H966="","",VLOOKUP(H966,'#状态名词'!$A$2:$C$99,3))</f>
        <v>回避率</v>
      </c>
      <c r="K966" s="26" t="s">
        <v>5337</v>
      </c>
    </row>
    <row r="967" spans="1:11">
      <c r="A967" s="27">
        <v>33632</v>
      </c>
      <c r="B967" s="27" t="s">
        <v>5881</v>
      </c>
      <c r="C967" s="27" t="s">
        <v>5882</v>
      </c>
      <c r="E967" s="27">
        <v>10</v>
      </c>
      <c r="F967" s="27">
        <v>-1</v>
      </c>
      <c r="H967" s="27">
        <v>70</v>
      </c>
      <c r="I967" s="27" t="str">
        <f>IF(H967="","",VLOOKUP(H967,'#状态名词'!$A$2:$C$99,2))</f>
        <v>eva</v>
      </c>
      <c r="J967" s="27" t="str">
        <f>IF(H967="","",VLOOKUP(H967,'#状态名词'!$A$2:$C$99,3))</f>
        <v>回避率</v>
      </c>
      <c r="K967" s="26" t="s">
        <v>5980</v>
      </c>
    </row>
    <row r="968" spans="1:11">
      <c r="A968" s="27">
        <v>33633</v>
      </c>
      <c r="B968" s="27" t="s">
        <v>5883</v>
      </c>
      <c r="C968" s="27" t="s">
        <v>5884</v>
      </c>
      <c r="E968" s="27">
        <v>5</v>
      </c>
      <c r="F968" s="27">
        <v>-1</v>
      </c>
      <c r="H968" s="27">
        <v>70</v>
      </c>
      <c r="I968" s="27" t="str">
        <f>IF(H968="","",VLOOKUP(H968,'#状态名词'!$A$2:$C$99,2))</f>
        <v>eva</v>
      </c>
      <c r="J968" s="27" t="str">
        <f>IF(H968="","",VLOOKUP(H968,'#状态名词'!$A$2:$C$99,3))</f>
        <v>回避率</v>
      </c>
      <c r="K968" s="26" t="s">
        <v>5350</v>
      </c>
    </row>
    <row r="969" spans="1:11">
      <c r="A969" s="27">
        <v>33634</v>
      </c>
      <c r="B969" s="27" t="s">
        <v>5885</v>
      </c>
      <c r="C969" s="27" t="s">
        <v>5886</v>
      </c>
      <c r="E969" s="27">
        <v>5</v>
      </c>
      <c r="F969" s="27">
        <v>-1</v>
      </c>
      <c r="H969" s="27">
        <v>70</v>
      </c>
      <c r="I969" s="27" t="str">
        <f>IF(H969="","",VLOOKUP(H969,'#状态名词'!$A$2:$C$99,2))</f>
        <v>eva</v>
      </c>
      <c r="J969" s="27" t="str">
        <f>IF(H969="","",VLOOKUP(H969,'#状态名词'!$A$2:$C$99,3))</f>
        <v>回避率</v>
      </c>
      <c r="K969" s="26" t="s">
        <v>5969</v>
      </c>
    </row>
    <row r="970" spans="1:11">
      <c r="A970" s="27">
        <v>33641</v>
      </c>
      <c r="B970" s="27" t="s">
        <v>2870</v>
      </c>
      <c r="C970" s="27" t="s">
        <v>4503</v>
      </c>
      <c r="E970" s="27">
        <v>1</v>
      </c>
      <c r="F970" s="27">
        <v>-1</v>
      </c>
      <c r="H970" s="27">
        <v>2</v>
      </c>
      <c r="I970" s="27" t="str">
        <f>IF(H970="","",VLOOKUP(H970,'#状态名词'!$A$2:$C$99,2))</f>
        <v>damaup</v>
      </c>
      <c r="J970" s="27" t="str">
        <f>IF(H970="","",VLOOKUP(H970,'#状态名词'!$A$2:$C$99,3))</f>
        <v>伤害提升A类增伤</v>
      </c>
      <c r="K970" s="26" t="s">
        <v>5349</v>
      </c>
    </row>
    <row r="971" spans="1:11">
      <c r="A971" s="27">
        <v>33642</v>
      </c>
      <c r="B971" s="27" t="s">
        <v>2870</v>
      </c>
      <c r="C971" s="27" t="s">
        <v>5899</v>
      </c>
      <c r="E971" s="27">
        <v>1</v>
      </c>
      <c r="F971" s="27">
        <v>-1</v>
      </c>
      <c r="H971" s="27">
        <v>2</v>
      </c>
      <c r="I971" s="27" t="str">
        <f>IF(H971="","",VLOOKUP(H971,'#状态名词'!$A$2:$C$99,2))</f>
        <v>damaup</v>
      </c>
      <c r="J971" s="27" t="str">
        <f>IF(H971="","",VLOOKUP(H971,'#状态名词'!$A$2:$C$99,3))</f>
        <v>伤害提升A类增伤</v>
      </c>
      <c r="K971" s="26" t="s">
        <v>5970</v>
      </c>
    </row>
    <row r="972" spans="1:11">
      <c r="A972" s="27">
        <v>33643</v>
      </c>
      <c r="B972" s="27" t="s">
        <v>2871</v>
      </c>
      <c r="C972" s="27" t="s">
        <v>4496</v>
      </c>
      <c r="E972" s="27">
        <v>1</v>
      </c>
      <c r="F972" s="27">
        <v>-1</v>
      </c>
      <c r="H972" s="27">
        <v>3</v>
      </c>
      <c r="I972" s="27" t="str">
        <f>IF(H972="","",VLOOKUP(H972,'#状态名词'!$A$2:$C$99,2))</f>
        <v>attach_dama</v>
      </c>
      <c r="J972" s="27" t="str">
        <f>IF(H972="","",VLOOKUP(H972,'#状态名词'!$A$2:$C$99,3))</f>
        <v>攻击额外伤害C类增伤</v>
      </c>
      <c r="K972" s="26" t="s">
        <v>5349</v>
      </c>
    </row>
    <row r="973" spans="1:11">
      <c r="A973" s="27">
        <v>33644</v>
      </c>
      <c r="B973" s="27" t="s">
        <v>2871</v>
      </c>
      <c r="C973" s="27" t="s">
        <v>5900</v>
      </c>
      <c r="E973" s="27">
        <v>1</v>
      </c>
      <c r="F973" s="27">
        <v>-1</v>
      </c>
      <c r="H973" s="27">
        <v>3</v>
      </c>
      <c r="I973" s="27" t="str">
        <f>IF(H973="","",VLOOKUP(H973,'#状态名词'!$A$2:$C$99,2))</f>
        <v>attach_dama</v>
      </c>
      <c r="J973" s="27" t="str">
        <f>IF(H973="","",VLOOKUP(H973,'#状态名词'!$A$2:$C$99,3))</f>
        <v>攻击额外伤害C类增伤</v>
      </c>
      <c r="K973" s="26" t="s">
        <v>5970</v>
      </c>
    </row>
    <row r="974" spans="1:11">
      <c r="A974" s="27">
        <v>33645</v>
      </c>
      <c r="B974" s="27" t="s">
        <v>2872</v>
      </c>
      <c r="C974" s="27" t="s">
        <v>5901</v>
      </c>
      <c r="E974" s="27">
        <v>1</v>
      </c>
      <c r="F974" s="27">
        <v>-1</v>
      </c>
      <c r="H974" s="27">
        <v>1</v>
      </c>
      <c r="I974" s="27" t="str">
        <f>IF(H974="","",VLOOKUP(H974,'#状态名词'!$A$2:$C$99,2))</f>
        <v>skilldama</v>
      </c>
      <c r="J974" s="27" t="str">
        <f>IF(H974="","",VLOOKUP(H974,'#状态名词'!$A$2:$C$99,3))</f>
        <v>技能伤害和治疗效果提升B类</v>
      </c>
      <c r="K974" s="26" t="s">
        <v>5350</v>
      </c>
    </row>
    <row r="975" spans="1:11">
      <c r="A975" s="27">
        <v>33646</v>
      </c>
      <c r="B975" s="27" t="s">
        <v>2872</v>
      </c>
      <c r="C975" s="27" t="s">
        <v>5902</v>
      </c>
      <c r="E975" s="27">
        <v>1</v>
      </c>
      <c r="F975" s="27">
        <v>-1</v>
      </c>
      <c r="H975" s="27">
        <v>1</v>
      </c>
      <c r="I975" s="27" t="str">
        <f>IF(H975="","",VLOOKUP(H975,'#状态名词'!$A$2:$C$99,2))</f>
        <v>skilldama</v>
      </c>
      <c r="J975" s="27" t="str">
        <f>IF(H975="","",VLOOKUP(H975,'#状态名词'!$A$2:$C$99,3))</f>
        <v>技能伤害和治疗效果提升B类</v>
      </c>
      <c r="K975" s="26" t="s">
        <v>5969</v>
      </c>
    </row>
    <row r="976" spans="1:11">
      <c r="A976" s="27">
        <v>33659</v>
      </c>
      <c r="B976" s="27" t="s">
        <v>5917</v>
      </c>
      <c r="C976" s="27" t="s">
        <v>5918</v>
      </c>
      <c r="E976" s="27">
        <v>1</v>
      </c>
      <c r="F976" s="27">
        <v>-1</v>
      </c>
      <c r="H976" s="27">
        <v>32</v>
      </c>
      <c r="I976" s="27" t="str">
        <f>IF(H976="","",VLOOKUP(H976,'#状态名词'!$A$2:$C$99,2))</f>
        <v>reice</v>
      </c>
      <c r="J976" s="27" t="str">
        <f>IF(H976="","",VLOOKUP(H976,'#状态名词'!$A$2:$C$99,3))</f>
        <v>冰属性抗性</v>
      </c>
      <c r="K976" s="26" t="s">
        <v>5982</v>
      </c>
    </row>
    <row r="977" spans="1:11">
      <c r="A977" s="27">
        <v>33660</v>
      </c>
      <c r="B977" s="27" t="s">
        <v>5919</v>
      </c>
      <c r="C977" s="27" t="s">
        <v>5920</v>
      </c>
      <c r="E977" s="27">
        <v>1</v>
      </c>
      <c r="F977" s="27">
        <v>-1</v>
      </c>
      <c r="H977" s="27">
        <v>32</v>
      </c>
      <c r="I977" s="27" t="str">
        <f>IF(H977="","",VLOOKUP(H977,'#状态名词'!$A$2:$C$99,2))</f>
        <v>reice</v>
      </c>
      <c r="J977" s="27" t="str">
        <f>IF(H977="","",VLOOKUP(H977,'#状态名词'!$A$2:$C$99,3))</f>
        <v>冰属性抗性</v>
      </c>
      <c r="K977" s="26" t="s">
        <v>5983</v>
      </c>
    </row>
    <row r="978" spans="1:11">
      <c r="A978" s="27">
        <v>33661</v>
      </c>
      <c r="B978" s="27" t="s">
        <v>5921</v>
      </c>
      <c r="C978" s="27" t="s">
        <v>5922</v>
      </c>
      <c r="E978" s="27">
        <v>1</v>
      </c>
      <c r="F978" s="27">
        <v>-1</v>
      </c>
      <c r="H978" s="27">
        <v>31</v>
      </c>
      <c r="I978" s="27" t="str">
        <f>IF(H978="","",VLOOKUP(H978,'#状态名词'!$A$2:$C$99,2))</f>
        <v>refire</v>
      </c>
      <c r="J978" s="27" t="str">
        <f>IF(H978="","",VLOOKUP(H978,'#状态名词'!$A$2:$C$99,3))</f>
        <v>火属性抗性</v>
      </c>
      <c r="K978" s="26" t="s">
        <v>5984</v>
      </c>
    </row>
    <row r="979" spans="1:11">
      <c r="A979" s="27">
        <v>33662</v>
      </c>
      <c r="B979" s="27" t="s">
        <v>5923</v>
      </c>
      <c r="C979" s="27" t="s">
        <v>5924</v>
      </c>
      <c r="E979" s="27">
        <v>1</v>
      </c>
      <c r="F979" s="27">
        <v>-1</v>
      </c>
      <c r="H979" s="27">
        <v>31</v>
      </c>
      <c r="I979" s="27" t="str">
        <f>IF(H979="","",VLOOKUP(H979,'#状态名词'!$A$2:$C$99,2))</f>
        <v>refire</v>
      </c>
      <c r="J979" s="27" t="str">
        <f>IF(H979="","",VLOOKUP(H979,'#状态名词'!$A$2:$C$99,3))</f>
        <v>火属性抗性</v>
      </c>
      <c r="K979" s="26" t="s">
        <v>5985</v>
      </c>
    </row>
    <row r="980" spans="1:11">
      <c r="A980" s="27">
        <v>33663</v>
      </c>
      <c r="B980" s="27" t="s">
        <v>5925</v>
      </c>
      <c r="C980" s="27" t="s">
        <v>5926</v>
      </c>
      <c r="E980" s="27">
        <v>1</v>
      </c>
      <c r="F980" s="27">
        <v>-1</v>
      </c>
      <c r="H980" s="27">
        <v>33</v>
      </c>
      <c r="I980" s="27" t="str">
        <f>IF(H980="","",VLOOKUP(H980,'#状态名词'!$A$2:$C$99,2))</f>
        <v>relight</v>
      </c>
      <c r="J980" s="27" t="str">
        <f>IF(H980="","",VLOOKUP(H980,'#状态名词'!$A$2:$C$99,3))</f>
        <v>光属性抗性</v>
      </c>
      <c r="K980" s="26" t="s">
        <v>8010</v>
      </c>
    </row>
    <row r="981" spans="1:11">
      <c r="B981" s="27" t="s">
        <v>84</v>
      </c>
      <c r="H981" s="27">
        <v>34</v>
      </c>
      <c r="I981" s="27" t="str">
        <f>IF(H981="","",VLOOKUP(H981,'#状态名词'!$A$2:$C$99,2))</f>
        <v>redark</v>
      </c>
      <c r="J981" s="27" t="str">
        <f>IF(H981="","",VLOOKUP(H981,'#状态名词'!$A$2:$C$99,3))</f>
        <v>暗属性抗性</v>
      </c>
      <c r="K981" s="26" t="s">
        <v>8010</v>
      </c>
    </row>
    <row r="982" spans="1:11">
      <c r="A982" s="27">
        <v>33664</v>
      </c>
      <c r="B982" s="27" t="s">
        <v>5927</v>
      </c>
      <c r="C982" s="27" t="s">
        <v>5928</v>
      </c>
      <c r="E982" s="27">
        <v>1</v>
      </c>
      <c r="F982" s="27">
        <v>-1</v>
      </c>
      <c r="H982" s="27">
        <v>33</v>
      </c>
      <c r="I982" s="27" t="str">
        <f>IF(H982="","",VLOOKUP(H982,'#状态名词'!$A$2:$C$99,2))</f>
        <v>relight</v>
      </c>
      <c r="J982" s="27" t="str">
        <f>IF(H982="","",VLOOKUP(H982,'#状态名词'!$A$2:$C$99,3))</f>
        <v>光属性抗性</v>
      </c>
      <c r="K982" s="26" t="s">
        <v>8011</v>
      </c>
    </row>
    <row r="983" spans="1:11">
      <c r="B983" s="27" t="s">
        <v>84</v>
      </c>
      <c r="H983" s="27">
        <v>34</v>
      </c>
      <c r="I983" s="27" t="str">
        <f>IF(H983="","",VLOOKUP(H983,'#状态名词'!$A$2:$C$99,2))</f>
        <v>redark</v>
      </c>
      <c r="J983" s="27" t="str">
        <f>IF(H983="","",VLOOKUP(H983,'#状态名词'!$A$2:$C$99,3))</f>
        <v>暗属性抗性</v>
      </c>
      <c r="K983" s="26" t="s">
        <v>8011</v>
      </c>
    </row>
    <row r="984" spans="1:11">
      <c r="A984" s="27">
        <v>33669</v>
      </c>
      <c r="B984" s="27" t="s">
        <v>7443</v>
      </c>
      <c r="C984" s="27" t="s">
        <v>5645</v>
      </c>
      <c r="E984" s="27">
        <v>1</v>
      </c>
      <c r="F984" s="27">
        <v>-1</v>
      </c>
      <c r="H984" s="27">
        <v>42</v>
      </c>
      <c r="I984" s="27" t="str">
        <f>IF(H984="","",VLOOKUP(H984,'#状态名词'!$A$2:$C$99,2))</f>
        <v>turn_heal</v>
      </c>
      <c r="J984" s="27" t="str">
        <f>IF(H984="","",VLOOKUP(H984,'#状态名词'!$A$2:$C$99,3))</f>
        <v>回合回复</v>
      </c>
      <c r="K984" s="26" t="s">
        <v>5646</v>
      </c>
    </row>
    <row r="985" spans="1:11">
      <c r="A985" s="27">
        <v>33670</v>
      </c>
      <c r="B985" s="27" t="s">
        <v>7444</v>
      </c>
      <c r="C985" s="27" t="s">
        <v>5933</v>
      </c>
      <c r="E985" s="27">
        <v>1</v>
      </c>
      <c r="F985" s="27">
        <v>-1</v>
      </c>
      <c r="H985" s="27">
        <v>42</v>
      </c>
      <c r="I985" s="27" t="str">
        <f>IF(H985="","",VLOOKUP(H985,'#状态名词'!$A$2:$C$99,2))</f>
        <v>turn_heal</v>
      </c>
      <c r="J985" s="27" t="str">
        <f>IF(H985="","",VLOOKUP(H985,'#状态名词'!$A$2:$C$99,3))</f>
        <v>回合回复</v>
      </c>
      <c r="K985" s="26" t="s">
        <v>5986</v>
      </c>
    </row>
    <row r="986" spans="1:11">
      <c r="A986" s="27">
        <v>33671</v>
      </c>
      <c r="B986" s="27" t="s">
        <v>7445</v>
      </c>
      <c r="C986" s="27" t="s">
        <v>5934</v>
      </c>
      <c r="E986" s="27">
        <v>-1</v>
      </c>
      <c r="F986" s="27">
        <v>-1</v>
      </c>
      <c r="H986" s="27">
        <v>24</v>
      </c>
      <c r="I986" s="27" t="str">
        <f>IF(H986="","",VLOOKUP(H986,'#状态名词'!$A$2:$C$99,2))</f>
        <v>heal</v>
      </c>
      <c r="J986" s="27" t="str">
        <f>IF(H986="","",VLOOKUP(H986,'#状态名词'!$A$2:$C$99,3))</f>
        <v>治疗效果+</v>
      </c>
      <c r="K986" s="26" t="s">
        <v>5337</v>
      </c>
    </row>
    <row r="987" spans="1:11">
      <c r="A987" s="27">
        <v>33672</v>
      </c>
      <c r="B987" s="27" t="s">
        <v>7446</v>
      </c>
      <c r="C987" s="27" t="s">
        <v>5935</v>
      </c>
      <c r="E987" s="27">
        <v>-1</v>
      </c>
      <c r="F987" s="27">
        <v>-1</v>
      </c>
      <c r="H987" s="27">
        <v>24</v>
      </c>
      <c r="I987" s="27" t="str">
        <f>IF(H987="","",VLOOKUP(H987,'#状态名词'!$A$2:$C$99,2))</f>
        <v>heal</v>
      </c>
      <c r="J987" s="27" t="str">
        <f>IF(H987="","",VLOOKUP(H987,'#状态名词'!$A$2:$C$99,3))</f>
        <v>治疗效果+</v>
      </c>
      <c r="K987" s="26" t="s">
        <v>5980</v>
      </c>
    </row>
    <row r="988" spans="1:11">
      <c r="A988" s="27">
        <v>33673</v>
      </c>
      <c r="B988" s="27" t="s">
        <v>7447</v>
      </c>
      <c r="C988" s="27" t="s">
        <v>5936</v>
      </c>
      <c r="E988" s="27">
        <v>1</v>
      </c>
      <c r="F988" s="27">
        <v>-1</v>
      </c>
      <c r="H988" s="27">
        <v>1</v>
      </c>
      <c r="I988" s="27" t="str">
        <f>IF(H988="","",VLOOKUP(H988,'#状态名词'!$A$2:$C$99,2))</f>
        <v>skilldama</v>
      </c>
      <c r="J988" s="27" t="str">
        <f>IF(H988="","",VLOOKUP(H988,'#状态名词'!$A$2:$C$99,3))</f>
        <v>技能伤害和治疗效果提升B类</v>
      </c>
      <c r="K988" s="26" t="s">
        <v>5349</v>
      </c>
    </row>
    <row r="989" spans="1:11">
      <c r="A989" s="27">
        <v>33674</v>
      </c>
      <c r="B989" s="27" t="s">
        <v>7448</v>
      </c>
      <c r="C989" s="27" t="s">
        <v>5937</v>
      </c>
      <c r="E989" s="27">
        <v>1</v>
      </c>
      <c r="F989" s="27">
        <v>-1</v>
      </c>
      <c r="H989" s="27">
        <v>1</v>
      </c>
      <c r="I989" s="27" t="str">
        <f>IF(H989="","",VLOOKUP(H989,'#状态名词'!$A$2:$C$99,2))</f>
        <v>skilldama</v>
      </c>
      <c r="J989" s="27" t="str">
        <f>IF(H989="","",VLOOKUP(H989,'#状态名词'!$A$2:$C$99,3))</f>
        <v>技能伤害和治疗效果提升B类</v>
      </c>
      <c r="K989" s="26" t="s">
        <v>5970</v>
      </c>
    </row>
    <row r="990" spans="1:11">
      <c r="A990" s="27">
        <v>33675</v>
      </c>
      <c r="B990" s="27" t="s">
        <v>7449</v>
      </c>
      <c r="C990" s="27" t="s">
        <v>5901</v>
      </c>
      <c r="E990" s="27">
        <v>1</v>
      </c>
      <c r="F990" s="27">
        <v>-1</v>
      </c>
      <c r="H990" s="27">
        <v>1</v>
      </c>
      <c r="I990" s="27" t="str">
        <f>IF(H990="","",VLOOKUP(H990,'#状态名词'!$A$2:$C$99,2))</f>
        <v>skilldama</v>
      </c>
      <c r="J990" s="27" t="str">
        <f>IF(H990="","",VLOOKUP(H990,'#状态名词'!$A$2:$C$99,3))</f>
        <v>技能伤害和治疗效果提升B类</v>
      </c>
      <c r="K990" s="26" t="s">
        <v>5349</v>
      </c>
    </row>
    <row r="991" spans="1:11">
      <c r="A991" s="27">
        <v>33676</v>
      </c>
      <c r="B991" s="27" t="s">
        <v>6091</v>
      </c>
      <c r="C991" s="27" t="s">
        <v>5902</v>
      </c>
      <c r="E991" s="27">
        <v>1</v>
      </c>
      <c r="F991" s="27">
        <v>-1</v>
      </c>
      <c r="H991" s="27">
        <v>1</v>
      </c>
      <c r="I991" s="27" t="str">
        <f>IF(H991="","",VLOOKUP(H991,'#状态名词'!$A$2:$C$99,2))</f>
        <v>skilldama</v>
      </c>
      <c r="J991" s="27" t="str">
        <f>IF(H991="","",VLOOKUP(H991,'#状态名词'!$A$2:$C$99,3))</f>
        <v>技能伤害和治疗效果提升B类</v>
      </c>
      <c r="K991" s="26" t="s">
        <v>5970</v>
      </c>
    </row>
    <row r="992" spans="1:11">
      <c r="A992" s="27">
        <v>33677</v>
      </c>
      <c r="B992" s="27" t="s">
        <v>5938</v>
      </c>
      <c r="C992" s="27" t="s">
        <v>5939</v>
      </c>
      <c r="E992" s="27">
        <v>1</v>
      </c>
      <c r="F992" s="27">
        <v>-1</v>
      </c>
      <c r="H992" s="27">
        <v>36</v>
      </c>
      <c r="I992" s="27" t="str">
        <f>IF(H992="","",VLOOKUP(H992,'#状态名词'!$A$2:$C$99,2))</f>
        <v>atk_damage</v>
      </c>
      <c r="J992" s="27" t="str">
        <f>IF(H992="","",VLOOKUP(H992,'#状态名词'!$A$2:$C$99,3))</f>
        <v>攻击附加伤害</v>
      </c>
      <c r="K992" s="26" t="s">
        <v>5987</v>
      </c>
    </row>
    <row r="993" spans="1:11">
      <c r="A993" s="27">
        <v>33678</v>
      </c>
      <c r="B993" s="27" t="s">
        <v>5940</v>
      </c>
      <c r="C993" s="27" t="s">
        <v>5941</v>
      </c>
      <c r="E993" s="27">
        <v>1</v>
      </c>
      <c r="F993" s="27">
        <v>-1</v>
      </c>
      <c r="H993" s="27">
        <v>36</v>
      </c>
      <c r="I993" s="27" t="str">
        <f>IF(H993="","",VLOOKUP(H993,'#状态名词'!$A$2:$C$99,2))</f>
        <v>atk_damage</v>
      </c>
      <c r="J993" s="27" t="str">
        <f>IF(H993="","",VLOOKUP(H993,'#状态名词'!$A$2:$C$99,3))</f>
        <v>攻击附加伤害</v>
      </c>
      <c r="K993" s="26" t="s">
        <v>5988</v>
      </c>
    </row>
    <row r="994" spans="1:11">
      <c r="A994" s="27">
        <v>33679</v>
      </c>
      <c r="B994" s="27" t="s">
        <v>5942</v>
      </c>
      <c r="C994" s="27" t="s">
        <v>5943</v>
      </c>
      <c r="E994" s="27">
        <v>1</v>
      </c>
      <c r="F994" s="27">
        <v>-1</v>
      </c>
      <c r="H994" s="27">
        <v>36</v>
      </c>
      <c r="I994" s="27" t="str">
        <f>IF(H994="","",VLOOKUP(H994,'#状态名词'!$A$2:$C$99,2))</f>
        <v>atk_damage</v>
      </c>
      <c r="J994" s="27" t="str">
        <f>IF(H994="","",VLOOKUP(H994,'#状态名词'!$A$2:$C$99,3))</f>
        <v>攻击附加伤害</v>
      </c>
      <c r="K994" s="26" t="s">
        <v>5989</v>
      </c>
    </row>
    <row r="995" spans="1:11">
      <c r="A995" s="27">
        <v>33680</v>
      </c>
      <c r="B995" s="27" t="s">
        <v>5944</v>
      </c>
      <c r="C995" s="27" t="s">
        <v>5945</v>
      </c>
      <c r="E995" s="27">
        <v>1</v>
      </c>
      <c r="F995" s="27">
        <v>-1</v>
      </c>
      <c r="H995" s="27">
        <v>36</v>
      </c>
      <c r="I995" s="27" t="str">
        <f>IF(H995="","",VLOOKUP(H995,'#状态名词'!$A$2:$C$99,2))</f>
        <v>atk_damage</v>
      </c>
      <c r="J995" s="27" t="str">
        <f>IF(H995="","",VLOOKUP(H995,'#状态名词'!$A$2:$C$99,3))</f>
        <v>攻击附加伤害</v>
      </c>
      <c r="K995" s="26" t="s">
        <v>5990</v>
      </c>
    </row>
    <row r="996" spans="1:11">
      <c r="A996" s="27">
        <v>33681</v>
      </c>
      <c r="B996" s="27" t="s">
        <v>5946</v>
      </c>
      <c r="C996" s="27" t="s">
        <v>5947</v>
      </c>
      <c r="E996" s="27">
        <v>1</v>
      </c>
      <c r="F996" s="27">
        <v>-1</v>
      </c>
      <c r="H996" s="27">
        <v>17</v>
      </c>
      <c r="I996" s="27" t="str">
        <f>IF(H996="","",VLOOKUP(H996,'#状态名词'!$A$2:$C$99,2))</f>
        <v>adi</v>
      </c>
      <c r="J996" s="27" t="str">
        <f>IF(H996="","",VLOOKUP(H996,'#状态名词'!$A$2:$C$99,3))</f>
        <v>物穿</v>
      </c>
      <c r="K996" s="26" t="s">
        <v>5991</v>
      </c>
    </row>
    <row r="997" spans="1:11">
      <c r="A997" s="27">
        <v>33682</v>
      </c>
      <c r="B997" s="27" t="s">
        <v>5948</v>
      </c>
      <c r="C997" s="27" t="s">
        <v>5949</v>
      </c>
      <c r="E997" s="27">
        <v>1</v>
      </c>
      <c r="F997" s="27">
        <v>-1</v>
      </c>
      <c r="H997" s="27">
        <v>17</v>
      </c>
      <c r="I997" s="27" t="str">
        <f>IF(H997="","",VLOOKUP(H997,'#状态名词'!$A$2:$C$99,2))</f>
        <v>adi</v>
      </c>
      <c r="J997" s="27" t="str">
        <f>IF(H997="","",VLOOKUP(H997,'#状态名词'!$A$2:$C$99,3))</f>
        <v>物穿</v>
      </c>
      <c r="K997" s="26" t="s">
        <v>5992</v>
      </c>
    </row>
    <row r="998" spans="1:11">
      <c r="A998" s="27">
        <v>33683</v>
      </c>
      <c r="B998" s="27" t="s">
        <v>5950</v>
      </c>
      <c r="C998" s="27" t="s">
        <v>5951</v>
      </c>
      <c r="E998" s="27">
        <v>1</v>
      </c>
      <c r="F998" s="27">
        <v>-1</v>
      </c>
      <c r="H998" s="27">
        <v>18</v>
      </c>
      <c r="I998" s="27" t="str">
        <f>IF(H998="","",VLOOKUP(H998,'#状态名词'!$A$2:$C$99,2))</f>
        <v>api</v>
      </c>
      <c r="J998" s="27" t="str">
        <f>IF(H998="","",VLOOKUP(H998,'#状态名词'!$A$2:$C$99,3))</f>
        <v>法穿</v>
      </c>
      <c r="K998" s="26" t="s">
        <v>5993</v>
      </c>
    </row>
    <row r="999" spans="1:11">
      <c r="A999" s="27">
        <v>33684</v>
      </c>
      <c r="B999" s="27" t="s">
        <v>5952</v>
      </c>
      <c r="C999" s="27" t="s">
        <v>5953</v>
      </c>
      <c r="E999" s="27">
        <v>1</v>
      </c>
      <c r="F999" s="27">
        <v>-1</v>
      </c>
      <c r="H999" s="27">
        <v>18</v>
      </c>
      <c r="I999" s="27" t="str">
        <f>IF(H999="","",VLOOKUP(H999,'#状态名词'!$A$2:$C$99,2))</f>
        <v>api</v>
      </c>
      <c r="J999" s="27" t="str">
        <f>IF(H999="","",VLOOKUP(H999,'#状态名词'!$A$2:$C$99,3))</f>
        <v>法穿</v>
      </c>
      <c r="K999" s="26" t="s">
        <v>5994</v>
      </c>
    </row>
    <row r="1000" spans="1:11">
      <c r="A1000" s="27">
        <v>33685</v>
      </c>
      <c r="B1000" s="27" t="s">
        <v>5954</v>
      </c>
      <c r="C1000" s="27" t="s">
        <v>5955</v>
      </c>
      <c r="E1000" s="27">
        <v>20</v>
      </c>
      <c r="F1000" s="27">
        <v>-1</v>
      </c>
      <c r="H1000" s="27">
        <v>17</v>
      </c>
      <c r="I1000" s="27" t="str">
        <f>IF(H1000="","",VLOOKUP(H1000,'#状态名词'!$A$2:$C$99,2))</f>
        <v>adi</v>
      </c>
      <c r="J1000" s="27" t="str">
        <f>IF(H1000="","",VLOOKUP(H1000,'#状态名词'!$A$2:$C$99,3))</f>
        <v>物穿</v>
      </c>
      <c r="K1000" s="26" t="s">
        <v>5342</v>
      </c>
    </row>
    <row r="1001" spans="1:11">
      <c r="B1001" s="27" t="s">
        <v>84</v>
      </c>
      <c r="H1001" s="27">
        <v>18</v>
      </c>
      <c r="I1001" s="27" t="str">
        <f>IF(H1001="","",VLOOKUP(H1001,'#状态名词'!$A$2:$C$99,2))</f>
        <v>api</v>
      </c>
      <c r="J1001" s="27" t="str">
        <f>IF(H1001="","",VLOOKUP(H1001,'#状态名词'!$A$2:$C$99,3))</f>
        <v>法穿</v>
      </c>
      <c r="K1001" s="26" t="s">
        <v>5342</v>
      </c>
    </row>
    <row r="1002" spans="1:11">
      <c r="A1002" s="27">
        <v>33686</v>
      </c>
      <c r="B1002" s="27" t="s">
        <v>5956</v>
      </c>
      <c r="C1002" s="27" t="s">
        <v>5957</v>
      </c>
      <c r="E1002" s="27">
        <v>20</v>
      </c>
      <c r="F1002" s="27">
        <v>-1</v>
      </c>
      <c r="H1002" s="27">
        <v>17</v>
      </c>
      <c r="I1002" s="27" t="str">
        <f>IF(H1002="","",VLOOKUP(H1002,'#状态名词'!$A$2:$C$99,2))</f>
        <v>adi</v>
      </c>
      <c r="J1002" s="27" t="str">
        <f>IF(H1002="","",VLOOKUP(H1002,'#状态名词'!$A$2:$C$99,3))</f>
        <v>物穿</v>
      </c>
      <c r="K1002" s="26" t="s">
        <v>5353</v>
      </c>
    </row>
    <row r="1003" spans="1:11">
      <c r="B1003" s="27" t="s">
        <v>84</v>
      </c>
      <c r="H1003" s="27">
        <v>18</v>
      </c>
      <c r="I1003" s="27" t="str">
        <f>IF(H1003="","",VLOOKUP(H1003,'#状态名词'!$A$2:$C$99,2))</f>
        <v>api</v>
      </c>
      <c r="J1003" s="27" t="str">
        <f>IF(H1003="","",VLOOKUP(H1003,'#状态名词'!$A$2:$C$99,3))</f>
        <v>法穿</v>
      </c>
      <c r="K1003" s="26" t="s">
        <v>5353</v>
      </c>
    </row>
    <row r="1004" spans="1:11">
      <c r="A1004" s="27">
        <v>33687</v>
      </c>
      <c r="B1004" s="27" t="s">
        <v>5958</v>
      </c>
      <c r="C1004" s="27" t="s">
        <v>5959</v>
      </c>
      <c r="E1004" s="27">
        <v>20</v>
      </c>
      <c r="F1004" s="27">
        <v>-1</v>
      </c>
      <c r="H1004" s="27">
        <v>13</v>
      </c>
      <c r="I1004" s="27" t="str">
        <f>IF(H1004="","",VLOOKUP(H1004,'#状态名词'!$A$2:$C$99,2))</f>
        <v>arm</v>
      </c>
      <c r="J1004" s="27" t="str">
        <f>IF(H1004="","",VLOOKUP(H1004,'#状态名词'!$A$2:$C$99,3))</f>
        <v>ARM+</v>
      </c>
      <c r="K1004" s="26" t="s">
        <v>5342</v>
      </c>
    </row>
    <row r="1005" spans="1:11">
      <c r="B1005" s="27" t="s">
        <v>84</v>
      </c>
      <c r="H1005" s="27">
        <v>15</v>
      </c>
      <c r="I1005" s="27" t="str">
        <f>IF(H1005="","",VLOOKUP(H1005,'#状态名词'!$A$2:$C$99,2))</f>
        <v>mr</v>
      </c>
      <c r="J1005" s="27" t="str">
        <f>IF(H1005="","",VLOOKUP(H1005,'#状态名词'!$A$2:$C$99,3))</f>
        <v>MR+</v>
      </c>
      <c r="K1005" s="26" t="s">
        <v>5342</v>
      </c>
    </row>
    <row r="1006" spans="1:11">
      <c r="A1006" s="27">
        <v>33688</v>
      </c>
      <c r="B1006" s="27" t="s">
        <v>5960</v>
      </c>
      <c r="C1006" s="27" t="s">
        <v>5961</v>
      </c>
      <c r="E1006" s="27">
        <v>20</v>
      </c>
      <c r="F1006" s="27">
        <v>-1</v>
      </c>
      <c r="H1006" s="27">
        <v>13</v>
      </c>
      <c r="I1006" s="27" t="str">
        <f>IF(H1006="","",VLOOKUP(H1006,'#状态名词'!$A$2:$C$99,2))</f>
        <v>arm</v>
      </c>
      <c r="J1006" s="27" t="str">
        <f>IF(H1006="","",VLOOKUP(H1006,'#状态名词'!$A$2:$C$99,3))</f>
        <v>ARM+</v>
      </c>
      <c r="K1006" s="26" t="s">
        <v>5353</v>
      </c>
    </row>
    <row r="1007" spans="1:11">
      <c r="B1007" s="27" t="s">
        <v>84</v>
      </c>
      <c r="H1007" s="27">
        <v>15</v>
      </c>
      <c r="I1007" s="27" t="str">
        <f>IF(H1007="","",VLOOKUP(H1007,'#状态名词'!$A$2:$C$99,2))</f>
        <v>mr</v>
      </c>
      <c r="J1007" s="27" t="str">
        <f>IF(H1007="","",VLOOKUP(H1007,'#状态名词'!$A$2:$C$99,3))</f>
        <v>MR+</v>
      </c>
      <c r="K1007" s="26" t="s">
        <v>5353</v>
      </c>
    </row>
    <row r="1008" spans="1:11">
      <c r="A1008" s="27">
        <v>33690</v>
      </c>
      <c r="B1008" s="27" t="s">
        <v>3801</v>
      </c>
      <c r="C1008" s="27" t="s">
        <v>5962</v>
      </c>
      <c r="E1008" s="27">
        <v>5</v>
      </c>
      <c r="F1008" s="27">
        <v>-1</v>
      </c>
      <c r="H1008" s="27">
        <v>33</v>
      </c>
      <c r="I1008" s="27" t="str">
        <f>IF(H1008="","",VLOOKUP(H1008,'#状态名词'!$A$2:$C$99,2))</f>
        <v>relight</v>
      </c>
      <c r="J1008" s="27" t="str">
        <f>IF(H1008="","",VLOOKUP(H1008,'#状态名词'!$A$2:$C$99,3))</f>
        <v>光属性抗性</v>
      </c>
      <c r="K1008" s="26" t="s">
        <v>5342</v>
      </c>
    </row>
    <row r="1009" spans="1:11">
      <c r="A1009" s="27">
        <v>33694</v>
      </c>
      <c r="B1009" s="27" t="s">
        <v>3805</v>
      </c>
      <c r="C1009" s="27" t="s">
        <v>5966</v>
      </c>
      <c r="E1009" s="27">
        <v>5</v>
      </c>
      <c r="F1009" s="27">
        <v>-1</v>
      </c>
      <c r="H1009" s="27">
        <v>32</v>
      </c>
      <c r="I1009" s="27" t="str">
        <f>IF(H1009="","",VLOOKUP(H1009,'#状态名词'!$A$2:$C$99,2))</f>
        <v>reice</v>
      </c>
      <c r="J1009" s="27" t="str">
        <f>IF(H1009="","",VLOOKUP(H1009,'#状态名词'!$A$2:$C$99,3))</f>
        <v>冰属性抗性</v>
      </c>
      <c r="K1009" s="26" t="s">
        <v>5342</v>
      </c>
    </row>
    <row r="1010" spans="1:11">
      <c r="A1010" s="27">
        <v>33695</v>
      </c>
      <c r="B1010" s="27" t="s">
        <v>3806</v>
      </c>
      <c r="C1010" s="27" t="s">
        <v>5967</v>
      </c>
      <c r="E1010" s="27">
        <v>5</v>
      </c>
      <c r="F1010" s="27">
        <v>-1</v>
      </c>
      <c r="H1010" s="27">
        <v>31</v>
      </c>
      <c r="I1010" s="27" t="str">
        <f>IF(H1010="","",VLOOKUP(H1010,'#状态名词'!$A$2:$C$99,2))</f>
        <v>refire</v>
      </c>
      <c r="J1010" s="27" t="str">
        <f>IF(H1010="","",VLOOKUP(H1010,'#状态名词'!$A$2:$C$99,3))</f>
        <v>火属性抗性</v>
      </c>
      <c r="K1010" s="26" t="s">
        <v>5342</v>
      </c>
    </row>
    <row r="1011" spans="1:11">
      <c r="A1011" s="27">
        <v>33696</v>
      </c>
      <c r="B1011" s="27" t="s">
        <v>3807</v>
      </c>
      <c r="C1011" s="27" t="s">
        <v>5968</v>
      </c>
      <c r="E1011" s="27">
        <v>5</v>
      </c>
      <c r="F1011" s="27">
        <v>-1</v>
      </c>
      <c r="H1011" s="27">
        <v>34</v>
      </c>
      <c r="I1011" s="27" t="str">
        <f>IF(H1011="","",VLOOKUP(H1011,'#状态名词'!$A$2:$C$99,2))</f>
        <v>redark</v>
      </c>
      <c r="J1011" s="27" t="str">
        <f>IF(H1011="","",VLOOKUP(H1011,'#状态名词'!$A$2:$C$99,3))</f>
        <v>暗属性抗性</v>
      </c>
      <c r="K1011" s="26" t="s">
        <v>5342</v>
      </c>
    </row>
    <row r="1012" spans="1:11">
      <c r="A1012" s="27">
        <v>33701</v>
      </c>
      <c r="B1012" s="27" t="s">
        <v>6337</v>
      </c>
      <c r="E1012" s="27">
        <v>1</v>
      </c>
      <c r="F1012" s="27">
        <v>-1</v>
      </c>
      <c r="H1012" s="27">
        <v>71</v>
      </c>
      <c r="I1012" s="27" t="str">
        <f>IF(H1012="","",VLOOKUP(H1012,'#状态名词'!$A$2:$C$99,2))</f>
        <v>sk_level</v>
      </c>
      <c r="J1012" s="27" t="str">
        <f>IF(H1012="","",VLOOKUP(H1012,'#状态名词'!$A$2:$C$99,3))</f>
        <v>增加某个技能等级</v>
      </c>
      <c r="K1012" s="26" t="s">
        <v>6122</v>
      </c>
    </row>
    <row r="1013" spans="1:11">
      <c r="A1013" s="27">
        <v>33702</v>
      </c>
      <c r="B1013" s="27" t="s">
        <v>6338</v>
      </c>
      <c r="E1013" s="27">
        <v>1</v>
      </c>
      <c r="F1013" s="27">
        <v>-1</v>
      </c>
      <c r="H1013" s="27">
        <v>71</v>
      </c>
      <c r="I1013" s="27" t="str">
        <f>IF(H1013="","",VLOOKUP(H1013,'#状态名词'!$A$2:$C$99,2))</f>
        <v>sk_level</v>
      </c>
      <c r="J1013" s="27" t="str">
        <f>IF(H1013="","",VLOOKUP(H1013,'#状态名词'!$A$2:$C$99,3))</f>
        <v>增加某个技能等级</v>
      </c>
      <c r="K1013" s="26" t="s">
        <v>6123</v>
      </c>
    </row>
    <row r="1014" spans="1:11">
      <c r="A1014" s="27">
        <v>33703</v>
      </c>
      <c r="B1014" s="27" t="s">
        <v>6339</v>
      </c>
      <c r="E1014" s="27">
        <v>1</v>
      </c>
      <c r="F1014" s="27">
        <v>-1</v>
      </c>
      <c r="H1014" s="27">
        <v>71</v>
      </c>
      <c r="I1014" s="27" t="str">
        <f>IF(H1014="","",VLOOKUP(H1014,'#状态名词'!$A$2:$C$99,2))</f>
        <v>sk_level</v>
      </c>
      <c r="J1014" s="27" t="str">
        <f>IF(H1014="","",VLOOKUP(H1014,'#状态名词'!$A$2:$C$99,3))</f>
        <v>增加某个技能等级</v>
      </c>
      <c r="K1014" s="26" t="s">
        <v>6124</v>
      </c>
    </row>
    <row r="1015" spans="1:11">
      <c r="A1015" s="27">
        <v>33704</v>
      </c>
      <c r="B1015" s="27" t="s">
        <v>6340</v>
      </c>
      <c r="E1015" s="27">
        <v>1</v>
      </c>
      <c r="F1015" s="27">
        <v>-1</v>
      </c>
      <c r="H1015" s="27">
        <v>71</v>
      </c>
      <c r="I1015" s="27" t="str">
        <f>IF(H1015="","",VLOOKUP(H1015,'#状态名词'!$A$2:$C$99,2))</f>
        <v>sk_level</v>
      </c>
      <c r="J1015" s="27" t="str">
        <f>IF(H1015="","",VLOOKUP(H1015,'#状态名词'!$A$2:$C$99,3))</f>
        <v>增加某个技能等级</v>
      </c>
      <c r="K1015" s="26" t="s">
        <v>6125</v>
      </c>
    </row>
    <row r="1016" spans="1:11">
      <c r="A1016" s="27">
        <v>33705</v>
      </c>
      <c r="B1016" s="27" t="s">
        <v>6341</v>
      </c>
      <c r="E1016" s="27">
        <v>1</v>
      </c>
      <c r="F1016" s="27">
        <v>-1</v>
      </c>
      <c r="H1016" s="27">
        <v>71</v>
      </c>
      <c r="I1016" s="27" t="str">
        <f>IF(H1016="","",VLOOKUP(H1016,'#状态名词'!$A$2:$C$99,2))</f>
        <v>sk_level</v>
      </c>
      <c r="J1016" s="27" t="str">
        <f>IF(H1016="","",VLOOKUP(H1016,'#状态名词'!$A$2:$C$99,3))</f>
        <v>增加某个技能等级</v>
      </c>
      <c r="K1016" s="26" t="s">
        <v>6126</v>
      </c>
    </row>
    <row r="1017" spans="1:11">
      <c r="A1017" s="27">
        <v>33706</v>
      </c>
      <c r="B1017" s="27" t="s">
        <v>6342</v>
      </c>
      <c r="E1017" s="27">
        <v>1</v>
      </c>
      <c r="F1017" s="27">
        <v>-1</v>
      </c>
      <c r="H1017" s="27">
        <v>71</v>
      </c>
      <c r="I1017" s="27" t="str">
        <f>IF(H1017="","",VLOOKUP(H1017,'#状态名词'!$A$2:$C$99,2))</f>
        <v>sk_level</v>
      </c>
      <c r="J1017" s="27" t="str">
        <f>IF(H1017="","",VLOOKUP(H1017,'#状态名词'!$A$2:$C$99,3))</f>
        <v>增加某个技能等级</v>
      </c>
      <c r="K1017" s="26" t="s">
        <v>6127</v>
      </c>
    </row>
    <row r="1018" spans="1:11">
      <c r="A1018" s="27">
        <v>33707</v>
      </c>
      <c r="B1018" s="27" t="s">
        <v>4862</v>
      </c>
      <c r="E1018" s="27">
        <v>1</v>
      </c>
      <c r="F1018" s="27">
        <v>-1</v>
      </c>
      <c r="H1018" s="27">
        <v>71</v>
      </c>
      <c r="I1018" s="27" t="str">
        <f>IF(H1018="","",VLOOKUP(H1018,'#状态名词'!$A$2:$C$99,2))</f>
        <v>sk_level</v>
      </c>
      <c r="J1018" s="27" t="str">
        <f>IF(H1018="","",VLOOKUP(H1018,'#状态名词'!$A$2:$C$99,3))</f>
        <v>增加某个技能等级</v>
      </c>
      <c r="K1018" s="26" t="s">
        <v>6128</v>
      </c>
    </row>
    <row r="1019" spans="1:11">
      <c r="A1019" s="27">
        <v>33708</v>
      </c>
      <c r="B1019" s="27" t="s">
        <v>6343</v>
      </c>
      <c r="E1019" s="27">
        <v>1</v>
      </c>
      <c r="F1019" s="27">
        <v>-1</v>
      </c>
      <c r="H1019" s="27">
        <v>71</v>
      </c>
      <c r="I1019" s="27" t="str">
        <f>IF(H1019="","",VLOOKUP(H1019,'#状态名词'!$A$2:$C$99,2))</f>
        <v>sk_level</v>
      </c>
      <c r="J1019" s="27" t="str">
        <f>IF(H1019="","",VLOOKUP(H1019,'#状态名词'!$A$2:$C$99,3))</f>
        <v>增加某个技能等级</v>
      </c>
      <c r="K1019" s="26" t="s">
        <v>6129</v>
      </c>
    </row>
    <row r="1020" spans="1:11">
      <c r="A1020" s="27">
        <v>33709</v>
      </c>
      <c r="B1020" s="27" t="s">
        <v>6344</v>
      </c>
      <c r="E1020" s="27">
        <v>1</v>
      </c>
      <c r="F1020" s="27">
        <v>-1</v>
      </c>
      <c r="H1020" s="27">
        <v>71</v>
      </c>
      <c r="I1020" s="27" t="str">
        <f>IF(H1020="","",VLOOKUP(H1020,'#状态名词'!$A$2:$C$99,2))</f>
        <v>sk_level</v>
      </c>
      <c r="J1020" s="27" t="str">
        <f>IF(H1020="","",VLOOKUP(H1020,'#状态名词'!$A$2:$C$99,3))</f>
        <v>增加某个技能等级</v>
      </c>
      <c r="K1020" s="26" t="s">
        <v>6130</v>
      </c>
    </row>
    <row r="1021" spans="1:11">
      <c r="A1021" s="27">
        <v>33710</v>
      </c>
      <c r="B1021" s="27" t="s">
        <v>6345</v>
      </c>
      <c r="E1021" s="27">
        <v>1</v>
      </c>
      <c r="F1021" s="27">
        <v>-1</v>
      </c>
      <c r="H1021" s="27">
        <v>71</v>
      </c>
      <c r="I1021" s="27" t="str">
        <f>IF(H1021="","",VLOOKUP(H1021,'#状态名词'!$A$2:$C$99,2))</f>
        <v>sk_level</v>
      </c>
      <c r="J1021" s="27" t="str">
        <f>IF(H1021="","",VLOOKUP(H1021,'#状态名词'!$A$2:$C$99,3))</f>
        <v>增加某个技能等级</v>
      </c>
      <c r="K1021" s="26" t="s">
        <v>6131</v>
      </c>
    </row>
    <row r="1022" spans="1:11">
      <c r="A1022" s="27">
        <v>33711</v>
      </c>
      <c r="B1022" s="27" t="s">
        <v>6346</v>
      </c>
      <c r="E1022" s="27">
        <v>1</v>
      </c>
      <c r="F1022" s="27">
        <v>-1</v>
      </c>
      <c r="H1022" s="27">
        <v>71</v>
      </c>
      <c r="I1022" s="27" t="str">
        <f>IF(H1022="","",VLOOKUP(H1022,'#状态名词'!$A$2:$C$99,2))</f>
        <v>sk_level</v>
      </c>
      <c r="J1022" s="27" t="str">
        <f>IF(H1022="","",VLOOKUP(H1022,'#状态名词'!$A$2:$C$99,3))</f>
        <v>增加某个技能等级</v>
      </c>
      <c r="K1022" s="26" t="s">
        <v>6132</v>
      </c>
    </row>
    <row r="1023" spans="1:11">
      <c r="A1023" s="27">
        <v>33712</v>
      </c>
      <c r="B1023" s="27" t="s">
        <v>6347</v>
      </c>
      <c r="E1023" s="27">
        <v>1</v>
      </c>
      <c r="F1023" s="27">
        <v>-1</v>
      </c>
      <c r="H1023" s="27">
        <v>71</v>
      </c>
      <c r="I1023" s="27" t="str">
        <f>IF(H1023="","",VLOOKUP(H1023,'#状态名词'!$A$2:$C$99,2))</f>
        <v>sk_level</v>
      </c>
      <c r="J1023" s="27" t="str">
        <f>IF(H1023="","",VLOOKUP(H1023,'#状态名词'!$A$2:$C$99,3))</f>
        <v>增加某个技能等级</v>
      </c>
      <c r="K1023" s="26" t="s">
        <v>6133</v>
      </c>
    </row>
    <row r="1024" spans="1:11">
      <c r="A1024" s="27">
        <v>33713</v>
      </c>
      <c r="B1024" s="27" t="s">
        <v>6348</v>
      </c>
      <c r="E1024" s="27">
        <v>1</v>
      </c>
      <c r="F1024" s="27">
        <v>-1</v>
      </c>
      <c r="H1024" s="27">
        <v>71</v>
      </c>
      <c r="I1024" s="27" t="str">
        <f>IF(H1024="","",VLOOKUP(H1024,'#状态名词'!$A$2:$C$99,2))</f>
        <v>sk_level</v>
      </c>
      <c r="J1024" s="27" t="str">
        <f>IF(H1024="","",VLOOKUP(H1024,'#状态名词'!$A$2:$C$99,3))</f>
        <v>增加某个技能等级</v>
      </c>
      <c r="K1024" s="26" t="s">
        <v>6134</v>
      </c>
    </row>
    <row r="1025" spans="1:11">
      <c r="A1025" s="27">
        <v>33714</v>
      </c>
      <c r="B1025" s="27" t="s">
        <v>6349</v>
      </c>
      <c r="E1025" s="27">
        <v>1</v>
      </c>
      <c r="F1025" s="27">
        <v>-1</v>
      </c>
      <c r="H1025" s="27">
        <v>71</v>
      </c>
      <c r="I1025" s="27" t="str">
        <f>IF(H1025="","",VLOOKUP(H1025,'#状态名词'!$A$2:$C$99,2))</f>
        <v>sk_level</v>
      </c>
      <c r="J1025" s="27" t="str">
        <f>IF(H1025="","",VLOOKUP(H1025,'#状态名词'!$A$2:$C$99,3))</f>
        <v>增加某个技能等级</v>
      </c>
      <c r="K1025" s="26" t="s">
        <v>6135</v>
      </c>
    </row>
    <row r="1026" spans="1:11">
      <c r="A1026" s="27">
        <v>33715</v>
      </c>
      <c r="B1026" s="27" t="s">
        <v>6350</v>
      </c>
      <c r="E1026" s="27">
        <v>1</v>
      </c>
      <c r="F1026" s="27">
        <v>-1</v>
      </c>
      <c r="H1026" s="27">
        <v>71</v>
      </c>
      <c r="I1026" s="27" t="str">
        <f>IF(H1026="","",VLOOKUP(H1026,'#状态名词'!$A$2:$C$99,2))</f>
        <v>sk_level</v>
      </c>
      <c r="J1026" s="27" t="str">
        <f>IF(H1026="","",VLOOKUP(H1026,'#状态名词'!$A$2:$C$99,3))</f>
        <v>增加某个技能等级</v>
      </c>
      <c r="K1026" s="26" t="s">
        <v>6136</v>
      </c>
    </row>
    <row r="1027" spans="1:11">
      <c r="A1027" s="27">
        <v>33716</v>
      </c>
      <c r="B1027" s="27" t="s">
        <v>6351</v>
      </c>
      <c r="E1027" s="27">
        <v>1</v>
      </c>
      <c r="F1027" s="27">
        <v>-1</v>
      </c>
      <c r="H1027" s="27">
        <v>71</v>
      </c>
      <c r="I1027" s="27" t="str">
        <f>IF(H1027="","",VLOOKUP(H1027,'#状态名词'!$A$2:$C$99,2))</f>
        <v>sk_level</v>
      </c>
      <c r="J1027" s="27" t="str">
        <f>IF(H1027="","",VLOOKUP(H1027,'#状态名词'!$A$2:$C$99,3))</f>
        <v>增加某个技能等级</v>
      </c>
      <c r="K1027" s="26" t="s">
        <v>6137</v>
      </c>
    </row>
    <row r="1028" spans="1:11">
      <c r="A1028" s="27">
        <v>33717</v>
      </c>
      <c r="B1028" s="27" t="s">
        <v>6352</v>
      </c>
      <c r="E1028" s="27">
        <v>1</v>
      </c>
      <c r="F1028" s="27">
        <v>-1</v>
      </c>
      <c r="H1028" s="27">
        <v>71</v>
      </c>
      <c r="I1028" s="27" t="str">
        <f>IF(H1028="","",VLOOKUP(H1028,'#状态名词'!$A$2:$C$99,2))</f>
        <v>sk_level</v>
      </c>
      <c r="J1028" s="27" t="str">
        <f>IF(H1028="","",VLOOKUP(H1028,'#状态名词'!$A$2:$C$99,3))</f>
        <v>增加某个技能等级</v>
      </c>
      <c r="K1028" s="26" t="s">
        <v>6138</v>
      </c>
    </row>
    <row r="1029" spans="1:11">
      <c r="A1029" s="27">
        <v>33718</v>
      </c>
      <c r="B1029" s="27" t="s">
        <v>6353</v>
      </c>
      <c r="E1029" s="27">
        <v>1</v>
      </c>
      <c r="F1029" s="27">
        <v>-1</v>
      </c>
      <c r="H1029" s="27">
        <v>71</v>
      </c>
      <c r="I1029" s="27" t="str">
        <f>IF(H1029="","",VLOOKUP(H1029,'#状态名词'!$A$2:$C$99,2))</f>
        <v>sk_level</v>
      </c>
      <c r="J1029" s="27" t="str">
        <f>IF(H1029="","",VLOOKUP(H1029,'#状态名词'!$A$2:$C$99,3))</f>
        <v>增加某个技能等级</v>
      </c>
      <c r="K1029" s="26" t="s">
        <v>6139</v>
      </c>
    </row>
    <row r="1030" spans="1:11">
      <c r="A1030" s="27">
        <v>33719</v>
      </c>
      <c r="B1030" s="27" t="s">
        <v>6354</v>
      </c>
      <c r="E1030" s="27">
        <v>1</v>
      </c>
      <c r="F1030" s="27">
        <v>-1</v>
      </c>
      <c r="H1030" s="27">
        <v>71</v>
      </c>
      <c r="I1030" s="27" t="str">
        <f>IF(H1030="","",VLOOKUP(H1030,'#状态名词'!$A$2:$C$99,2))</f>
        <v>sk_level</v>
      </c>
      <c r="J1030" s="27" t="str">
        <f>IF(H1030="","",VLOOKUP(H1030,'#状态名词'!$A$2:$C$99,3))</f>
        <v>增加某个技能等级</v>
      </c>
      <c r="K1030" s="26" t="s">
        <v>6140</v>
      </c>
    </row>
    <row r="1031" spans="1:11">
      <c r="A1031" s="27">
        <v>33720</v>
      </c>
      <c r="B1031" s="27" t="s">
        <v>6355</v>
      </c>
      <c r="E1031" s="27">
        <v>1</v>
      </c>
      <c r="F1031" s="27">
        <v>-1</v>
      </c>
      <c r="H1031" s="27">
        <v>71</v>
      </c>
      <c r="I1031" s="27" t="str">
        <f>IF(H1031="","",VLOOKUP(H1031,'#状态名词'!$A$2:$C$99,2))</f>
        <v>sk_level</v>
      </c>
      <c r="J1031" s="27" t="str">
        <f>IF(H1031="","",VLOOKUP(H1031,'#状态名词'!$A$2:$C$99,3))</f>
        <v>增加某个技能等级</v>
      </c>
      <c r="K1031" s="26" t="s">
        <v>6141</v>
      </c>
    </row>
    <row r="1032" spans="1:11">
      <c r="A1032" s="27">
        <v>33721</v>
      </c>
      <c r="B1032" s="27" t="s">
        <v>6356</v>
      </c>
      <c r="E1032" s="27">
        <v>1</v>
      </c>
      <c r="F1032" s="27">
        <v>-1</v>
      </c>
      <c r="H1032" s="27">
        <v>71</v>
      </c>
      <c r="I1032" s="27" t="str">
        <f>IF(H1032="","",VLOOKUP(H1032,'#状态名词'!$A$2:$C$99,2))</f>
        <v>sk_level</v>
      </c>
      <c r="J1032" s="27" t="str">
        <f>IF(H1032="","",VLOOKUP(H1032,'#状态名词'!$A$2:$C$99,3))</f>
        <v>增加某个技能等级</v>
      </c>
      <c r="K1032" s="26" t="s">
        <v>6142</v>
      </c>
    </row>
    <row r="1033" spans="1:11">
      <c r="A1033" s="27">
        <v>33722</v>
      </c>
      <c r="B1033" s="27" t="s">
        <v>6357</v>
      </c>
      <c r="E1033" s="27">
        <v>1</v>
      </c>
      <c r="F1033" s="27">
        <v>-1</v>
      </c>
      <c r="H1033" s="27">
        <v>71</v>
      </c>
      <c r="I1033" s="27" t="str">
        <f>IF(H1033="","",VLOOKUP(H1033,'#状态名词'!$A$2:$C$99,2))</f>
        <v>sk_level</v>
      </c>
      <c r="J1033" s="27" t="str">
        <f>IF(H1033="","",VLOOKUP(H1033,'#状态名词'!$A$2:$C$99,3))</f>
        <v>增加某个技能等级</v>
      </c>
      <c r="K1033" s="26" t="s">
        <v>6143</v>
      </c>
    </row>
    <row r="1034" spans="1:11">
      <c r="A1034" s="27">
        <v>33723</v>
      </c>
      <c r="B1034" s="27" t="s">
        <v>6358</v>
      </c>
      <c r="E1034" s="27">
        <v>1</v>
      </c>
      <c r="F1034" s="27">
        <v>-1</v>
      </c>
      <c r="H1034" s="27">
        <v>71</v>
      </c>
      <c r="I1034" s="27" t="str">
        <f>IF(H1034="","",VLOOKUP(H1034,'#状态名词'!$A$2:$C$99,2))</f>
        <v>sk_level</v>
      </c>
      <c r="J1034" s="27" t="str">
        <f>IF(H1034="","",VLOOKUP(H1034,'#状态名词'!$A$2:$C$99,3))</f>
        <v>增加某个技能等级</v>
      </c>
      <c r="K1034" s="26" t="s">
        <v>6144</v>
      </c>
    </row>
    <row r="1035" spans="1:11">
      <c r="A1035" s="27">
        <v>33724</v>
      </c>
      <c r="B1035" s="27" t="s">
        <v>6359</v>
      </c>
      <c r="E1035" s="27">
        <v>1</v>
      </c>
      <c r="F1035" s="27">
        <v>-1</v>
      </c>
      <c r="H1035" s="27">
        <v>71</v>
      </c>
      <c r="I1035" s="27" t="str">
        <f>IF(H1035="","",VLOOKUP(H1035,'#状态名词'!$A$2:$C$99,2))</f>
        <v>sk_level</v>
      </c>
      <c r="J1035" s="27" t="str">
        <f>IF(H1035="","",VLOOKUP(H1035,'#状态名词'!$A$2:$C$99,3))</f>
        <v>增加某个技能等级</v>
      </c>
      <c r="K1035" s="26" t="s">
        <v>6145</v>
      </c>
    </row>
    <row r="1036" spans="1:11">
      <c r="A1036" s="27">
        <v>33725</v>
      </c>
      <c r="B1036" s="27" t="s">
        <v>6360</v>
      </c>
      <c r="E1036" s="27">
        <v>1</v>
      </c>
      <c r="F1036" s="27">
        <v>-1</v>
      </c>
      <c r="H1036" s="27">
        <v>71</v>
      </c>
      <c r="I1036" s="27" t="str">
        <f>IF(H1036="","",VLOOKUP(H1036,'#状态名词'!$A$2:$C$99,2))</f>
        <v>sk_level</v>
      </c>
      <c r="J1036" s="27" t="str">
        <f>IF(H1036="","",VLOOKUP(H1036,'#状态名词'!$A$2:$C$99,3))</f>
        <v>增加某个技能等级</v>
      </c>
      <c r="K1036" s="26" t="s">
        <v>6146</v>
      </c>
    </row>
    <row r="1037" spans="1:11">
      <c r="A1037" s="27">
        <v>33726</v>
      </c>
      <c r="B1037" s="27" t="s">
        <v>6361</v>
      </c>
      <c r="E1037" s="27">
        <v>1</v>
      </c>
      <c r="F1037" s="27">
        <v>-1</v>
      </c>
      <c r="H1037" s="27">
        <v>71</v>
      </c>
      <c r="I1037" s="27" t="str">
        <f>IF(H1037="","",VLOOKUP(H1037,'#状态名词'!$A$2:$C$99,2))</f>
        <v>sk_level</v>
      </c>
      <c r="J1037" s="27" t="str">
        <f>IF(H1037="","",VLOOKUP(H1037,'#状态名词'!$A$2:$C$99,3))</f>
        <v>增加某个技能等级</v>
      </c>
      <c r="K1037" s="26" t="s">
        <v>5351</v>
      </c>
    </row>
    <row r="1038" spans="1:11">
      <c r="A1038" s="27">
        <v>33727</v>
      </c>
      <c r="B1038" s="27" t="s">
        <v>6362</v>
      </c>
      <c r="E1038" s="27">
        <v>1</v>
      </c>
      <c r="F1038" s="27">
        <v>-1</v>
      </c>
      <c r="H1038" s="27">
        <v>71</v>
      </c>
      <c r="I1038" s="27" t="str">
        <f>IF(H1038="","",VLOOKUP(H1038,'#状态名词'!$A$2:$C$99,2))</f>
        <v>sk_level</v>
      </c>
      <c r="J1038" s="27" t="str">
        <f>IF(H1038="","",VLOOKUP(H1038,'#状态名词'!$A$2:$C$99,3))</f>
        <v>增加某个技能等级</v>
      </c>
      <c r="K1038" s="26" t="s">
        <v>6147</v>
      </c>
    </row>
    <row r="1039" spans="1:11">
      <c r="A1039" s="27">
        <v>33728</v>
      </c>
      <c r="B1039" s="27" t="s">
        <v>6363</v>
      </c>
      <c r="E1039" s="27">
        <v>1</v>
      </c>
      <c r="F1039" s="27">
        <v>-1</v>
      </c>
      <c r="H1039" s="27">
        <v>71</v>
      </c>
      <c r="I1039" s="27" t="str">
        <f>IF(H1039="","",VLOOKUP(H1039,'#状态名词'!$A$2:$C$99,2))</f>
        <v>sk_level</v>
      </c>
      <c r="J1039" s="27" t="str">
        <f>IF(H1039="","",VLOOKUP(H1039,'#状态名词'!$A$2:$C$99,3))</f>
        <v>增加某个技能等级</v>
      </c>
      <c r="K1039" s="26" t="s">
        <v>6148</v>
      </c>
    </row>
    <row r="1040" spans="1:11">
      <c r="A1040" s="27">
        <v>33729</v>
      </c>
      <c r="B1040" s="27" t="s">
        <v>6364</v>
      </c>
      <c r="E1040" s="27">
        <v>1</v>
      </c>
      <c r="F1040" s="27">
        <v>-1</v>
      </c>
      <c r="H1040" s="27">
        <v>71</v>
      </c>
      <c r="I1040" s="27" t="str">
        <f>IF(H1040="","",VLOOKUP(H1040,'#状态名词'!$A$2:$C$99,2))</f>
        <v>sk_level</v>
      </c>
      <c r="J1040" s="27" t="str">
        <f>IF(H1040="","",VLOOKUP(H1040,'#状态名词'!$A$2:$C$99,3))</f>
        <v>增加某个技能等级</v>
      </c>
      <c r="K1040" s="26" t="s">
        <v>6149</v>
      </c>
    </row>
    <row r="1041" spans="1:11">
      <c r="A1041" s="27">
        <v>33730</v>
      </c>
      <c r="B1041" s="27" t="s">
        <v>6365</v>
      </c>
      <c r="E1041" s="27">
        <v>1</v>
      </c>
      <c r="F1041" s="27">
        <v>-1</v>
      </c>
      <c r="H1041" s="27">
        <v>71</v>
      </c>
      <c r="I1041" s="27" t="str">
        <f>IF(H1041="","",VLOOKUP(H1041,'#状态名词'!$A$2:$C$99,2))</f>
        <v>sk_level</v>
      </c>
      <c r="J1041" s="27" t="str">
        <f>IF(H1041="","",VLOOKUP(H1041,'#状态名词'!$A$2:$C$99,3))</f>
        <v>增加某个技能等级</v>
      </c>
      <c r="K1041" s="26" t="s">
        <v>6150</v>
      </c>
    </row>
    <row r="1042" spans="1:11">
      <c r="A1042" s="27">
        <v>33731</v>
      </c>
      <c r="B1042" s="27" t="s">
        <v>6366</v>
      </c>
      <c r="E1042" s="27">
        <v>1</v>
      </c>
      <c r="F1042" s="27">
        <v>-1</v>
      </c>
      <c r="H1042" s="27">
        <v>71</v>
      </c>
      <c r="I1042" s="27" t="str">
        <f>IF(H1042="","",VLOOKUP(H1042,'#状态名词'!$A$2:$C$99,2))</f>
        <v>sk_level</v>
      </c>
      <c r="J1042" s="27" t="str">
        <f>IF(H1042="","",VLOOKUP(H1042,'#状态名词'!$A$2:$C$99,3))</f>
        <v>增加某个技能等级</v>
      </c>
      <c r="K1042" s="26" t="s">
        <v>5354</v>
      </c>
    </row>
    <row r="1043" spans="1:11">
      <c r="A1043" s="27">
        <v>33732</v>
      </c>
      <c r="B1043" s="27" t="s">
        <v>6367</v>
      </c>
      <c r="E1043" s="27">
        <v>1</v>
      </c>
      <c r="F1043" s="27">
        <v>-1</v>
      </c>
      <c r="H1043" s="27">
        <v>71</v>
      </c>
      <c r="I1043" s="27" t="str">
        <f>IF(H1043="","",VLOOKUP(H1043,'#状态名词'!$A$2:$C$99,2))</f>
        <v>sk_level</v>
      </c>
      <c r="J1043" s="27" t="str">
        <f>IF(H1043="","",VLOOKUP(H1043,'#状态名词'!$A$2:$C$99,3))</f>
        <v>增加某个技能等级</v>
      </c>
      <c r="K1043" s="26" t="s">
        <v>6151</v>
      </c>
    </row>
    <row r="1044" spans="1:11">
      <c r="A1044" s="27">
        <v>33733</v>
      </c>
      <c r="B1044" s="27" t="s">
        <v>6368</v>
      </c>
      <c r="E1044" s="27">
        <v>1</v>
      </c>
      <c r="F1044" s="27">
        <v>-1</v>
      </c>
      <c r="H1044" s="27">
        <v>71</v>
      </c>
      <c r="I1044" s="27" t="str">
        <f>IF(H1044="","",VLOOKUP(H1044,'#状态名词'!$A$2:$C$99,2))</f>
        <v>sk_level</v>
      </c>
      <c r="J1044" s="27" t="str">
        <f>IF(H1044="","",VLOOKUP(H1044,'#状态名词'!$A$2:$C$99,3))</f>
        <v>增加某个技能等级</v>
      </c>
      <c r="K1044" s="26" t="s">
        <v>6152</v>
      </c>
    </row>
    <row r="1045" spans="1:11">
      <c r="A1045" s="27">
        <v>33734</v>
      </c>
      <c r="B1045" s="27" t="s">
        <v>6369</v>
      </c>
      <c r="E1045" s="27">
        <v>1</v>
      </c>
      <c r="F1045" s="27">
        <v>-1</v>
      </c>
      <c r="H1045" s="27">
        <v>71</v>
      </c>
      <c r="I1045" s="27" t="str">
        <f>IF(H1045="","",VLOOKUP(H1045,'#状态名词'!$A$2:$C$99,2))</f>
        <v>sk_level</v>
      </c>
      <c r="J1045" s="27" t="str">
        <f>IF(H1045="","",VLOOKUP(H1045,'#状态名词'!$A$2:$C$99,3))</f>
        <v>增加某个技能等级</v>
      </c>
      <c r="K1045" s="26" t="s">
        <v>6153</v>
      </c>
    </row>
    <row r="1046" spans="1:11">
      <c r="A1046" s="27">
        <v>33735</v>
      </c>
      <c r="B1046" s="27" t="s">
        <v>6370</v>
      </c>
      <c r="E1046" s="27">
        <v>1</v>
      </c>
      <c r="F1046" s="27">
        <v>-1</v>
      </c>
      <c r="H1046" s="27">
        <v>71</v>
      </c>
      <c r="I1046" s="27" t="str">
        <f>IF(H1046="","",VLOOKUP(H1046,'#状态名词'!$A$2:$C$99,2))</f>
        <v>sk_level</v>
      </c>
      <c r="J1046" s="27" t="str">
        <f>IF(H1046="","",VLOOKUP(H1046,'#状态名词'!$A$2:$C$99,3))</f>
        <v>增加某个技能等级</v>
      </c>
      <c r="K1046" s="26" t="s">
        <v>6154</v>
      </c>
    </row>
    <row r="1047" spans="1:11">
      <c r="A1047" s="27">
        <v>33736</v>
      </c>
      <c r="B1047" s="27" t="s">
        <v>6371</v>
      </c>
      <c r="E1047" s="27">
        <v>1</v>
      </c>
      <c r="F1047" s="27">
        <v>-1</v>
      </c>
      <c r="H1047" s="27">
        <v>71</v>
      </c>
      <c r="I1047" s="27" t="str">
        <f>IF(H1047="","",VLOOKUP(H1047,'#状态名词'!$A$2:$C$99,2))</f>
        <v>sk_level</v>
      </c>
      <c r="J1047" s="27" t="str">
        <f>IF(H1047="","",VLOOKUP(H1047,'#状态名词'!$A$2:$C$99,3))</f>
        <v>增加某个技能等级</v>
      </c>
      <c r="K1047" s="26" t="s">
        <v>6155</v>
      </c>
    </row>
    <row r="1048" spans="1:11">
      <c r="A1048" s="27">
        <v>33737</v>
      </c>
      <c r="B1048" s="27" t="s">
        <v>6372</v>
      </c>
      <c r="E1048" s="27">
        <v>1</v>
      </c>
      <c r="F1048" s="27">
        <v>-1</v>
      </c>
      <c r="H1048" s="27">
        <v>71</v>
      </c>
      <c r="I1048" s="27" t="str">
        <f>IF(H1048="","",VLOOKUP(H1048,'#状态名词'!$A$2:$C$99,2))</f>
        <v>sk_level</v>
      </c>
      <c r="J1048" s="27" t="str">
        <f>IF(H1048="","",VLOOKUP(H1048,'#状态名词'!$A$2:$C$99,3))</f>
        <v>增加某个技能等级</v>
      </c>
      <c r="K1048" s="26" t="s">
        <v>6156</v>
      </c>
    </row>
    <row r="1049" spans="1:11">
      <c r="A1049" s="27">
        <v>33738</v>
      </c>
      <c r="B1049" s="27" t="s">
        <v>6373</v>
      </c>
      <c r="E1049" s="27">
        <v>1</v>
      </c>
      <c r="F1049" s="27">
        <v>-1</v>
      </c>
      <c r="H1049" s="27">
        <v>71</v>
      </c>
      <c r="I1049" s="27" t="str">
        <f>IF(H1049="","",VLOOKUP(H1049,'#状态名词'!$A$2:$C$99,2))</f>
        <v>sk_level</v>
      </c>
      <c r="J1049" s="27" t="str">
        <f>IF(H1049="","",VLOOKUP(H1049,'#状态名词'!$A$2:$C$99,3))</f>
        <v>增加某个技能等级</v>
      </c>
      <c r="K1049" s="26" t="s">
        <v>6157</v>
      </c>
    </row>
    <row r="1050" spans="1:11">
      <c r="A1050" s="27">
        <v>33739</v>
      </c>
      <c r="B1050" s="27" t="s">
        <v>6374</v>
      </c>
      <c r="E1050" s="27">
        <v>1</v>
      </c>
      <c r="F1050" s="27">
        <v>-1</v>
      </c>
      <c r="H1050" s="27">
        <v>71</v>
      </c>
      <c r="I1050" s="27" t="str">
        <f>IF(H1050="","",VLOOKUP(H1050,'#状态名词'!$A$2:$C$99,2))</f>
        <v>sk_level</v>
      </c>
      <c r="J1050" s="27" t="str">
        <f>IF(H1050="","",VLOOKUP(H1050,'#状态名词'!$A$2:$C$99,3))</f>
        <v>增加某个技能等级</v>
      </c>
      <c r="K1050" s="26" t="s">
        <v>6158</v>
      </c>
    </row>
    <row r="1051" spans="1:11">
      <c r="A1051" s="27">
        <v>33740</v>
      </c>
      <c r="B1051" s="27" t="s">
        <v>6372</v>
      </c>
      <c r="E1051" s="27">
        <v>1</v>
      </c>
      <c r="F1051" s="27">
        <v>-1</v>
      </c>
      <c r="H1051" s="27">
        <v>71</v>
      </c>
      <c r="I1051" s="27" t="str">
        <f>IF(H1051="","",VLOOKUP(H1051,'#状态名词'!$A$2:$C$99,2))</f>
        <v>sk_level</v>
      </c>
      <c r="J1051" s="27" t="str">
        <f>IF(H1051="","",VLOOKUP(H1051,'#状态名词'!$A$2:$C$99,3))</f>
        <v>增加某个技能等级</v>
      </c>
      <c r="K1051" s="26" t="s">
        <v>6156</v>
      </c>
    </row>
    <row r="1052" spans="1:11">
      <c r="A1052" s="27">
        <v>33741</v>
      </c>
      <c r="B1052" s="27" t="s">
        <v>6373</v>
      </c>
      <c r="E1052" s="27">
        <v>1</v>
      </c>
      <c r="F1052" s="27">
        <v>-1</v>
      </c>
      <c r="H1052" s="27">
        <v>71</v>
      </c>
      <c r="I1052" s="27" t="str">
        <f>IF(H1052="","",VLOOKUP(H1052,'#状态名词'!$A$2:$C$99,2))</f>
        <v>sk_level</v>
      </c>
      <c r="J1052" s="27" t="str">
        <f>IF(H1052="","",VLOOKUP(H1052,'#状态名词'!$A$2:$C$99,3))</f>
        <v>增加某个技能等级</v>
      </c>
      <c r="K1052" s="26" t="s">
        <v>6157</v>
      </c>
    </row>
    <row r="1053" spans="1:11">
      <c r="A1053" s="27">
        <v>33742</v>
      </c>
      <c r="B1053" s="27" t="s">
        <v>6374</v>
      </c>
      <c r="E1053" s="27">
        <v>1</v>
      </c>
      <c r="F1053" s="27">
        <v>-1</v>
      </c>
      <c r="H1053" s="27">
        <v>71</v>
      </c>
      <c r="I1053" s="27" t="str">
        <f>IF(H1053="","",VLOOKUP(H1053,'#状态名词'!$A$2:$C$99,2))</f>
        <v>sk_level</v>
      </c>
      <c r="J1053" s="27" t="str">
        <f>IF(H1053="","",VLOOKUP(H1053,'#状态名词'!$A$2:$C$99,3))</f>
        <v>增加某个技能等级</v>
      </c>
      <c r="K1053" s="26" t="s">
        <v>6158</v>
      </c>
    </row>
    <row r="1054" spans="1:11">
      <c r="A1054" s="27">
        <v>33743</v>
      </c>
      <c r="B1054" s="27" t="s">
        <v>6375</v>
      </c>
      <c r="E1054" s="27">
        <v>1</v>
      </c>
      <c r="F1054" s="27">
        <v>-1</v>
      </c>
      <c r="H1054" s="27">
        <v>71</v>
      </c>
      <c r="I1054" s="27" t="str">
        <f>IF(H1054="","",VLOOKUP(H1054,'#状态名词'!$A$2:$C$99,2))</f>
        <v>sk_level</v>
      </c>
      <c r="J1054" s="27" t="str">
        <f>IF(H1054="","",VLOOKUP(H1054,'#状态名词'!$A$2:$C$99,3))</f>
        <v>增加某个技能等级</v>
      </c>
      <c r="K1054" s="26" t="s">
        <v>6159</v>
      </c>
    </row>
    <row r="1055" spans="1:11">
      <c r="A1055" s="27">
        <v>33744</v>
      </c>
      <c r="B1055" s="27" t="s">
        <v>6376</v>
      </c>
      <c r="E1055" s="27">
        <v>1</v>
      </c>
      <c r="F1055" s="27">
        <v>-1</v>
      </c>
      <c r="H1055" s="27">
        <v>71</v>
      </c>
      <c r="I1055" s="27" t="str">
        <f>IF(H1055="","",VLOOKUP(H1055,'#状态名词'!$A$2:$C$99,2))</f>
        <v>sk_level</v>
      </c>
      <c r="J1055" s="27" t="str">
        <f>IF(H1055="","",VLOOKUP(H1055,'#状态名词'!$A$2:$C$99,3))</f>
        <v>增加某个技能等级</v>
      </c>
      <c r="K1055" s="26" t="s">
        <v>6160</v>
      </c>
    </row>
    <row r="1056" spans="1:11">
      <c r="A1056" s="27">
        <v>33745</v>
      </c>
      <c r="B1056" s="27" t="s">
        <v>6377</v>
      </c>
      <c r="E1056" s="27">
        <v>1</v>
      </c>
      <c r="F1056" s="27">
        <v>-1</v>
      </c>
      <c r="H1056" s="27">
        <v>71</v>
      </c>
      <c r="I1056" s="27" t="str">
        <f>IF(H1056="","",VLOOKUP(H1056,'#状态名词'!$A$2:$C$99,2))</f>
        <v>sk_level</v>
      </c>
      <c r="J1056" s="27" t="str">
        <f>IF(H1056="","",VLOOKUP(H1056,'#状态名词'!$A$2:$C$99,3))</f>
        <v>增加某个技能等级</v>
      </c>
      <c r="K1056" s="26" t="s">
        <v>6161</v>
      </c>
    </row>
    <row r="1057" spans="1:11">
      <c r="A1057" s="27">
        <v>33746</v>
      </c>
      <c r="B1057" s="27" t="s">
        <v>6378</v>
      </c>
      <c r="E1057" s="27">
        <v>1</v>
      </c>
      <c r="F1057" s="27">
        <v>-1</v>
      </c>
      <c r="H1057" s="27">
        <v>71</v>
      </c>
      <c r="I1057" s="27" t="str">
        <f>IF(H1057="","",VLOOKUP(H1057,'#状态名词'!$A$2:$C$99,2))</f>
        <v>sk_level</v>
      </c>
      <c r="J1057" s="27" t="str">
        <f>IF(H1057="","",VLOOKUP(H1057,'#状态名词'!$A$2:$C$99,3))</f>
        <v>增加某个技能等级</v>
      </c>
      <c r="K1057" s="26" t="s">
        <v>6162</v>
      </c>
    </row>
    <row r="1058" spans="1:11">
      <c r="A1058" s="27">
        <v>33747</v>
      </c>
      <c r="B1058" s="27" t="s">
        <v>6379</v>
      </c>
      <c r="E1058" s="27">
        <v>1</v>
      </c>
      <c r="F1058" s="27">
        <v>-1</v>
      </c>
      <c r="H1058" s="27">
        <v>71</v>
      </c>
      <c r="I1058" s="27" t="str">
        <f>IF(H1058="","",VLOOKUP(H1058,'#状态名词'!$A$2:$C$99,2))</f>
        <v>sk_level</v>
      </c>
      <c r="J1058" s="27" t="str">
        <f>IF(H1058="","",VLOOKUP(H1058,'#状态名词'!$A$2:$C$99,3))</f>
        <v>增加某个技能等级</v>
      </c>
      <c r="K1058" s="26" t="s">
        <v>6163</v>
      </c>
    </row>
    <row r="1059" spans="1:11">
      <c r="A1059" s="27">
        <v>33748</v>
      </c>
      <c r="B1059" s="27" t="s">
        <v>6380</v>
      </c>
      <c r="E1059" s="27">
        <v>1</v>
      </c>
      <c r="F1059" s="27">
        <v>-1</v>
      </c>
      <c r="H1059" s="27">
        <v>71</v>
      </c>
      <c r="I1059" s="27" t="str">
        <f>IF(H1059="","",VLOOKUP(H1059,'#状态名词'!$A$2:$C$99,2))</f>
        <v>sk_level</v>
      </c>
      <c r="J1059" s="27" t="str">
        <f>IF(H1059="","",VLOOKUP(H1059,'#状态名词'!$A$2:$C$99,3))</f>
        <v>增加某个技能等级</v>
      </c>
      <c r="K1059" s="26" t="s">
        <v>6164</v>
      </c>
    </row>
    <row r="1060" spans="1:11">
      <c r="A1060" s="27">
        <v>33749</v>
      </c>
      <c r="B1060" s="27" t="s">
        <v>6381</v>
      </c>
      <c r="E1060" s="27">
        <v>1</v>
      </c>
      <c r="F1060" s="27">
        <v>-1</v>
      </c>
      <c r="H1060" s="27">
        <v>71</v>
      </c>
      <c r="I1060" s="27" t="str">
        <f>IF(H1060="","",VLOOKUP(H1060,'#状态名词'!$A$2:$C$99,2))</f>
        <v>sk_level</v>
      </c>
      <c r="J1060" s="27" t="str">
        <f>IF(H1060="","",VLOOKUP(H1060,'#状态名词'!$A$2:$C$99,3))</f>
        <v>增加某个技能等级</v>
      </c>
      <c r="K1060" s="26" t="s">
        <v>6165</v>
      </c>
    </row>
    <row r="1061" spans="1:11">
      <c r="A1061" s="27">
        <v>33750</v>
      </c>
      <c r="B1061" s="27" t="s">
        <v>6382</v>
      </c>
      <c r="E1061" s="27">
        <v>1</v>
      </c>
      <c r="F1061" s="27">
        <v>-1</v>
      </c>
      <c r="H1061" s="27">
        <v>71</v>
      </c>
      <c r="I1061" s="27" t="str">
        <f>IF(H1061="","",VLOOKUP(H1061,'#状态名词'!$A$2:$C$99,2))</f>
        <v>sk_level</v>
      </c>
      <c r="J1061" s="27" t="str">
        <f>IF(H1061="","",VLOOKUP(H1061,'#状态名词'!$A$2:$C$99,3))</f>
        <v>增加某个技能等级</v>
      </c>
      <c r="K1061" s="26" t="s">
        <v>6166</v>
      </c>
    </row>
    <row r="1062" spans="1:11">
      <c r="A1062" s="27">
        <v>33751</v>
      </c>
      <c r="B1062" s="27" t="s">
        <v>6383</v>
      </c>
      <c r="E1062" s="27">
        <v>1</v>
      </c>
      <c r="F1062" s="27">
        <v>-1</v>
      </c>
      <c r="H1062" s="27">
        <v>71</v>
      </c>
      <c r="I1062" s="27" t="str">
        <f>IF(H1062="","",VLOOKUP(H1062,'#状态名词'!$A$2:$C$99,2))</f>
        <v>sk_level</v>
      </c>
      <c r="J1062" s="27" t="str">
        <f>IF(H1062="","",VLOOKUP(H1062,'#状态名词'!$A$2:$C$99,3))</f>
        <v>增加某个技能等级</v>
      </c>
      <c r="K1062" s="26" t="s">
        <v>6167</v>
      </c>
    </row>
    <row r="1063" spans="1:11">
      <c r="A1063" s="27">
        <v>33752</v>
      </c>
      <c r="B1063" s="27" t="s">
        <v>6384</v>
      </c>
      <c r="E1063" s="27">
        <v>1</v>
      </c>
      <c r="F1063" s="27">
        <v>-1</v>
      </c>
      <c r="H1063" s="27">
        <v>71</v>
      </c>
      <c r="I1063" s="27" t="str">
        <f>IF(H1063="","",VLOOKUP(H1063,'#状态名词'!$A$2:$C$99,2))</f>
        <v>sk_level</v>
      </c>
      <c r="J1063" s="27" t="str">
        <f>IF(H1063="","",VLOOKUP(H1063,'#状态名词'!$A$2:$C$99,3))</f>
        <v>增加某个技能等级</v>
      </c>
      <c r="K1063" s="26" t="s">
        <v>6168</v>
      </c>
    </row>
    <row r="1064" spans="1:11">
      <c r="A1064" s="27">
        <v>33753</v>
      </c>
      <c r="B1064" s="27" t="s">
        <v>6385</v>
      </c>
      <c r="E1064" s="27">
        <v>1</v>
      </c>
      <c r="F1064" s="27">
        <v>-1</v>
      </c>
      <c r="H1064" s="27">
        <v>71</v>
      </c>
      <c r="I1064" s="27" t="str">
        <f>IF(H1064="","",VLOOKUP(H1064,'#状态名词'!$A$2:$C$99,2))</f>
        <v>sk_level</v>
      </c>
      <c r="J1064" s="27" t="str">
        <f>IF(H1064="","",VLOOKUP(H1064,'#状态名词'!$A$2:$C$99,3))</f>
        <v>增加某个技能等级</v>
      </c>
      <c r="K1064" s="26" t="s">
        <v>6169</v>
      </c>
    </row>
    <row r="1065" spans="1:11">
      <c r="A1065" s="27">
        <v>33754</v>
      </c>
      <c r="B1065" s="27" t="s">
        <v>6386</v>
      </c>
      <c r="E1065" s="27">
        <v>1</v>
      </c>
      <c r="F1065" s="27">
        <v>-1</v>
      </c>
      <c r="H1065" s="27">
        <v>71</v>
      </c>
      <c r="I1065" s="27" t="str">
        <f>IF(H1065="","",VLOOKUP(H1065,'#状态名词'!$A$2:$C$99,2))</f>
        <v>sk_level</v>
      </c>
      <c r="J1065" s="27" t="str">
        <f>IF(H1065="","",VLOOKUP(H1065,'#状态名词'!$A$2:$C$99,3))</f>
        <v>增加某个技能等级</v>
      </c>
      <c r="K1065" s="26" t="s">
        <v>6170</v>
      </c>
    </row>
    <row r="1066" spans="1:11">
      <c r="A1066" s="27">
        <v>33755</v>
      </c>
      <c r="B1066" s="27" t="s">
        <v>6387</v>
      </c>
      <c r="E1066" s="27">
        <v>1</v>
      </c>
      <c r="F1066" s="27">
        <v>-1</v>
      </c>
      <c r="H1066" s="27">
        <v>71</v>
      </c>
      <c r="I1066" s="27" t="str">
        <f>IF(H1066="","",VLOOKUP(H1066,'#状态名词'!$A$2:$C$99,2))</f>
        <v>sk_level</v>
      </c>
      <c r="J1066" s="27" t="str">
        <f>IF(H1066="","",VLOOKUP(H1066,'#状态名词'!$A$2:$C$99,3))</f>
        <v>增加某个技能等级</v>
      </c>
      <c r="K1066" s="26" t="s">
        <v>6171</v>
      </c>
    </row>
    <row r="1067" spans="1:11">
      <c r="A1067" s="27">
        <v>33756</v>
      </c>
      <c r="B1067" s="27" t="s">
        <v>6388</v>
      </c>
      <c r="E1067" s="27">
        <v>1</v>
      </c>
      <c r="F1067" s="27">
        <v>-1</v>
      </c>
      <c r="H1067" s="27">
        <v>71</v>
      </c>
      <c r="I1067" s="27" t="str">
        <f>IF(H1067="","",VLOOKUP(H1067,'#状态名词'!$A$2:$C$99,2))</f>
        <v>sk_level</v>
      </c>
      <c r="J1067" s="27" t="str">
        <f>IF(H1067="","",VLOOKUP(H1067,'#状态名词'!$A$2:$C$99,3))</f>
        <v>增加某个技能等级</v>
      </c>
      <c r="K1067" s="26" t="s">
        <v>6172</v>
      </c>
    </row>
    <row r="1068" spans="1:11">
      <c r="A1068" s="27">
        <v>33757</v>
      </c>
      <c r="B1068" s="27" t="s">
        <v>6389</v>
      </c>
      <c r="E1068" s="27">
        <v>1</v>
      </c>
      <c r="F1068" s="27">
        <v>-1</v>
      </c>
      <c r="H1068" s="27">
        <v>71</v>
      </c>
      <c r="I1068" s="27" t="str">
        <f>IF(H1068="","",VLOOKUP(H1068,'#状态名词'!$A$2:$C$99,2))</f>
        <v>sk_level</v>
      </c>
      <c r="J1068" s="27" t="str">
        <f>IF(H1068="","",VLOOKUP(H1068,'#状态名词'!$A$2:$C$99,3))</f>
        <v>增加某个技能等级</v>
      </c>
      <c r="K1068" s="26" t="s">
        <v>6173</v>
      </c>
    </row>
    <row r="1069" spans="1:11">
      <c r="A1069" s="27">
        <v>33758</v>
      </c>
      <c r="B1069" s="27" t="s">
        <v>6390</v>
      </c>
      <c r="E1069" s="27">
        <v>1</v>
      </c>
      <c r="F1069" s="27">
        <v>-1</v>
      </c>
      <c r="H1069" s="27">
        <v>71</v>
      </c>
      <c r="I1069" s="27" t="str">
        <f>IF(H1069="","",VLOOKUP(H1069,'#状态名词'!$A$2:$C$99,2))</f>
        <v>sk_level</v>
      </c>
      <c r="J1069" s="27" t="str">
        <f>IF(H1069="","",VLOOKUP(H1069,'#状态名词'!$A$2:$C$99,3))</f>
        <v>增加某个技能等级</v>
      </c>
      <c r="K1069" s="26" t="s">
        <v>6174</v>
      </c>
    </row>
    <row r="1070" spans="1:11">
      <c r="A1070" s="27">
        <v>33759</v>
      </c>
      <c r="B1070" s="27" t="s">
        <v>6391</v>
      </c>
      <c r="E1070" s="27">
        <v>1</v>
      </c>
      <c r="F1070" s="27">
        <v>-1</v>
      </c>
      <c r="H1070" s="27">
        <v>71</v>
      </c>
      <c r="I1070" s="27" t="str">
        <f>IF(H1070="","",VLOOKUP(H1070,'#状态名词'!$A$2:$C$99,2))</f>
        <v>sk_level</v>
      </c>
      <c r="J1070" s="27" t="str">
        <f>IF(H1070="","",VLOOKUP(H1070,'#状态名词'!$A$2:$C$99,3))</f>
        <v>增加某个技能等级</v>
      </c>
      <c r="K1070" s="26" t="s">
        <v>6175</v>
      </c>
    </row>
    <row r="1071" spans="1:11">
      <c r="A1071" s="27">
        <v>33760</v>
      </c>
      <c r="B1071" s="27" t="s">
        <v>6392</v>
      </c>
      <c r="E1071" s="27">
        <v>1</v>
      </c>
      <c r="F1071" s="27">
        <v>-1</v>
      </c>
      <c r="H1071" s="27">
        <v>71</v>
      </c>
      <c r="I1071" s="27" t="str">
        <f>IF(H1071="","",VLOOKUP(H1071,'#状态名词'!$A$2:$C$99,2))</f>
        <v>sk_level</v>
      </c>
      <c r="J1071" s="27" t="str">
        <f>IF(H1071="","",VLOOKUP(H1071,'#状态名词'!$A$2:$C$99,3))</f>
        <v>增加某个技能等级</v>
      </c>
      <c r="K1071" s="26" t="s">
        <v>6176</v>
      </c>
    </row>
    <row r="1072" spans="1:11">
      <c r="A1072" s="27">
        <v>33761</v>
      </c>
      <c r="B1072" s="27" t="s">
        <v>6393</v>
      </c>
      <c r="E1072" s="27">
        <v>1</v>
      </c>
      <c r="F1072" s="27">
        <v>-1</v>
      </c>
      <c r="H1072" s="27">
        <v>71</v>
      </c>
      <c r="I1072" s="27" t="str">
        <f>IF(H1072="","",VLOOKUP(H1072,'#状态名词'!$A$2:$C$99,2))</f>
        <v>sk_level</v>
      </c>
      <c r="J1072" s="27" t="str">
        <f>IF(H1072="","",VLOOKUP(H1072,'#状态名词'!$A$2:$C$99,3))</f>
        <v>增加某个技能等级</v>
      </c>
      <c r="K1072" s="26" t="s">
        <v>6177</v>
      </c>
    </row>
    <row r="1073" spans="1:11">
      <c r="A1073" s="27">
        <v>33762</v>
      </c>
      <c r="B1073" s="27" t="s">
        <v>6394</v>
      </c>
      <c r="E1073" s="27">
        <v>1</v>
      </c>
      <c r="F1073" s="27">
        <v>-1</v>
      </c>
      <c r="H1073" s="27">
        <v>71</v>
      </c>
      <c r="I1073" s="27" t="str">
        <f>IF(H1073="","",VLOOKUP(H1073,'#状态名词'!$A$2:$C$99,2))</f>
        <v>sk_level</v>
      </c>
      <c r="J1073" s="27" t="str">
        <f>IF(H1073="","",VLOOKUP(H1073,'#状态名词'!$A$2:$C$99,3))</f>
        <v>增加某个技能等级</v>
      </c>
      <c r="K1073" s="26" t="s">
        <v>6178</v>
      </c>
    </row>
    <row r="1074" spans="1:11">
      <c r="A1074" s="27">
        <v>33763</v>
      </c>
      <c r="B1074" s="27" t="s">
        <v>6395</v>
      </c>
      <c r="E1074" s="27">
        <v>1</v>
      </c>
      <c r="F1074" s="27">
        <v>-1</v>
      </c>
      <c r="H1074" s="27">
        <v>71</v>
      </c>
      <c r="I1074" s="27" t="str">
        <f>IF(H1074="","",VLOOKUP(H1074,'#状态名词'!$A$2:$C$99,2))</f>
        <v>sk_level</v>
      </c>
      <c r="J1074" s="27" t="str">
        <f>IF(H1074="","",VLOOKUP(H1074,'#状态名词'!$A$2:$C$99,3))</f>
        <v>增加某个技能等级</v>
      </c>
      <c r="K1074" s="26" t="s">
        <v>6179</v>
      </c>
    </row>
    <row r="1075" spans="1:11">
      <c r="A1075" s="27">
        <v>33764</v>
      </c>
      <c r="B1075" s="27" t="s">
        <v>6396</v>
      </c>
      <c r="E1075" s="27">
        <v>1</v>
      </c>
      <c r="F1075" s="27">
        <v>-1</v>
      </c>
      <c r="H1075" s="27">
        <v>71</v>
      </c>
      <c r="I1075" s="27" t="str">
        <f>IF(H1075="","",VLOOKUP(H1075,'#状态名词'!$A$2:$C$99,2))</f>
        <v>sk_level</v>
      </c>
      <c r="J1075" s="27" t="str">
        <f>IF(H1075="","",VLOOKUP(H1075,'#状态名词'!$A$2:$C$99,3))</f>
        <v>增加某个技能等级</v>
      </c>
      <c r="K1075" s="26" t="s">
        <v>6180</v>
      </c>
    </row>
    <row r="1076" spans="1:11">
      <c r="A1076" s="27">
        <v>33765</v>
      </c>
      <c r="B1076" s="27" t="s">
        <v>6397</v>
      </c>
      <c r="E1076" s="27">
        <v>1</v>
      </c>
      <c r="F1076" s="27">
        <v>-1</v>
      </c>
      <c r="H1076" s="27">
        <v>71</v>
      </c>
      <c r="I1076" s="27" t="str">
        <f>IF(H1076="","",VLOOKUP(H1076,'#状态名词'!$A$2:$C$99,2))</f>
        <v>sk_level</v>
      </c>
      <c r="J1076" s="27" t="str">
        <f>IF(H1076="","",VLOOKUP(H1076,'#状态名词'!$A$2:$C$99,3))</f>
        <v>增加某个技能等级</v>
      </c>
      <c r="K1076" s="26" t="s">
        <v>6181</v>
      </c>
    </row>
    <row r="1077" spans="1:11">
      <c r="A1077" s="27">
        <v>33766</v>
      </c>
      <c r="B1077" s="27" t="s">
        <v>6398</v>
      </c>
      <c r="E1077" s="27">
        <v>1</v>
      </c>
      <c r="F1077" s="27">
        <v>-1</v>
      </c>
      <c r="H1077" s="27">
        <v>71</v>
      </c>
      <c r="I1077" s="27" t="str">
        <f>IF(H1077="","",VLOOKUP(H1077,'#状态名词'!$A$2:$C$99,2))</f>
        <v>sk_level</v>
      </c>
      <c r="J1077" s="27" t="str">
        <f>IF(H1077="","",VLOOKUP(H1077,'#状态名词'!$A$2:$C$99,3))</f>
        <v>增加某个技能等级</v>
      </c>
      <c r="K1077" s="26" t="s">
        <v>6182</v>
      </c>
    </row>
    <row r="1078" spans="1:11">
      <c r="A1078" s="27">
        <v>33767</v>
      </c>
      <c r="B1078" s="27" t="s">
        <v>6399</v>
      </c>
      <c r="E1078" s="27">
        <v>1</v>
      </c>
      <c r="F1078" s="27">
        <v>-1</v>
      </c>
      <c r="H1078" s="27">
        <v>71</v>
      </c>
      <c r="I1078" s="27" t="str">
        <f>IF(H1078="","",VLOOKUP(H1078,'#状态名词'!$A$2:$C$99,2))</f>
        <v>sk_level</v>
      </c>
      <c r="J1078" s="27" t="str">
        <f>IF(H1078="","",VLOOKUP(H1078,'#状态名词'!$A$2:$C$99,3))</f>
        <v>增加某个技能等级</v>
      </c>
      <c r="K1078" s="26" t="s">
        <v>6183</v>
      </c>
    </row>
    <row r="1079" spans="1:11">
      <c r="A1079" s="27">
        <v>33768</v>
      </c>
      <c r="B1079" s="27" t="s">
        <v>6400</v>
      </c>
      <c r="E1079" s="27">
        <v>1</v>
      </c>
      <c r="F1079" s="27">
        <v>-1</v>
      </c>
      <c r="H1079" s="27">
        <v>71</v>
      </c>
      <c r="I1079" s="27" t="str">
        <f>IF(H1079="","",VLOOKUP(H1079,'#状态名词'!$A$2:$C$99,2))</f>
        <v>sk_level</v>
      </c>
      <c r="J1079" s="27" t="str">
        <f>IF(H1079="","",VLOOKUP(H1079,'#状态名词'!$A$2:$C$99,3))</f>
        <v>增加某个技能等级</v>
      </c>
      <c r="K1079" s="26" t="s">
        <v>6184</v>
      </c>
    </row>
    <row r="1080" spans="1:11">
      <c r="A1080" s="27">
        <v>33769</v>
      </c>
      <c r="B1080" s="27" t="s">
        <v>6401</v>
      </c>
      <c r="E1080" s="27">
        <v>1</v>
      </c>
      <c r="F1080" s="27">
        <v>-1</v>
      </c>
      <c r="H1080" s="27">
        <v>71</v>
      </c>
      <c r="I1080" s="27" t="str">
        <f>IF(H1080="","",VLOOKUP(H1080,'#状态名词'!$A$2:$C$99,2))</f>
        <v>sk_level</v>
      </c>
      <c r="J1080" s="27" t="str">
        <f>IF(H1080="","",VLOOKUP(H1080,'#状态名词'!$A$2:$C$99,3))</f>
        <v>增加某个技能等级</v>
      </c>
      <c r="K1080" s="26" t="s">
        <v>6185</v>
      </c>
    </row>
    <row r="1081" spans="1:11">
      <c r="A1081" s="27">
        <v>33770</v>
      </c>
      <c r="B1081" s="27" t="s">
        <v>6402</v>
      </c>
      <c r="E1081" s="27">
        <v>1</v>
      </c>
      <c r="F1081" s="27">
        <v>-1</v>
      </c>
      <c r="H1081" s="27">
        <v>71</v>
      </c>
      <c r="I1081" s="27" t="str">
        <f>IF(H1081="","",VLOOKUP(H1081,'#状态名词'!$A$2:$C$99,2))</f>
        <v>sk_level</v>
      </c>
      <c r="J1081" s="27" t="str">
        <f>IF(H1081="","",VLOOKUP(H1081,'#状态名词'!$A$2:$C$99,3))</f>
        <v>增加某个技能等级</v>
      </c>
      <c r="K1081" s="26" t="s">
        <v>6186</v>
      </c>
    </row>
    <row r="1082" spans="1:11">
      <c r="A1082" s="27">
        <v>33771</v>
      </c>
      <c r="B1082" s="27" t="s">
        <v>6403</v>
      </c>
      <c r="E1082" s="27">
        <v>1</v>
      </c>
      <c r="F1082" s="27">
        <v>-1</v>
      </c>
      <c r="H1082" s="27">
        <v>71</v>
      </c>
      <c r="I1082" s="27" t="str">
        <f>IF(H1082="","",VLOOKUP(H1082,'#状态名词'!$A$2:$C$99,2))</f>
        <v>sk_level</v>
      </c>
      <c r="J1082" s="27" t="str">
        <f>IF(H1082="","",VLOOKUP(H1082,'#状态名词'!$A$2:$C$99,3))</f>
        <v>增加某个技能等级</v>
      </c>
      <c r="K1082" s="26" t="s">
        <v>6187</v>
      </c>
    </row>
    <row r="1083" spans="1:11">
      <c r="A1083" s="27">
        <v>33772</v>
      </c>
      <c r="B1083" s="27" t="s">
        <v>6404</v>
      </c>
      <c r="E1083" s="27">
        <v>1</v>
      </c>
      <c r="F1083" s="27">
        <v>-1</v>
      </c>
      <c r="H1083" s="27">
        <v>71</v>
      </c>
      <c r="I1083" s="27" t="str">
        <f>IF(H1083="","",VLOOKUP(H1083,'#状态名词'!$A$2:$C$99,2))</f>
        <v>sk_level</v>
      </c>
      <c r="J1083" s="27" t="str">
        <f>IF(H1083="","",VLOOKUP(H1083,'#状态名词'!$A$2:$C$99,3))</f>
        <v>增加某个技能等级</v>
      </c>
      <c r="K1083" s="26" t="s">
        <v>6188</v>
      </c>
    </row>
    <row r="1084" spans="1:11">
      <c r="A1084" s="27">
        <v>33773</v>
      </c>
      <c r="B1084" s="27" t="s">
        <v>6405</v>
      </c>
      <c r="E1084" s="27">
        <v>1</v>
      </c>
      <c r="F1084" s="27">
        <v>-1</v>
      </c>
      <c r="H1084" s="27">
        <v>71</v>
      </c>
      <c r="I1084" s="27" t="str">
        <f>IF(H1084="","",VLOOKUP(H1084,'#状态名词'!$A$2:$C$99,2))</f>
        <v>sk_level</v>
      </c>
      <c r="J1084" s="27" t="str">
        <f>IF(H1084="","",VLOOKUP(H1084,'#状态名词'!$A$2:$C$99,3))</f>
        <v>增加某个技能等级</v>
      </c>
      <c r="K1084" s="26" t="s">
        <v>6189</v>
      </c>
    </row>
    <row r="1085" spans="1:11">
      <c r="A1085" s="27">
        <v>33774</v>
      </c>
      <c r="B1085" s="27" t="s">
        <v>6406</v>
      </c>
      <c r="E1085" s="27">
        <v>1</v>
      </c>
      <c r="F1085" s="27">
        <v>-1</v>
      </c>
      <c r="H1085" s="27">
        <v>71</v>
      </c>
      <c r="I1085" s="27" t="str">
        <f>IF(H1085="","",VLOOKUP(H1085,'#状态名词'!$A$2:$C$99,2))</f>
        <v>sk_level</v>
      </c>
      <c r="J1085" s="27" t="str">
        <f>IF(H1085="","",VLOOKUP(H1085,'#状态名词'!$A$2:$C$99,3))</f>
        <v>增加某个技能等级</v>
      </c>
      <c r="K1085" s="26" t="s">
        <v>6190</v>
      </c>
    </row>
    <row r="1086" spans="1:11">
      <c r="A1086" s="27">
        <v>33775</v>
      </c>
      <c r="B1086" s="27" t="s">
        <v>6407</v>
      </c>
      <c r="E1086" s="27">
        <v>1</v>
      </c>
      <c r="F1086" s="27">
        <v>-1</v>
      </c>
      <c r="H1086" s="27">
        <v>71</v>
      </c>
      <c r="I1086" s="27" t="str">
        <f>IF(H1086="","",VLOOKUP(H1086,'#状态名词'!$A$2:$C$99,2))</f>
        <v>sk_level</v>
      </c>
      <c r="J1086" s="27" t="str">
        <f>IF(H1086="","",VLOOKUP(H1086,'#状态名词'!$A$2:$C$99,3))</f>
        <v>增加某个技能等级</v>
      </c>
      <c r="K1086" s="26" t="s">
        <v>6191</v>
      </c>
    </row>
    <row r="1087" spans="1:11">
      <c r="A1087" s="27">
        <v>33776</v>
      </c>
      <c r="B1087" s="27" t="s">
        <v>6408</v>
      </c>
      <c r="E1087" s="27">
        <v>1</v>
      </c>
      <c r="F1087" s="27">
        <v>-1</v>
      </c>
      <c r="H1087" s="27">
        <v>71</v>
      </c>
      <c r="I1087" s="27" t="str">
        <f>IF(H1087="","",VLOOKUP(H1087,'#状态名词'!$A$2:$C$99,2))</f>
        <v>sk_level</v>
      </c>
      <c r="J1087" s="27" t="str">
        <f>IF(H1087="","",VLOOKUP(H1087,'#状态名词'!$A$2:$C$99,3))</f>
        <v>增加某个技能等级</v>
      </c>
      <c r="K1087" s="26" t="s">
        <v>6192</v>
      </c>
    </row>
    <row r="1088" spans="1:11">
      <c r="A1088" s="27">
        <v>33777</v>
      </c>
      <c r="B1088" s="27" t="s">
        <v>6409</v>
      </c>
      <c r="E1088" s="27">
        <v>1</v>
      </c>
      <c r="F1088" s="27">
        <v>-1</v>
      </c>
      <c r="H1088" s="27">
        <v>71</v>
      </c>
      <c r="I1088" s="27" t="str">
        <f>IF(H1088="","",VLOOKUP(H1088,'#状态名词'!$A$2:$C$99,2))</f>
        <v>sk_level</v>
      </c>
      <c r="J1088" s="27" t="str">
        <f>IF(H1088="","",VLOOKUP(H1088,'#状态名词'!$A$2:$C$99,3))</f>
        <v>增加某个技能等级</v>
      </c>
      <c r="K1088" s="26" t="s">
        <v>6193</v>
      </c>
    </row>
    <row r="1089" spans="1:11">
      <c r="A1089" s="27">
        <v>33778</v>
      </c>
      <c r="B1089" s="27" t="s">
        <v>6410</v>
      </c>
      <c r="E1089" s="27">
        <v>1</v>
      </c>
      <c r="F1089" s="27">
        <v>-1</v>
      </c>
      <c r="H1089" s="27">
        <v>71</v>
      </c>
      <c r="I1089" s="27" t="str">
        <f>IF(H1089="","",VLOOKUP(H1089,'#状态名词'!$A$2:$C$99,2))</f>
        <v>sk_level</v>
      </c>
      <c r="J1089" s="27" t="str">
        <f>IF(H1089="","",VLOOKUP(H1089,'#状态名词'!$A$2:$C$99,3))</f>
        <v>增加某个技能等级</v>
      </c>
      <c r="K1089" s="26" t="s">
        <v>6194</v>
      </c>
    </row>
    <row r="1090" spans="1:11">
      <c r="A1090" s="27">
        <v>33779</v>
      </c>
      <c r="B1090" s="27" t="s">
        <v>6411</v>
      </c>
      <c r="E1090" s="27">
        <v>1</v>
      </c>
      <c r="F1090" s="27">
        <v>-1</v>
      </c>
      <c r="H1090" s="27">
        <v>71</v>
      </c>
      <c r="I1090" s="27" t="str">
        <f>IF(H1090="","",VLOOKUP(H1090,'#状态名词'!$A$2:$C$99,2))</f>
        <v>sk_level</v>
      </c>
      <c r="J1090" s="27" t="str">
        <f>IF(H1090="","",VLOOKUP(H1090,'#状态名词'!$A$2:$C$99,3))</f>
        <v>增加某个技能等级</v>
      </c>
      <c r="K1090" s="26" t="s">
        <v>6195</v>
      </c>
    </row>
    <row r="1091" spans="1:11">
      <c r="A1091" s="27">
        <v>33780</v>
      </c>
      <c r="B1091" s="27" t="s">
        <v>6412</v>
      </c>
      <c r="E1091" s="27">
        <v>1</v>
      </c>
      <c r="F1091" s="27">
        <v>-1</v>
      </c>
      <c r="H1091" s="27">
        <v>71</v>
      </c>
      <c r="I1091" s="27" t="str">
        <f>IF(H1091="","",VLOOKUP(H1091,'#状态名词'!$A$2:$C$99,2))</f>
        <v>sk_level</v>
      </c>
      <c r="J1091" s="27" t="str">
        <f>IF(H1091="","",VLOOKUP(H1091,'#状态名词'!$A$2:$C$99,3))</f>
        <v>增加某个技能等级</v>
      </c>
      <c r="K1091" s="26" t="s">
        <v>6196</v>
      </c>
    </row>
    <row r="1092" spans="1:11">
      <c r="A1092" s="27">
        <v>33781</v>
      </c>
      <c r="B1092" s="27" t="s">
        <v>6413</v>
      </c>
      <c r="E1092" s="27">
        <v>1</v>
      </c>
      <c r="F1092" s="27">
        <v>-1</v>
      </c>
      <c r="H1092" s="27">
        <v>71</v>
      </c>
      <c r="I1092" s="27" t="str">
        <f>IF(H1092="","",VLOOKUP(H1092,'#状态名词'!$A$2:$C$99,2))</f>
        <v>sk_level</v>
      </c>
      <c r="J1092" s="27" t="str">
        <f>IF(H1092="","",VLOOKUP(H1092,'#状态名词'!$A$2:$C$99,3))</f>
        <v>增加某个技能等级</v>
      </c>
      <c r="K1092" s="26" t="s">
        <v>6197</v>
      </c>
    </row>
    <row r="1093" spans="1:11">
      <c r="A1093" s="27">
        <v>33782</v>
      </c>
      <c r="B1093" s="27" t="s">
        <v>6414</v>
      </c>
      <c r="E1093" s="27">
        <v>1</v>
      </c>
      <c r="F1093" s="27">
        <v>-1</v>
      </c>
      <c r="H1093" s="27">
        <v>71</v>
      </c>
      <c r="I1093" s="27" t="str">
        <f>IF(H1093="","",VLOOKUP(H1093,'#状态名词'!$A$2:$C$99,2))</f>
        <v>sk_level</v>
      </c>
      <c r="J1093" s="27" t="str">
        <f>IF(H1093="","",VLOOKUP(H1093,'#状态名词'!$A$2:$C$99,3))</f>
        <v>增加某个技能等级</v>
      </c>
      <c r="K1093" s="26" t="s">
        <v>6198</v>
      </c>
    </row>
    <row r="1094" spans="1:11">
      <c r="A1094" s="27">
        <v>33783</v>
      </c>
      <c r="B1094" s="27" t="s">
        <v>6415</v>
      </c>
      <c r="E1094" s="27">
        <v>1</v>
      </c>
      <c r="F1094" s="27">
        <v>-1</v>
      </c>
      <c r="H1094" s="27">
        <v>71</v>
      </c>
      <c r="I1094" s="27" t="str">
        <f>IF(H1094="","",VLOOKUP(H1094,'#状态名词'!$A$2:$C$99,2))</f>
        <v>sk_level</v>
      </c>
      <c r="J1094" s="27" t="str">
        <f>IF(H1094="","",VLOOKUP(H1094,'#状态名词'!$A$2:$C$99,3))</f>
        <v>增加某个技能等级</v>
      </c>
      <c r="K1094" s="26" t="s">
        <v>6199</v>
      </c>
    </row>
    <row r="1095" spans="1:11">
      <c r="A1095" s="27">
        <v>33784</v>
      </c>
      <c r="B1095" s="27" t="s">
        <v>6416</v>
      </c>
      <c r="E1095" s="27">
        <v>1</v>
      </c>
      <c r="F1095" s="27">
        <v>-1</v>
      </c>
      <c r="H1095" s="27">
        <v>71</v>
      </c>
      <c r="I1095" s="27" t="str">
        <f>IF(H1095="","",VLOOKUP(H1095,'#状态名词'!$A$2:$C$99,2))</f>
        <v>sk_level</v>
      </c>
      <c r="J1095" s="27" t="str">
        <f>IF(H1095="","",VLOOKUP(H1095,'#状态名词'!$A$2:$C$99,3))</f>
        <v>增加某个技能等级</v>
      </c>
      <c r="K1095" s="26" t="s">
        <v>6200</v>
      </c>
    </row>
    <row r="1096" spans="1:11">
      <c r="A1096" s="27">
        <v>33785</v>
      </c>
      <c r="B1096" s="27" t="s">
        <v>6417</v>
      </c>
      <c r="E1096" s="27">
        <v>1</v>
      </c>
      <c r="F1096" s="27">
        <v>-1</v>
      </c>
      <c r="H1096" s="27">
        <v>71</v>
      </c>
      <c r="I1096" s="27" t="str">
        <f>IF(H1096="","",VLOOKUP(H1096,'#状态名词'!$A$2:$C$99,2))</f>
        <v>sk_level</v>
      </c>
      <c r="J1096" s="27" t="str">
        <f>IF(H1096="","",VLOOKUP(H1096,'#状态名词'!$A$2:$C$99,3))</f>
        <v>增加某个技能等级</v>
      </c>
      <c r="K1096" s="26" t="s">
        <v>6201</v>
      </c>
    </row>
    <row r="1097" spans="1:11">
      <c r="A1097" s="27">
        <v>33786</v>
      </c>
      <c r="B1097" s="27" t="s">
        <v>6418</v>
      </c>
      <c r="E1097" s="27">
        <v>1</v>
      </c>
      <c r="F1097" s="27">
        <v>-1</v>
      </c>
      <c r="H1097" s="27">
        <v>71</v>
      </c>
      <c r="I1097" s="27" t="str">
        <f>IF(H1097="","",VLOOKUP(H1097,'#状态名词'!$A$2:$C$99,2))</f>
        <v>sk_level</v>
      </c>
      <c r="J1097" s="27" t="str">
        <f>IF(H1097="","",VLOOKUP(H1097,'#状态名词'!$A$2:$C$99,3))</f>
        <v>增加某个技能等级</v>
      </c>
      <c r="K1097" s="26" t="s">
        <v>6202</v>
      </c>
    </row>
    <row r="1098" spans="1:11">
      <c r="A1098" s="27">
        <v>33787</v>
      </c>
      <c r="B1098" s="27" t="s">
        <v>6419</v>
      </c>
      <c r="E1098" s="27">
        <v>1</v>
      </c>
      <c r="F1098" s="27">
        <v>-1</v>
      </c>
      <c r="H1098" s="27">
        <v>71</v>
      </c>
      <c r="I1098" s="27" t="str">
        <f>IF(H1098="","",VLOOKUP(H1098,'#状态名词'!$A$2:$C$99,2))</f>
        <v>sk_level</v>
      </c>
      <c r="J1098" s="27" t="str">
        <f>IF(H1098="","",VLOOKUP(H1098,'#状态名词'!$A$2:$C$99,3))</f>
        <v>增加某个技能等级</v>
      </c>
      <c r="K1098" s="26" t="s">
        <v>6203</v>
      </c>
    </row>
    <row r="1099" spans="1:11">
      <c r="A1099" s="27">
        <v>33788</v>
      </c>
      <c r="B1099" s="27" t="s">
        <v>6420</v>
      </c>
      <c r="E1099" s="27">
        <v>1</v>
      </c>
      <c r="F1099" s="27">
        <v>-1</v>
      </c>
      <c r="H1099" s="27">
        <v>71</v>
      </c>
      <c r="I1099" s="27" t="str">
        <f>IF(H1099="","",VLOOKUP(H1099,'#状态名词'!$A$2:$C$99,2))</f>
        <v>sk_level</v>
      </c>
      <c r="J1099" s="27" t="str">
        <f>IF(H1099="","",VLOOKUP(H1099,'#状态名词'!$A$2:$C$99,3))</f>
        <v>增加某个技能等级</v>
      </c>
      <c r="K1099" s="26" t="s">
        <v>6204</v>
      </c>
    </row>
    <row r="1100" spans="1:11">
      <c r="A1100" s="27">
        <v>33789</v>
      </c>
      <c r="B1100" s="27" t="s">
        <v>6415</v>
      </c>
      <c r="E1100" s="27">
        <v>1</v>
      </c>
      <c r="F1100" s="27">
        <v>-1</v>
      </c>
      <c r="H1100" s="27">
        <v>71</v>
      </c>
      <c r="I1100" s="27" t="str">
        <f>IF(H1100="","",VLOOKUP(H1100,'#状态名词'!$A$2:$C$99,2))</f>
        <v>sk_level</v>
      </c>
      <c r="J1100" s="27" t="str">
        <f>IF(H1100="","",VLOOKUP(H1100,'#状态名词'!$A$2:$C$99,3))</f>
        <v>增加某个技能等级</v>
      </c>
      <c r="K1100" s="26" t="s">
        <v>6199</v>
      </c>
    </row>
    <row r="1101" spans="1:11">
      <c r="A1101" s="27">
        <v>33790</v>
      </c>
      <c r="B1101" s="27" t="s">
        <v>6421</v>
      </c>
      <c r="E1101" s="27">
        <v>1</v>
      </c>
      <c r="F1101" s="27">
        <v>-1</v>
      </c>
      <c r="H1101" s="27">
        <v>71</v>
      </c>
      <c r="I1101" s="27" t="str">
        <f>IF(H1101="","",VLOOKUP(H1101,'#状态名词'!$A$2:$C$99,2))</f>
        <v>sk_level</v>
      </c>
      <c r="J1101" s="27" t="str">
        <f>IF(H1101="","",VLOOKUP(H1101,'#状态名词'!$A$2:$C$99,3))</f>
        <v>增加某个技能等级</v>
      </c>
      <c r="K1101" s="26" t="s">
        <v>6205</v>
      </c>
    </row>
    <row r="1102" spans="1:11">
      <c r="A1102" s="27">
        <v>33791</v>
      </c>
      <c r="B1102" s="27" t="s">
        <v>6422</v>
      </c>
      <c r="E1102" s="27">
        <v>1</v>
      </c>
      <c r="F1102" s="27">
        <v>-1</v>
      </c>
      <c r="H1102" s="27">
        <v>71</v>
      </c>
      <c r="I1102" s="27" t="str">
        <f>IF(H1102="","",VLOOKUP(H1102,'#状态名词'!$A$2:$C$99,2))</f>
        <v>sk_level</v>
      </c>
      <c r="J1102" s="27" t="str">
        <f>IF(H1102="","",VLOOKUP(H1102,'#状态名词'!$A$2:$C$99,3))</f>
        <v>增加某个技能等级</v>
      </c>
      <c r="K1102" s="26" t="s">
        <v>6206</v>
      </c>
    </row>
    <row r="1103" spans="1:11">
      <c r="A1103" s="27">
        <v>33792</v>
      </c>
      <c r="B1103" s="27" t="s">
        <v>6423</v>
      </c>
      <c r="E1103" s="27">
        <v>1</v>
      </c>
      <c r="F1103" s="27">
        <v>-1</v>
      </c>
      <c r="H1103" s="27">
        <v>71</v>
      </c>
      <c r="I1103" s="27" t="str">
        <f>IF(H1103="","",VLOOKUP(H1103,'#状态名词'!$A$2:$C$99,2))</f>
        <v>sk_level</v>
      </c>
      <c r="J1103" s="27" t="str">
        <f>IF(H1103="","",VLOOKUP(H1103,'#状态名词'!$A$2:$C$99,3))</f>
        <v>增加某个技能等级</v>
      </c>
      <c r="K1103" s="26" t="s">
        <v>6207</v>
      </c>
    </row>
    <row r="1104" spans="1:11">
      <c r="A1104" s="27">
        <v>33793</v>
      </c>
      <c r="B1104" s="27" t="s">
        <v>6424</v>
      </c>
      <c r="E1104" s="27">
        <v>1</v>
      </c>
      <c r="F1104" s="27">
        <v>-1</v>
      </c>
      <c r="H1104" s="27">
        <v>71</v>
      </c>
      <c r="I1104" s="27" t="str">
        <f>IF(H1104="","",VLOOKUP(H1104,'#状态名词'!$A$2:$C$99,2))</f>
        <v>sk_level</v>
      </c>
      <c r="J1104" s="27" t="str">
        <f>IF(H1104="","",VLOOKUP(H1104,'#状态名词'!$A$2:$C$99,3))</f>
        <v>增加某个技能等级</v>
      </c>
      <c r="K1104" s="26" t="s">
        <v>6208</v>
      </c>
    </row>
    <row r="1105" spans="1:11">
      <c r="A1105" s="27">
        <v>33794</v>
      </c>
      <c r="B1105" s="27" t="s">
        <v>6425</v>
      </c>
      <c r="E1105" s="27">
        <v>1</v>
      </c>
      <c r="F1105" s="27">
        <v>-1</v>
      </c>
      <c r="H1105" s="27">
        <v>71</v>
      </c>
      <c r="I1105" s="27" t="str">
        <f>IF(H1105="","",VLOOKUP(H1105,'#状态名词'!$A$2:$C$99,2))</f>
        <v>sk_level</v>
      </c>
      <c r="J1105" s="27" t="str">
        <f>IF(H1105="","",VLOOKUP(H1105,'#状态名词'!$A$2:$C$99,3))</f>
        <v>增加某个技能等级</v>
      </c>
      <c r="K1105" s="26" t="s">
        <v>6209</v>
      </c>
    </row>
    <row r="1106" spans="1:11">
      <c r="A1106" s="27">
        <v>33795</v>
      </c>
      <c r="B1106" s="27" t="s">
        <v>6426</v>
      </c>
      <c r="E1106" s="27">
        <v>1</v>
      </c>
      <c r="F1106" s="27">
        <v>-1</v>
      </c>
      <c r="H1106" s="27">
        <v>71</v>
      </c>
      <c r="I1106" s="27" t="str">
        <f>IF(H1106="","",VLOOKUP(H1106,'#状态名词'!$A$2:$C$99,2))</f>
        <v>sk_level</v>
      </c>
      <c r="J1106" s="27" t="str">
        <f>IF(H1106="","",VLOOKUP(H1106,'#状态名词'!$A$2:$C$99,3))</f>
        <v>增加某个技能等级</v>
      </c>
      <c r="K1106" s="26" t="s">
        <v>6210</v>
      </c>
    </row>
    <row r="1107" spans="1:11">
      <c r="A1107" s="27">
        <v>33796</v>
      </c>
      <c r="B1107" s="27" t="s">
        <v>6427</v>
      </c>
      <c r="E1107" s="27">
        <v>1</v>
      </c>
      <c r="F1107" s="27">
        <v>-1</v>
      </c>
      <c r="H1107" s="27">
        <v>71</v>
      </c>
      <c r="I1107" s="27" t="str">
        <f>IF(H1107="","",VLOOKUP(H1107,'#状态名词'!$A$2:$C$99,2))</f>
        <v>sk_level</v>
      </c>
      <c r="J1107" s="27" t="str">
        <f>IF(H1107="","",VLOOKUP(H1107,'#状态名词'!$A$2:$C$99,3))</f>
        <v>增加某个技能等级</v>
      </c>
      <c r="K1107" s="26" t="s">
        <v>6211</v>
      </c>
    </row>
    <row r="1108" spans="1:11">
      <c r="A1108" s="27">
        <v>33797</v>
      </c>
      <c r="B1108" s="27" t="s">
        <v>6428</v>
      </c>
      <c r="E1108" s="27">
        <v>1</v>
      </c>
      <c r="F1108" s="27">
        <v>-1</v>
      </c>
      <c r="H1108" s="27">
        <v>71</v>
      </c>
      <c r="I1108" s="27" t="str">
        <f>IF(H1108="","",VLOOKUP(H1108,'#状态名词'!$A$2:$C$99,2))</f>
        <v>sk_level</v>
      </c>
      <c r="J1108" s="27" t="str">
        <f>IF(H1108="","",VLOOKUP(H1108,'#状态名词'!$A$2:$C$99,3))</f>
        <v>增加某个技能等级</v>
      </c>
      <c r="K1108" s="26" t="s">
        <v>6212</v>
      </c>
    </row>
    <row r="1109" spans="1:11">
      <c r="A1109" s="27">
        <v>33798</v>
      </c>
      <c r="B1109" s="27" t="s">
        <v>6429</v>
      </c>
      <c r="E1109" s="27">
        <v>1</v>
      </c>
      <c r="F1109" s="27">
        <v>-1</v>
      </c>
      <c r="H1109" s="27">
        <v>71</v>
      </c>
      <c r="I1109" s="27" t="str">
        <f>IF(H1109="","",VLOOKUP(H1109,'#状态名词'!$A$2:$C$99,2))</f>
        <v>sk_level</v>
      </c>
      <c r="J1109" s="27" t="str">
        <f>IF(H1109="","",VLOOKUP(H1109,'#状态名词'!$A$2:$C$99,3))</f>
        <v>增加某个技能等级</v>
      </c>
      <c r="K1109" s="26" t="s">
        <v>6213</v>
      </c>
    </row>
    <row r="1110" spans="1:11">
      <c r="A1110" s="27">
        <v>33799</v>
      </c>
      <c r="B1110" s="27" t="s">
        <v>6430</v>
      </c>
      <c r="E1110" s="27">
        <v>1</v>
      </c>
      <c r="F1110" s="27">
        <v>-1</v>
      </c>
      <c r="H1110" s="27">
        <v>71</v>
      </c>
      <c r="I1110" s="27" t="str">
        <f>IF(H1110="","",VLOOKUP(H1110,'#状态名词'!$A$2:$C$99,2))</f>
        <v>sk_level</v>
      </c>
      <c r="J1110" s="27" t="str">
        <f>IF(H1110="","",VLOOKUP(H1110,'#状态名词'!$A$2:$C$99,3))</f>
        <v>增加某个技能等级</v>
      </c>
      <c r="K1110" s="26" t="s">
        <v>6214</v>
      </c>
    </row>
    <row r="1111" spans="1:11">
      <c r="A1111" s="27">
        <v>33800</v>
      </c>
      <c r="B1111" s="27" t="s">
        <v>6431</v>
      </c>
      <c r="E1111" s="27">
        <v>1</v>
      </c>
      <c r="F1111" s="27">
        <v>-1</v>
      </c>
      <c r="H1111" s="27">
        <v>71</v>
      </c>
      <c r="I1111" s="27" t="str">
        <f>IF(H1111="","",VLOOKUP(H1111,'#状态名词'!$A$2:$C$99,2))</f>
        <v>sk_level</v>
      </c>
      <c r="J1111" s="27" t="str">
        <f>IF(H1111="","",VLOOKUP(H1111,'#状态名词'!$A$2:$C$99,3))</f>
        <v>增加某个技能等级</v>
      </c>
      <c r="K1111" s="26" t="s">
        <v>6215</v>
      </c>
    </row>
    <row r="1112" spans="1:11">
      <c r="A1112" s="27">
        <v>33801</v>
      </c>
      <c r="B1112" s="27" t="s">
        <v>6432</v>
      </c>
      <c r="E1112" s="27">
        <v>1</v>
      </c>
      <c r="F1112" s="27">
        <v>-1</v>
      </c>
      <c r="H1112" s="27">
        <v>71</v>
      </c>
      <c r="I1112" s="27" t="str">
        <f>IF(H1112="","",VLOOKUP(H1112,'#状态名词'!$A$2:$C$99,2))</f>
        <v>sk_level</v>
      </c>
      <c r="J1112" s="27" t="str">
        <f>IF(H1112="","",VLOOKUP(H1112,'#状态名词'!$A$2:$C$99,3))</f>
        <v>增加某个技能等级</v>
      </c>
      <c r="K1112" s="26" t="s">
        <v>6216</v>
      </c>
    </row>
    <row r="1113" spans="1:11">
      <c r="A1113" s="27">
        <v>33802</v>
      </c>
      <c r="B1113" s="27" t="s">
        <v>6433</v>
      </c>
      <c r="E1113" s="27">
        <v>1</v>
      </c>
      <c r="F1113" s="27">
        <v>-1</v>
      </c>
      <c r="H1113" s="27">
        <v>71</v>
      </c>
      <c r="I1113" s="27" t="str">
        <f>IF(H1113="","",VLOOKUP(H1113,'#状态名词'!$A$2:$C$99,2))</f>
        <v>sk_level</v>
      </c>
      <c r="J1113" s="27" t="str">
        <f>IF(H1113="","",VLOOKUP(H1113,'#状态名词'!$A$2:$C$99,3))</f>
        <v>增加某个技能等级</v>
      </c>
      <c r="K1113" s="26" t="s">
        <v>6217</v>
      </c>
    </row>
    <row r="1114" spans="1:11">
      <c r="A1114" s="27">
        <v>33803</v>
      </c>
      <c r="B1114" s="27" t="s">
        <v>6434</v>
      </c>
      <c r="E1114" s="27">
        <v>1</v>
      </c>
      <c r="F1114" s="27">
        <v>-1</v>
      </c>
      <c r="H1114" s="27">
        <v>71</v>
      </c>
      <c r="I1114" s="27" t="str">
        <f>IF(H1114="","",VLOOKUP(H1114,'#状态名词'!$A$2:$C$99,2))</f>
        <v>sk_level</v>
      </c>
      <c r="J1114" s="27" t="str">
        <f>IF(H1114="","",VLOOKUP(H1114,'#状态名词'!$A$2:$C$99,3))</f>
        <v>增加某个技能等级</v>
      </c>
      <c r="K1114" s="26" t="s">
        <v>6442</v>
      </c>
    </row>
    <row r="1115" spans="1:11">
      <c r="A1115" s="27">
        <v>33804</v>
      </c>
      <c r="B1115" s="27" t="s">
        <v>6435</v>
      </c>
      <c r="E1115" s="27">
        <v>1</v>
      </c>
      <c r="F1115" s="27">
        <v>-1</v>
      </c>
      <c r="H1115" s="27">
        <v>71</v>
      </c>
      <c r="I1115" s="27" t="str">
        <f>IF(H1115="","",VLOOKUP(H1115,'#状态名词'!$A$2:$C$99,2))</f>
        <v>sk_level</v>
      </c>
      <c r="J1115" s="27" t="str">
        <f>IF(H1115="","",VLOOKUP(H1115,'#状态名词'!$A$2:$C$99,3))</f>
        <v>增加某个技能等级</v>
      </c>
      <c r="K1115" s="26" t="s">
        <v>6222</v>
      </c>
    </row>
    <row r="1116" spans="1:11">
      <c r="A1116" s="27">
        <v>33805</v>
      </c>
      <c r="B1116" s="27" t="s">
        <v>6436</v>
      </c>
      <c r="E1116" s="27">
        <v>1</v>
      </c>
      <c r="F1116" s="27">
        <v>-1</v>
      </c>
      <c r="H1116" s="27">
        <v>71</v>
      </c>
      <c r="I1116" s="27" t="str">
        <f>IF(H1116="","",VLOOKUP(H1116,'#状态名词'!$A$2:$C$99,2))</f>
        <v>sk_level</v>
      </c>
      <c r="J1116" s="27" t="str">
        <f>IF(H1116="","",VLOOKUP(H1116,'#状态名词'!$A$2:$C$99,3))</f>
        <v>增加某个技能等级</v>
      </c>
      <c r="K1116" s="26" t="s">
        <v>6218</v>
      </c>
    </row>
    <row r="1117" spans="1:11">
      <c r="A1117" s="27">
        <v>33806</v>
      </c>
      <c r="B1117" s="27" t="s">
        <v>6437</v>
      </c>
      <c r="E1117" s="27">
        <v>1</v>
      </c>
      <c r="F1117" s="27">
        <v>-1</v>
      </c>
      <c r="H1117" s="27">
        <v>71</v>
      </c>
      <c r="I1117" s="27" t="str">
        <f>IF(H1117="","",VLOOKUP(H1117,'#状态名词'!$A$2:$C$99,2))</f>
        <v>sk_level</v>
      </c>
      <c r="J1117" s="27" t="str">
        <f>IF(H1117="","",VLOOKUP(H1117,'#状态名词'!$A$2:$C$99,3))</f>
        <v>增加某个技能等级</v>
      </c>
      <c r="K1117" s="26" t="s">
        <v>6219</v>
      </c>
    </row>
    <row r="1118" spans="1:11">
      <c r="A1118" s="27">
        <v>33807</v>
      </c>
      <c r="B1118" s="27" t="s">
        <v>6438</v>
      </c>
      <c r="E1118" s="27">
        <v>1</v>
      </c>
      <c r="F1118" s="27">
        <v>-1</v>
      </c>
      <c r="H1118" s="27">
        <v>71</v>
      </c>
      <c r="I1118" s="27" t="str">
        <f>IF(H1118="","",VLOOKUP(H1118,'#状态名词'!$A$2:$C$99,2))</f>
        <v>sk_level</v>
      </c>
      <c r="J1118" s="27" t="str">
        <f>IF(H1118="","",VLOOKUP(H1118,'#状态名词'!$A$2:$C$99,3))</f>
        <v>增加某个技能等级</v>
      </c>
      <c r="K1118" s="26" t="s">
        <v>6220</v>
      </c>
    </row>
    <row r="1119" spans="1:11">
      <c r="A1119" s="27">
        <v>33808</v>
      </c>
      <c r="B1119" s="27" t="s">
        <v>6439</v>
      </c>
      <c r="E1119" s="27">
        <v>1</v>
      </c>
      <c r="F1119" s="27">
        <v>-1</v>
      </c>
      <c r="H1119" s="27">
        <v>71</v>
      </c>
      <c r="I1119" s="27" t="str">
        <f>IF(H1119="","",VLOOKUP(H1119,'#状态名词'!$A$2:$C$99,2))</f>
        <v>sk_level</v>
      </c>
      <c r="J1119" s="27" t="str">
        <f>IF(H1119="","",VLOOKUP(H1119,'#状态名词'!$A$2:$C$99,3))</f>
        <v>增加某个技能等级</v>
      </c>
      <c r="K1119" s="26" t="s">
        <v>6221</v>
      </c>
    </row>
    <row r="1120" spans="1:11">
      <c r="A1120" s="27">
        <v>33809</v>
      </c>
      <c r="B1120" s="27" t="s">
        <v>6436</v>
      </c>
      <c r="E1120" s="27">
        <v>1</v>
      </c>
      <c r="F1120" s="27">
        <v>-1</v>
      </c>
      <c r="H1120" s="27">
        <v>71</v>
      </c>
      <c r="I1120" s="27" t="str">
        <f>IF(H1120="","",VLOOKUP(H1120,'#状态名词'!$A$2:$C$99,2))</f>
        <v>sk_level</v>
      </c>
      <c r="J1120" s="27" t="str">
        <f>IF(H1120="","",VLOOKUP(H1120,'#状态名词'!$A$2:$C$99,3))</f>
        <v>增加某个技能等级</v>
      </c>
      <c r="K1120" s="26" t="s">
        <v>6218</v>
      </c>
    </row>
    <row r="1121" spans="1:11">
      <c r="A1121" s="27">
        <v>33810</v>
      </c>
      <c r="B1121" s="27" t="s">
        <v>6437</v>
      </c>
      <c r="E1121" s="27">
        <v>1</v>
      </c>
      <c r="F1121" s="27">
        <v>-1</v>
      </c>
      <c r="H1121" s="27">
        <v>71</v>
      </c>
      <c r="I1121" s="27" t="str">
        <f>IF(H1121="","",VLOOKUP(H1121,'#状态名词'!$A$2:$C$99,2))</f>
        <v>sk_level</v>
      </c>
      <c r="J1121" s="27" t="str">
        <f>IF(H1121="","",VLOOKUP(H1121,'#状态名词'!$A$2:$C$99,3))</f>
        <v>增加某个技能等级</v>
      </c>
      <c r="K1121" s="26" t="s">
        <v>6219</v>
      </c>
    </row>
    <row r="1122" spans="1:11">
      <c r="A1122" s="27">
        <v>33811</v>
      </c>
      <c r="B1122" s="27" t="s">
        <v>6438</v>
      </c>
      <c r="E1122" s="27">
        <v>1</v>
      </c>
      <c r="F1122" s="27">
        <v>-1</v>
      </c>
      <c r="H1122" s="27">
        <v>71</v>
      </c>
      <c r="I1122" s="27" t="str">
        <f>IF(H1122="","",VLOOKUP(H1122,'#状态名词'!$A$2:$C$99,2))</f>
        <v>sk_level</v>
      </c>
      <c r="J1122" s="27" t="str">
        <f>IF(H1122="","",VLOOKUP(H1122,'#状态名词'!$A$2:$C$99,3))</f>
        <v>增加某个技能等级</v>
      </c>
      <c r="K1122" s="26" t="s">
        <v>6220</v>
      </c>
    </row>
    <row r="1123" spans="1:11">
      <c r="A1123" s="27">
        <v>33812</v>
      </c>
      <c r="B1123" s="27" t="s">
        <v>6435</v>
      </c>
      <c r="E1123" s="27">
        <v>1</v>
      </c>
      <c r="F1123" s="27">
        <v>-1</v>
      </c>
      <c r="H1123" s="27">
        <v>71</v>
      </c>
      <c r="I1123" s="27" t="str">
        <f>IF(H1123="","",VLOOKUP(H1123,'#状态名词'!$A$2:$C$99,2))</f>
        <v>sk_level</v>
      </c>
      <c r="J1123" s="27" t="str">
        <f>IF(H1123="","",VLOOKUP(H1123,'#状态名词'!$A$2:$C$99,3))</f>
        <v>增加某个技能等级</v>
      </c>
      <c r="K1123" s="26" t="s">
        <v>6222</v>
      </c>
    </row>
    <row r="1124" spans="1:11">
      <c r="A1124" s="27">
        <v>33813</v>
      </c>
      <c r="B1124" s="27" t="s">
        <v>6440</v>
      </c>
      <c r="E1124" s="27">
        <v>1</v>
      </c>
      <c r="F1124" s="27">
        <v>-1</v>
      </c>
      <c r="H1124" s="27">
        <v>71</v>
      </c>
      <c r="I1124" s="27" t="str">
        <f>IF(H1124="","",VLOOKUP(H1124,'#状态名词'!$A$2:$C$99,2))</f>
        <v>sk_level</v>
      </c>
      <c r="J1124" s="27" t="str">
        <f>IF(H1124="","",VLOOKUP(H1124,'#状态名词'!$A$2:$C$99,3))</f>
        <v>增加某个技能等级</v>
      </c>
      <c r="K1124" s="26" t="s">
        <v>6223</v>
      </c>
    </row>
    <row r="1125" spans="1:11">
      <c r="A1125" s="27">
        <v>33814</v>
      </c>
      <c r="B1125" s="27" t="s">
        <v>6441</v>
      </c>
      <c r="E1125" s="27">
        <v>1</v>
      </c>
      <c r="F1125" s="27">
        <v>-1</v>
      </c>
      <c r="H1125" s="27">
        <v>71</v>
      </c>
      <c r="I1125" s="27" t="str">
        <f>IF(H1125="","",VLOOKUP(H1125,'#状态名词'!$A$2:$C$99,2))</f>
        <v>sk_level</v>
      </c>
      <c r="J1125" s="27" t="str">
        <f>IF(H1125="","",VLOOKUP(H1125,'#状态名词'!$A$2:$C$99,3))</f>
        <v>增加某个技能等级</v>
      </c>
      <c r="K1125" s="26" t="s">
        <v>6224</v>
      </c>
    </row>
    <row r="1126" spans="1:11">
      <c r="A1126" s="27">
        <v>33815</v>
      </c>
      <c r="B1126" s="27" t="s">
        <v>6931</v>
      </c>
      <c r="C1126" s="27" t="s">
        <v>6887</v>
      </c>
      <c r="E1126" s="27">
        <v>1</v>
      </c>
      <c r="F1126" s="27">
        <v>-1</v>
      </c>
      <c r="H1126" s="27">
        <v>74</v>
      </c>
      <c r="I1126" s="27" t="str">
        <f>IF(H1126="","",VLOOKUP(H1126,'#状态名词'!$A$2:$C$99,2))</f>
        <v>sk_levelprofession</v>
      </c>
      <c r="J1126" s="27" t="str">
        <f>IF(H1126="","",VLOOKUP(H1126,'#状态名词'!$A$2:$C$99,3))</f>
        <v>增加某个职业技能</v>
      </c>
      <c r="K1126" s="26" t="s">
        <v>6954</v>
      </c>
    </row>
    <row r="1127" spans="1:11">
      <c r="A1127" s="27">
        <v>33816</v>
      </c>
      <c r="B1127" s="27" t="s">
        <v>6932</v>
      </c>
      <c r="C1127" s="27" t="s">
        <v>6889</v>
      </c>
      <c r="E1127" s="27">
        <v>1</v>
      </c>
      <c r="F1127" s="27">
        <v>-1</v>
      </c>
      <c r="H1127" s="27">
        <v>74</v>
      </c>
      <c r="I1127" s="27" t="str">
        <f>IF(H1127="","",VLOOKUP(H1127,'#状态名词'!$A$2:$C$99,2))</f>
        <v>sk_levelprofession</v>
      </c>
      <c r="J1127" s="27" t="str">
        <f>IF(H1127="","",VLOOKUP(H1127,'#状态名词'!$A$2:$C$99,3))</f>
        <v>增加某个职业技能</v>
      </c>
      <c r="K1127" s="26" t="s">
        <v>6955</v>
      </c>
    </row>
    <row r="1128" spans="1:11">
      <c r="A1128" s="27">
        <v>33817</v>
      </c>
      <c r="B1128" s="27" t="s">
        <v>6933</v>
      </c>
      <c r="C1128" s="27" t="s">
        <v>6891</v>
      </c>
      <c r="E1128" s="27">
        <v>1</v>
      </c>
      <c r="F1128" s="27">
        <v>-1</v>
      </c>
      <c r="H1128" s="27">
        <v>74</v>
      </c>
      <c r="I1128" s="27" t="str">
        <f>IF(H1128="","",VLOOKUP(H1128,'#状态名词'!$A$2:$C$99,2))</f>
        <v>sk_levelprofession</v>
      </c>
      <c r="J1128" s="27" t="str">
        <f>IF(H1128="","",VLOOKUP(H1128,'#状态名词'!$A$2:$C$99,3))</f>
        <v>增加某个职业技能</v>
      </c>
      <c r="K1128" s="26" t="s">
        <v>6956</v>
      </c>
    </row>
    <row r="1129" spans="1:11">
      <c r="A1129" s="27">
        <v>33818</v>
      </c>
      <c r="B1129" s="27" t="s">
        <v>6934</v>
      </c>
      <c r="C1129" s="27" t="s">
        <v>6893</v>
      </c>
      <c r="E1129" s="27">
        <v>1</v>
      </c>
      <c r="F1129" s="27">
        <v>-1</v>
      </c>
      <c r="H1129" s="27">
        <v>74</v>
      </c>
      <c r="I1129" s="27" t="str">
        <f>IF(H1129="","",VLOOKUP(H1129,'#状态名词'!$A$2:$C$99,2))</f>
        <v>sk_levelprofession</v>
      </c>
      <c r="J1129" s="27" t="str">
        <f>IF(H1129="","",VLOOKUP(H1129,'#状态名词'!$A$2:$C$99,3))</f>
        <v>增加某个职业技能</v>
      </c>
      <c r="K1129" s="26" t="s">
        <v>6957</v>
      </c>
    </row>
    <row r="1130" spans="1:11">
      <c r="A1130" s="27">
        <v>33819</v>
      </c>
      <c r="B1130" s="27" t="s">
        <v>6935</v>
      </c>
      <c r="C1130" s="27" t="s">
        <v>6895</v>
      </c>
      <c r="E1130" s="27">
        <v>1</v>
      </c>
      <c r="F1130" s="27">
        <v>-1</v>
      </c>
      <c r="H1130" s="27">
        <v>74</v>
      </c>
      <c r="I1130" s="27" t="str">
        <f>IF(H1130="","",VLOOKUP(H1130,'#状态名词'!$A$2:$C$99,2))</f>
        <v>sk_levelprofession</v>
      </c>
      <c r="J1130" s="27" t="str">
        <f>IF(H1130="","",VLOOKUP(H1130,'#状态名词'!$A$2:$C$99,3))</f>
        <v>增加某个职业技能</v>
      </c>
      <c r="K1130" s="26" t="s">
        <v>6958</v>
      </c>
    </row>
    <row r="1131" spans="1:11">
      <c r="A1131" s="27">
        <v>33820</v>
      </c>
      <c r="B1131" s="27" t="s">
        <v>6936</v>
      </c>
      <c r="C1131" s="27" t="s">
        <v>6897</v>
      </c>
      <c r="E1131" s="27">
        <v>1</v>
      </c>
      <c r="F1131" s="27">
        <v>-1</v>
      </c>
      <c r="H1131" s="27">
        <v>74</v>
      </c>
      <c r="I1131" s="27" t="str">
        <f>IF(H1131="","",VLOOKUP(H1131,'#状态名词'!$A$2:$C$99,2))</f>
        <v>sk_levelprofession</v>
      </c>
      <c r="J1131" s="27" t="str">
        <f>IF(H1131="","",VLOOKUP(H1131,'#状态名词'!$A$2:$C$99,3))</f>
        <v>增加某个职业技能</v>
      </c>
      <c r="K1131" s="26" t="s">
        <v>6959</v>
      </c>
    </row>
    <row r="1132" spans="1:11">
      <c r="A1132" s="27">
        <v>33821</v>
      </c>
      <c r="B1132" s="27" t="s">
        <v>6937</v>
      </c>
      <c r="C1132" s="27" t="s">
        <v>6899</v>
      </c>
      <c r="E1132" s="27">
        <v>1</v>
      </c>
      <c r="F1132" s="27">
        <v>-1</v>
      </c>
      <c r="H1132" s="27">
        <v>74</v>
      </c>
      <c r="I1132" s="27" t="str">
        <f>IF(H1132="","",VLOOKUP(H1132,'#状态名词'!$A$2:$C$99,2))</f>
        <v>sk_levelprofession</v>
      </c>
      <c r="J1132" s="27" t="str">
        <f>IF(H1132="","",VLOOKUP(H1132,'#状态名词'!$A$2:$C$99,3))</f>
        <v>增加某个职业技能</v>
      </c>
      <c r="K1132" s="26" t="s">
        <v>6960</v>
      </c>
    </row>
    <row r="1133" spans="1:11">
      <c r="A1133" s="27">
        <v>33822</v>
      </c>
      <c r="B1133" s="27" t="s">
        <v>6938</v>
      </c>
      <c r="C1133" s="27" t="s">
        <v>6901</v>
      </c>
      <c r="E1133" s="27">
        <v>1</v>
      </c>
      <c r="F1133" s="27">
        <v>-1</v>
      </c>
      <c r="H1133" s="27">
        <v>74</v>
      </c>
      <c r="I1133" s="27" t="str">
        <f>IF(H1133="","",VLOOKUP(H1133,'#状态名词'!$A$2:$C$99,2))</f>
        <v>sk_levelprofession</v>
      </c>
      <c r="J1133" s="27" t="str">
        <f>IF(H1133="","",VLOOKUP(H1133,'#状态名词'!$A$2:$C$99,3))</f>
        <v>增加某个职业技能</v>
      </c>
      <c r="K1133" s="26" t="s">
        <v>6961</v>
      </c>
    </row>
    <row r="1134" spans="1:11">
      <c r="A1134" s="27">
        <v>33823</v>
      </c>
      <c r="B1134" s="27" t="s">
        <v>6939</v>
      </c>
      <c r="C1134" s="27" t="s">
        <v>6903</v>
      </c>
      <c r="E1134" s="27">
        <v>1</v>
      </c>
      <c r="F1134" s="27">
        <v>-1</v>
      </c>
      <c r="H1134" s="27">
        <v>74</v>
      </c>
      <c r="I1134" s="27" t="str">
        <f>IF(H1134="","",VLOOKUP(H1134,'#状态名词'!$A$2:$C$99,2))</f>
        <v>sk_levelprofession</v>
      </c>
      <c r="J1134" s="27" t="str">
        <f>IF(H1134="","",VLOOKUP(H1134,'#状态名词'!$A$2:$C$99,3))</f>
        <v>增加某个职业技能</v>
      </c>
      <c r="K1134" s="26" t="s">
        <v>6962</v>
      </c>
    </row>
    <row r="1135" spans="1:11">
      <c r="A1135" s="27">
        <v>33824</v>
      </c>
      <c r="B1135" s="27" t="s">
        <v>6940</v>
      </c>
      <c r="C1135" s="27" t="s">
        <v>6905</v>
      </c>
      <c r="E1135" s="27">
        <v>1</v>
      </c>
      <c r="F1135" s="27">
        <v>-1</v>
      </c>
      <c r="H1135" s="27">
        <v>74</v>
      </c>
      <c r="I1135" s="27" t="str">
        <f>IF(H1135="","",VLOOKUP(H1135,'#状态名词'!$A$2:$C$99,2))</f>
        <v>sk_levelprofession</v>
      </c>
      <c r="J1135" s="27" t="str">
        <f>IF(H1135="","",VLOOKUP(H1135,'#状态名词'!$A$2:$C$99,3))</f>
        <v>增加某个职业技能</v>
      </c>
      <c r="K1135" s="26" t="s">
        <v>6963</v>
      </c>
    </row>
    <row r="1136" spans="1:11">
      <c r="A1136" s="27">
        <v>33825</v>
      </c>
      <c r="B1136" s="27" t="s">
        <v>6941</v>
      </c>
      <c r="C1136" s="27" t="s">
        <v>6903</v>
      </c>
      <c r="E1136" s="27">
        <v>1</v>
      </c>
      <c r="F1136" s="27">
        <v>-1</v>
      </c>
      <c r="H1136" s="27">
        <v>74</v>
      </c>
      <c r="I1136" s="27" t="str">
        <f>IF(H1136="","",VLOOKUP(H1136,'#状态名词'!$A$2:$C$99,2))</f>
        <v>sk_levelprofession</v>
      </c>
      <c r="J1136" s="27" t="str">
        <f>IF(H1136="","",VLOOKUP(H1136,'#状态名词'!$A$2:$C$99,3))</f>
        <v>增加某个职业技能</v>
      </c>
      <c r="K1136" s="26" t="s">
        <v>6962</v>
      </c>
    </row>
    <row r="1137" spans="1:11">
      <c r="A1137" s="27">
        <v>33826</v>
      </c>
      <c r="B1137" s="27" t="s">
        <v>6942</v>
      </c>
      <c r="C1137" s="27" t="s">
        <v>6905</v>
      </c>
      <c r="E1137" s="27">
        <v>1</v>
      </c>
      <c r="F1137" s="27">
        <v>-1</v>
      </c>
      <c r="H1137" s="27">
        <v>74</v>
      </c>
      <c r="I1137" s="27" t="str">
        <f>IF(H1137="","",VLOOKUP(H1137,'#状态名词'!$A$2:$C$99,2))</f>
        <v>sk_levelprofession</v>
      </c>
      <c r="J1137" s="27" t="str">
        <f>IF(H1137="","",VLOOKUP(H1137,'#状态名词'!$A$2:$C$99,3))</f>
        <v>增加某个职业技能</v>
      </c>
      <c r="K1137" s="26" t="s">
        <v>6963</v>
      </c>
    </row>
    <row r="1138" spans="1:11">
      <c r="A1138" s="27">
        <v>33827</v>
      </c>
      <c r="B1138" s="27" t="s">
        <v>6980</v>
      </c>
      <c r="C1138" s="27" t="s">
        <v>7121</v>
      </c>
      <c r="E1138" s="27">
        <v>1</v>
      </c>
      <c r="F1138" s="27">
        <v>-1</v>
      </c>
      <c r="H1138" s="27">
        <v>66</v>
      </c>
      <c r="I1138" s="27" t="str">
        <f>IF(H1138="","",VLOOKUP(H1138,'#状态名词'!$A$2:$C$99,2))</f>
        <v>str_per</v>
      </c>
      <c r="J1138" s="27" t="str">
        <f>IF(H1138="","",VLOOKUP(H1138,'#状态名词'!$A$2:$C$99,3))</f>
        <v>力量百分比</v>
      </c>
      <c r="K1138" s="26" t="s">
        <v>7117</v>
      </c>
    </row>
    <row r="1139" spans="1:11">
      <c r="B1139" s="27" t="s">
        <v>84</v>
      </c>
      <c r="H1139" s="27">
        <v>68</v>
      </c>
      <c r="I1139" s="27" t="str">
        <f>IF(H1139="","",VLOOKUP(H1139,'#状态名词'!$A$2:$C$99,2))</f>
        <v>inte_per</v>
      </c>
      <c r="J1139" s="27" t="str">
        <f>IF(H1139="","",VLOOKUP(H1139,'#状态名词'!$A$2:$C$99,3))</f>
        <v>智力百分比</v>
      </c>
      <c r="K1139" s="26" t="s">
        <v>7117</v>
      </c>
    </row>
    <row r="1140" spans="1:11">
      <c r="A1140" s="27">
        <v>33828</v>
      </c>
      <c r="B1140" s="27" t="s">
        <v>6981</v>
      </c>
      <c r="C1140" s="27" t="s">
        <v>7122</v>
      </c>
      <c r="E1140" s="27">
        <v>1</v>
      </c>
      <c r="F1140" s="27">
        <v>-1</v>
      </c>
      <c r="H1140" s="27">
        <v>66</v>
      </c>
      <c r="I1140" s="27" t="str">
        <f>IF(H1140="","",VLOOKUP(H1140,'#状态名词'!$A$2:$C$99,2))</f>
        <v>str_per</v>
      </c>
      <c r="J1140" s="27" t="str">
        <f>IF(H1140="","",VLOOKUP(H1140,'#状态名词'!$A$2:$C$99,3))</f>
        <v>力量百分比</v>
      </c>
      <c r="K1140" s="26" t="s">
        <v>7118</v>
      </c>
    </row>
    <row r="1141" spans="1:11">
      <c r="B1141" s="27" t="s">
        <v>84</v>
      </c>
      <c r="H1141" s="27">
        <v>68</v>
      </c>
      <c r="I1141" s="27" t="str">
        <f>IF(H1141="","",VLOOKUP(H1141,'#状态名词'!$A$2:$C$99,2))</f>
        <v>inte_per</v>
      </c>
      <c r="J1141" s="27" t="str">
        <f>IF(H1141="","",VLOOKUP(H1141,'#状态名词'!$A$2:$C$99,3))</f>
        <v>智力百分比</v>
      </c>
      <c r="K1141" s="26" t="s">
        <v>7118</v>
      </c>
    </row>
    <row r="1142" spans="1:11">
      <c r="A1142" s="27">
        <v>33829</v>
      </c>
      <c r="B1142" s="27" t="s">
        <v>6982</v>
      </c>
      <c r="C1142" s="27" t="s">
        <v>7123</v>
      </c>
      <c r="E1142" s="27">
        <v>1</v>
      </c>
      <c r="F1142" s="27">
        <v>-1</v>
      </c>
      <c r="H1142" s="27">
        <v>66</v>
      </c>
      <c r="I1142" s="27" t="str">
        <f>IF(H1142="","",VLOOKUP(H1142,'#状态名词'!$A$2:$C$99,2))</f>
        <v>str_per</v>
      </c>
      <c r="J1142" s="27" t="str">
        <f>IF(H1142="","",VLOOKUP(H1142,'#状态名词'!$A$2:$C$99,3))</f>
        <v>力量百分比</v>
      </c>
      <c r="K1142" s="26" t="s">
        <v>7119</v>
      </c>
    </row>
    <row r="1143" spans="1:11">
      <c r="B1143" s="27" t="s">
        <v>84</v>
      </c>
      <c r="H1143" s="27">
        <v>68</v>
      </c>
      <c r="I1143" s="27" t="str">
        <f>IF(H1143="","",VLOOKUP(H1143,'#状态名词'!$A$2:$C$99,2))</f>
        <v>inte_per</v>
      </c>
      <c r="J1143" s="27" t="str">
        <f>IF(H1143="","",VLOOKUP(H1143,'#状态名词'!$A$2:$C$99,3))</f>
        <v>智力百分比</v>
      </c>
      <c r="K1143" s="26" t="s">
        <v>7120</v>
      </c>
    </row>
    <row r="1144" spans="1:11">
      <c r="A1144" s="27">
        <v>33830</v>
      </c>
      <c r="B1144" s="27" t="s">
        <v>6988</v>
      </c>
      <c r="C1144" s="27" t="s">
        <v>3815</v>
      </c>
      <c r="E1144" s="27">
        <v>3</v>
      </c>
      <c r="F1144" s="27">
        <v>-1</v>
      </c>
      <c r="H1144" s="27">
        <v>7</v>
      </c>
      <c r="I1144" s="27" t="str">
        <f>IF(H1144="","",VLOOKUP(H1144,'#状态名词'!$A$2:$C$99,2))</f>
        <v>pvpjs_per</v>
      </c>
      <c r="J1144" s="27" t="str">
        <f>IF(H1144="","",VLOOKUP(H1144,'#状态名词'!$A$2:$C$99,3))</f>
        <v>pvp减伤</v>
      </c>
      <c r="K1144" s="26" t="s">
        <v>6992</v>
      </c>
    </row>
    <row r="1145" spans="1:11">
      <c r="A1145" s="27">
        <v>33831</v>
      </c>
      <c r="B1145" s="27" t="s">
        <v>6990</v>
      </c>
      <c r="C1145" s="27" t="s">
        <v>6986</v>
      </c>
      <c r="E1145" s="27">
        <v>3</v>
      </c>
      <c r="F1145" s="27">
        <v>-1</v>
      </c>
      <c r="H1145" s="27">
        <v>7</v>
      </c>
      <c r="I1145" s="27" t="str">
        <f>IF(H1145="","",VLOOKUP(H1145,'#状态名词'!$A$2:$C$99,2))</f>
        <v>pvpjs_per</v>
      </c>
      <c r="J1145" s="27" t="str">
        <f>IF(H1145="","",VLOOKUP(H1145,'#状态名词'!$A$2:$C$99,3))</f>
        <v>pvp减伤</v>
      </c>
      <c r="K1145" s="26" t="s">
        <v>6993</v>
      </c>
    </row>
    <row r="1146" spans="1:11">
      <c r="A1146" s="37">
        <v>33834</v>
      </c>
      <c r="B1146" s="20" t="s">
        <v>7505</v>
      </c>
      <c r="C1146" s="21" t="s">
        <v>8135</v>
      </c>
      <c r="E1146" s="27">
        <v>10</v>
      </c>
      <c r="F1146" s="27">
        <v>0</v>
      </c>
      <c r="H1146" s="27">
        <v>2</v>
      </c>
      <c r="I1146" s="27" t="str">
        <f>IF(H1146="","",VLOOKUP(H1146,'#状态名词'!$A$2:$C$99,2))</f>
        <v>damaup</v>
      </c>
      <c r="J1146" s="27" t="str">
        <f>IF(H1146="","",VLOOKUP(H1146,'#状态名词'!$A$2:$C$99,3))</f>
        <v>伤害提升A类增伤</v>
      </c>
      <c r="K1146" s="26" t="s">
        <v>7683</v>
      </c>
    </row>
    <row r="1147" spans="1:11">
      <c r="A1147" s="37">
        <v>33835</v>
      </c>
      <c r="B1147" s="20" t="s">
        <v>7506</v>
      </c>
      <c r="C1147" s="21" t="s">
        <v>8136</v>
      </c>
      <c r="E1147" s="27">
        <v>10</v>
      </c>
      <c r="F1147" s="27">
        <v>0</v>
      </c>
      <c r="H1147" s="27">
        <v>3</v>
      </c>
      <c r="I1147" s="27" t="str">
        <f>IF(H1147="","",VLOOKUP(H1147,'#状态名词'!$A$2:$C$99,2))</f>
        <v>attach_dama</v>
      </c>
      <c r="J1147" s="27" t="str">
        <f>IF(H1147="","",VLOOKUP(H1147,'#状态名词'!$A$2:$C$99,3))</f>
        <v>攻击额外伤害C类增伤</v>
      </c>
      <c r="K1147" s="26" t="s">
        <v>7683</v>
      </c>
    </row>
    <row r="1148" spans="1:11">
      <c r="A1148" s="37">
        <v>33836</v>
      </c>
      <c r="B1148" s="20" t="s">
        <v>7507</v>
      </c>
      <c r="C1148" s="21" t="s">
        <v>8138</v>
      </c>
      <c r="E1148" s="27">
        <v>10</v>
      </c>
      <c r="F1148" s="27">
        <v>0</v>
      </c>
      <c r="H1148" s="27">
        <v>69</v>
      </c>
      <c r="I1148" s="27" t="str">
        <f>IF(H1148="","",VLOOKUP(H1148,'#状态名词'!$A$2:$C$99,2))</f>
        <v>hit</v>
      </c>
      <c r="J1148" s="27" t="str">
        <f>IF(H1148="","",VLOOKUP(H1148,'#状态名词'!$A$2:$C$99,3))</f>
        <v>命中率</v>
      </c>
      <c r="K1148" s="26" t="s">
        <v>7749</v>
      </c>
    </row>
    <row r="1149" spans="1:11">
      <c r="A1149" s="37">
        <v>33837</v>
      </c>
      <c r="B1149" s="20" t="s">
        <v>7508</v>
      </c>
      <c r="C1149" s="21" t="s">
        <v>8159</v>
      </c>
      <c r="E1149" s="27">
        <v>10</v>
      </c>
      <c r="F1149" s="27">
        <v>0</v>
      </c>
      <c r="H1149" s="27">
        <v>20</v>
      </c>
      <c r="I1149" s="27" t="str">
        <f>IF(H1149="","",VLOOKUP(H1149,'#状态名词'!$A$2:$C$99,2))</f>
        <v>ratingdamage</v>
      </c>
      <c r="J1149" s="27" t="str">
        <f>IF(H1149="","",VLOOKUP(H1149,'#状态名词'!$A$2:$C$99,3))</f>
        <v>暴伤+</v>
      </c>
      <c r="K1149" s="26" t="s">
        <v>8160</v>
      </c>
    </row>
    <row r="1150" spans="1:11">
      <c r="A1150" s="37">
        <v>33838</v>
      </c>
      <c r="B1150" s="20" t="s">
        <v>7509</v>
      </c>
      <c r="C1150" s="21" t="s">
        <v>8137</v>
      </c>
      <c r="E1150" s="27">
        <v>10</v>
      </c>
      <c r="F1150" s="27">
        <v>0</v>
      </c>
      <c r="H1150" s="27">
        <v>1</v>
      </c>
      <c r="I1150" s="27" t="str">
        <f>IF(H1150="","",VLOOKUP(H1150,'#状态名词'!$A$2:$C$99,2))</f>
        <v>skilldama</v>
      </c>
      <c r="J1150" s="27" t="str">
        <f>IF(H1150="","",VLOOKUP(H1150,'#状态名词'!$A$2:$C$99,3))</f>
        <v>技能伤害和治疗效果提升B类</v>
      </c>
      <c r="K1150" s="26" t="s">
        <v>8161</v>
      </c>
    </row>
    <row r="1151" spans="1:11">
      <c r="A1151" s="37">
        <v>33839</v>
      </c>
      <c r="B1151" s="20" t="s">
        <v>7510</v>
      </c>
      <c r="C1151" s="21" t="s">
        <v>8158</v>
      </c>
      <c r="E1151" s="27">
        <v>10</v>
      </c>
      <c r="F1151" s="27">
        <v>0</v>
      </c>
      <c r="H1151" s="27">
        <v>25</v>
      </c>
      <c r="I1151" s="27" t="str">
        <f>IF(H1151="","",VLOOKUP(H1151,'#状态名词'!$A$2:$C$99,2))</f>
        <v>duochong</v>
      </c>
      <c r="J1151" s="27" t="str">
        <f>IF(H1151="","",VLOOKUP(H1151,'#状态名词'!$A$2:$C$99,3))</f>
        <v>多重施法</v>
      </c>
      <c r="K1151" s="26" t="s">
        <v>7156</v>
      </c>
    </row>
    <row r="1152" spans="1:11">
      <c r="A1152" s="37">
        <v>33840</v>
      </c>
      <c r="B1152" s="20" t="s">
        <v>7515</v>
      </c>
      <c r="C1152" s="21" t="s">
        <v>8141</v>
      </c>
      <c r="E1152" s="27">
        <v>1</v>
      </c>
      <c r="F1152" s="27">
        <v>0</v>
      </c>
      <c r="H1152" s="27">
        <v>25</v>
      </c>
      <c r="I1152" s="27" t="str">
        <f>IF(H1152="","",VLOOKUP(H1152,'#状态名词'!$A$2:$C$99,2))</f>
        <v>duochong</v>
      </c>
      <c r="J1152" s="27" t="str">
        <f>IF(H1152="","",VLOOKUP(H1152,'#状态名词'!$A$2:$C$99,3))</f>
        <v>多重施法</v>
      </c>
      <c r="K1152" s="26" t="s">
        <v>7521</v>
      </c>
    </row>
    <row r="1153" spans="1:11">
      <c r="A1153" s="37">
        <v>33841</v>
      </c>
      <c r="B1153" s="20" t="s">
        <v>7511</v>
      </c>
      <c r="C1153" s="21" t="s">
        <v>8142</v>
      </c>
      <c r="E1153" s="27">
        <v>1</v>
      </c>
      <c r="F1153" s="27">
        <v>0</v>
      </c>
      <c r="H1153" s="27">
        <v>67</v>
      </c>
      <c r="I1153" s="27" t="str">
        <f>IF(H1153="","",VLOOKUP(H1153,'#状态名词'!$A$2:$C$99,2))</f>
        <v>inte</v>
      </c>
      <c r="J1153" s="27" t="str">
        <f>IF(H1153="","",VLOOKUP(H1153,'#状态名词'!$A$2:$C$99,3))</f>
        <v>智力</v>
      </c>
      <c r="K1153" s="26" t="s">
        <v>8151</v>
      </c>
    </row>
    <row r="1154" spans="1:11">
      <c r="A1154" s="37"/>
      <c r="B1154" s="20"/>
      <c r="C1154" s="21"/>
      <c r="H1154" s="27">
        <v>65</v>
      </c>
      <c r="I1154" s="27" t="str">
        <f>IF(H1154="","",VLOOKUP(H1154,'#状态名词'!$A$2:$C$99,2))</f>
        <v>str</v>
      </c>
      <c r="J1154" s="27" t="str">
        <f>IF(H1154="","",VLOOKUP(H1154,'#状态名词'!$A$2:$C$99,3))</f>
        <v>力量</v>
      </c>
      <c r="K1154" s="26" t="s">
        <v>8150</v>
      </c>
    </row>
    <row r="1155" spans="1:11">
      <c r="A1155" s="37">
        <v>33842</v>
      </c>
      <c r="B1155" s="20" t="s">
        <v>7512</v>
      </c>
      <c r="C1155" s="21" t="s">
        <v>8144</v>
      </c>
      <c r="E1155" s="27">
        <v>1</v>
      </c>
      <c r="F1155" s="27">
        <v>0</v>
      </c>
      <c r="H1155" s="27">
        <v>21</v>
      </c>
      <c r="I1155" s="27" t="str">
        <f>IF(H1155="","",VLOOKUP(H1155,'#状态名词'!$A$2:$C$99,2))</f>
        <v>speed</v>
      </c>
      <c r="J1155" s="27" t="str">
        <f>IF(H1155="","",VLOOKUP(H1155,'#状态名词'!$A$2:$C$99,3))</f>
        <v>速度+</v>
      </c>
      <c r="K1155" s="26" t="s">
        <v>7522</v>
      </c>
    </row>
    <row r="1156" spans="1:11">
      <c r="A1156" s="37">
        <v>33843</v>
      </c>
      <c r="B1156" s="20" t="s">
        <v>7516</v>
      </c>
      <c r="C1156" s="21" t="s">
        <v>8143</v>
      </c>
      <c r="E1156" s="27">
        <v>1</v>
      </c>
      <c r="F1156" s="27">
        <v>0</v>
      </c>
      <c r="H1156" s="27">
        <v>18</v>
      </c>
      <c r="I1156" s="27" t="str">
        <f>IF(H1156="","",VLOOKUP(H1156,'#状态名词'!$A$2:$C$99,2))</f>
        <v>api</v>
      </c>
      <c r="J1156" s="27" t="str">
        <f>IF(H1156="","",VLOOKUP(H1156,'#状态名词'!$A$2:$C$99,3))</f>
        <v>法穿</v>
      </c>
      <c r="K1156" s="26" t="s">
        <v>7791</v>
      </c>
    </row>
    <row r="1157" spans="1:11">
      <c r="A1157" s="37"/>
      <c r="B1157" s="20"/>
      <c r="C1157" s="21"/>
      <c r="H1157" s="27">
        <v>17</v>
      </c>
      <c r="I1157" s="27" t="str">
        <f>IF(H1157="","",VLOOKUP(H1157,'#状态名词'!$A$2:$C$99,2))</f>
        <v>adi</v>
      </c>
      <c r="J1157" s="27" t="str">
        <f>IF(H1157="","",VLOOKUP(H1157,'#状态名词'!$A$2:$C$99,3))</f>
        <v>物穿</v>
      </c>
      <c r="K1157" s="26" t="s">
        <v>8149</v>
      </c>
    </row>
    <row r="1158" spans="1:11">
      <c r="A1158" s="37">
        <v>33844</v>
      </c>
      <c r="B1158" s="20" t="s">
        <v>7514</v>
      </c>
      <c r="C1158" s="21" t="s">
        <v>8145</v>
      </c>
      <c r="E1158" s="27">
        <v>1</v>
      </c>
      <c r="F1158" s="27">
        <v>0</v>
      </c>
      <c r="H1158" s="27">
        <v>30</v>
      </c>
      <c r="I1158" s="27" t="str">
        <f>IF(H1158="","",VLOOKUP(H1158,'#状态名词'!$A$2:$C$99,2))</f>
        <v>elementup</v>
      </c>
      <c r="J1158" s="27" t="str">
        <f>IF(H1158="","",VLOOKUP(H1158,'#状态名词'!$A$2:$C$99,3))</f>
        <v>全属性强化</v>
      </c>
      <c r="K1158" s="26" t="s">
        <v>8148</v>
      </c>
    </row>
    <row r="1159" spans="1:11">
      <c r="A1159" s="37">
        <v>33845</v>
      </c>
      <c r="B1159" s="20" t="s">
        <v>7513</v>
      </c>
      <c r="C1159" s="21" t="s">
        <v>8146</v>
      </c>
      <c r="E1159" s="27">
        <v>1</v>
      </c>
      <c r="F1159" s="27">
        <v>0</v>
      </c>
      <c r="H1159" s="27">
        <v>20</v>
      </c>
      <c r="I1159" s="27" t="str">
        <f>IF(H1159="","",VLOOKUP(H1159,'#状态名词'!$A$2:$C$99,2))</f>
        <v>ratingdamage</v>
      </c>
      <c r="J1159" s="27" t="str">
        <f>IF(H1159="","",VLOOKUP(H1159,'#状态名词'!$A$2:$C$99,3))</f>
        <v>暴伤+</v>
      </c>
      <c r="K1159" s="26" t="s">
        <v>8147</v>
      </c>
    </row>
    <row r="1160" spans="1:11">
      <c r="A1160" s="37">
        <v>33847</v>
      </c>
      <c r="B1160" s="20" t="s">
        <v>7491</v>
      </c>
      <c r="C1160" s="21" t="s">
        <v>7504</v>
      </c>
      <c r="E1160" s="27">
        <v>1</v>
      </c>
      <c r="F1160" s="27">
        <v>0</v>
      </c>
      <c r="H1160" s="27">
        <v>75</v>
      </c>
      <c r="I1160" s="27" t="str">
        <f>IF(H1160="","",VLOOKUP(H1160,'#状态名词'!$A$2:$C$99,2))</f>
        <v>action_useskill</v>
      </c>
      <c r="J1160" s="27" t="str">
        <f>IF(H1160="","",VLOOKUP(H1160,'#状态名词'!$A$2:$C$99,3))</f>
        <v>行动时有几率使用技能</v>
      </c>
      <c r="K1160" s="26" t="s">
        <v>7520</v>
      </c>
    </row>
    <row r="1161" spans="1:11">
      <c r="A1161" s="37">
        <v>33849</v>
      </c>
      <c r="B1161" s="20" t="s">
        <v>9245</v>
      </c>
      <c r="C1161" s="21" t="s">
        <v>9254</v>
      </c>
      <c r="E1161" s="27">
        <v>1</v>
      </c>
      <c r="F1161" s="27">
        <v>-1</v>
      </c>
      <c r="H1161" s="27">
        <v>26</v>
      </c>
      <c r="I1161" s="27" t="str">
        <f>IF(H1161="","",VLOOKUP(H1161,'#状态名词'!$A$2:$C$99,2))</f>
        <v>fireup</v>
      </c>
      <c r="J1161" s="27" t="str">
        <f>IF(H1161="","",VLOOKUP(H1161,'#状态名词'!$A$2:$C$99,3))</f>
        <v>火属性强化</v>
      </c>
      <c r="K1161" s="26" t="s">
        <v>9258</v>
      </c>
    </row>
    <row r="1162" spans="1:11">
      <c r="A1162" s="37"/>
      <c r="B1162" s="20"/>
      <c r="C1162" s="21"/>
      <c r="H1162" s="27">
        <v>27</v>
      </c>
      <c r="I1162" s="27" t="str">
        <f>IF(H1162="","",VLOOKUP(H1162,'#状态名词'!$A$2:$C$99,2))</f>
        <v>iceup</v>
      </c>
      <c r="J1162" s="27" t="str">
        <f>IF(H1162="","",VLOOKUP(H1162,'#状态名词'!$A$2:$C$99,3))</f>
        <v>冰属性强化</v>
      </c>
      <c r="K1162" s="26" t="s">
        <v>9258</v>
      </c>
    </row>
    <row r="1163" spans="1:11">
      <c r="A1163" s="37"/>
      <c r="B1163" s="20"/>
      <c r="C1163" s="21"/>
      <c r="H1163" s="27">
        <v>28</v>
      </c>
      <c r="I1163" s="27" t="str">
        <f>IF(H1163="","",VLOOKUP(H1163,'#状态名词'!$A$2:$C$99,2))</f>
        <v>lightup</v>
      </c>
      <c r="J1163" s="27" t="str">
        <f>IF(H1163="","",VLOOKUP(H1163,'#状态名词'!$A$2:$C$99,3))</f>
        <v>光属性强化</v>
      </c>
      <c r="K1163" s="26" t="s">
        <v>9258</v>
      </c>
    </row>
    <row r="1164" spans="1:11">
      <c r="A1164" s="37"/>
      <c r="B1164" s="20"/>
      <c r="C1164" s="21"/>
      <c r="H1164" s="27">
        <v>29</v>
      </c>
      <c r="I1164" s="27" t="str">
        <f>IF(H1164="","",VLOOKUP(H1164,'#状态名词'!$A$2:$C$99,2))</f>
        <v>darkup</v>
      </c>
      <c r="J1164" s="27" t="str">
        <f>IF(H1164="","",VLOOKUP(H1164,'#状态名词'!$A$2:$C$99,3))</f>
        <v>暗属性强化</v>
      </c>
      <c r="K1164" s="26" t="s">
        <v>9258</v>
      </c>
    </row>
    <row r="1165" spans="1:11">
      <c r="A1165" s="37">
        <v>33850</v>
      </c>
      <c r="B1165" s="20" t="s">
        <v>9246</v>
      </c>
      <c r="C1165" s="21" t="s">
        <v>9252</v>
      </c>
      <c r="E1165" s="27">
        <v>1</v>
      </c>
      <c r="F1165" s="27">
        <v>-1</v>
      </c>
      <c r="H1165" s="27">
        <v>31</v>
      </c>
      <c r="I1165" s="27" t="str">
        <f>IF(H1165="","",VLOOKUP(H1165,'#状态名词'!$A$2:$C$99,2))</f>
        <v>refire</v>
      </c>
      <c r="J1165" s="27" t="str">
        <f>IF(H1165="","",VLOOKUP(H1165,'#状态名词'!$A$2:$C$99,3))</f>
        <v>火属性抗性</v>
      </c>
      <c r="K1165" s="26" t="s">
        <v>9258</v>
      </c>
    </row>
    <row r="1166" spans="1:11">
      <c r="A1166" s="37"/>
      <c r="B1166" s="20"/>
      <c r="C1166" s="21"/>
      <c r="H1166" s="27">
        <v>32</v>
      </c>
      <c r="I1166" s="27" t="str">
        <f>IF(H1166="","",VLOOKUP(H1166,'#状态名词'!$A$2:$C$99,2))</f>
        <v>reice</v>
      </c>
      <c r="J1166" s="27" t="str">
        <f>IF(H1166="","",VLOOKUP(H1166,'#状态名词'!$A$2:$C$99,3))</f>
        <v>冰属性抗性</v>
      </c>
      <c r="K1166" s="26" t="s">
        <v>9258</v>
      </c>
    </row>
    <row r="1167" spans="1:11">
      <c r="A1167" s="37"/>
      <c r="B1167" s="20"/>
      <c r="C1167" s="21"/>
      <c r="H1167" s="27">
        <v>33</v>
      </c>
      <c r="I1167" s="27" t="str">
        <f>IF(H1167="","",VLOOKUP(H1167,'#状态名词'!$A$2:$C$99,2))</f>
        <v>relight</v>
      </c>
      <c r="J1167" s="27" t="str">
        <f>IF(H1167="","",VLOOKUP(H1167,'#状态名词'!$A$2:$C$99,3))</f>
        <v>光属性抗性</v>
      </c>
      <c r="K1167" s="26" t="s">
        <v>9258</v>
      </c>
    </row>
    <row r="1168" spans="1:11">
      <c r="A1168" s="37"/>
      <c r="B1168" s="20"/>
      <c r="C1168" s="21"/>
      <c r="H1168" s="27">
        <v>34</v>
      </c>
      <c r="I1168" s="27" t="str">
        <f>IF(H1168="","",VLOOKUP(H1168,'#状态名词'!$A$2:$C$99,2))</f>
        <v>redark</v>
      </c>
      <c r="J1168" s="27" t="str">
        <f>IF(H1168="","",VLOOKUP(H1168,'#状态名词'!$A$2:$C$99,3))</f>
        <v>暗属性抗性</v>
      </c>
      <c r="K1168" s="26" t="s">
        <v>9258</v>
      </c>
    </row>
    <row r="1169" spans="1:11">
      <c r="A1169" s="37">
        <v>33851</v>
      </c>
      <c r="B1169" s="20" t="s">
        <v>9244</v>
      </c>
      <c r="C1169" s="21" t="s">
        <v>9253</v>
      </c>
      <c r="E1169" s="27">
        <v>-1</v>
      </c>
      <c r="F1169" s="27">
        <v>-1</v>
      </c>
      <c r="H1169" s="27">
        <v>21</v>
      </c>
      <c r="I1169" s="27" t="str">
        <f>IF(H1169="","",VLOOKUP(H1169,'#状态名词'!$A$2:$C$99,2))</f>
        <v>speed</v>
      </c>
      <c r="J1169" s="27" t="str">
        <f>IF(H1169="","",VLOOKUP(H1169,'#状态名词'!$A$2:$C$99,3))</f>
        <v>速度+</v>
      </c>
      <c r="K1169" s="26" t="s">
        <v>9259</v>
      </c>
    </row>
    <row r="1170" spans="1:11">
      <c r="A1170" s="37">
        <v>33852</v>
      </c>
      <c r="B1170" s="20" t="s">
        <v>9247</v>
      </c>
      <c r="C1170" s="21" t="s">
        <v>9251</v>
      </c>
      <c r="E1170" s="27">
        <v>1</v>
      </c>
      <c r="F1170" s="27">
        <v>-1</v>
      </c>
      <c r="H1170" s="27">
        <v>70</v>
      </c>
      <c r="I1170" s="27" t="str">
        <f>IF(H1170="","",VLOOKUP(H1170,'#状态名词'!$A$2:$C$99,2))</f>
        <v>eva</v>
      </c>
      <c r="J1170" s="27" t="str">
        <f>IF(H1170="","",VLOOKUP(H1170,'#状态名词'!$A$2:$C$99,3))</f>
        <v>回避率</v>
      </c>
      <c r="K1170" s="26" t="s">
        <v>9260</v>
      </c>
    </row>
    <row r="1171" spans="1:11">
      <c r="A1171" s="37">
        <v>33853</v>
      </c>
      <c r="B1171" s="20" t="s">
        <v>9248</v>
      </c>
      <c r="C1171" s="21" t="s">
        <v>9255</v>
      </c>
      <c r="E1171" s="27">
        <v>1</v>
      </c>
      <c r="F1171" s="27">
        <v>-1</v>
      </c>
      <c r="H1171" s="27">
        <v>2</v>
      </c>
      <c r="I1171" s="27" t="str">
        <f>IF(H1171="","",VLOOKUP(H1171,'#状态名词'!$A$2:$C$99,2))</f>
        <v>damaup</v>
      </c>
      <c r="J1171" s="27" t="str">
        <f>IF(H1171="","",VLOOKUP(H1171,'#状态名词'!$A$2:$C$99,3))</f>
        <v>伤害提升A类增伤</v>
      </c>
      <c r="K1171" s="26" t="s">
        <v>9262</v>
      </c>
    </row>
    <row r="1172" spans="1:11">
      <c r="A1172" s="37">
        <v>33854</v>
      </c>
      <c r="B1172" s="20" t="s">
        <v>9249</v>
      </c>
      <c r="C1172" s="21" t="s">
        <v>9256</v>
      </c>
      <c r="E1172" s="27">
        <v>1</v>
      </c>
      <c r="F1172" s="27">
        <v>-1</v>
      </c>
      <c r="H1172" s="27">
        <v>40</v>
      </c>
      <c r="I1172" s="27" t="str">
        <f>IF(H1172="","",VLOOKUP(H1172,'#状态名词'!$A$2:$C$99,2))</f>
        <v>hurt_heal</v>
      </c>
      <c r="J1172" s="27" t="str">
        <f>IF(H1172="","",VLOOKUP(H1172,'#状态名词'!$A$2:$C$99,3))</f>
        <v>被攻击时治疗</v>
      </c>
      <c r="K1172" s="26" t="s">
        <v>9263</v>
      </c>
    </row>
    <row r="1173" spans="1:11">
      <c r="A1173" s="37">
        <v>33855</v>
      </c>
      <c r="B1173" s="20" t="s">
        <v>9250</v>
      </c>
      <c r="C1173" s="21" t="s">
        <v>9257</v>
      </c>
      <c r="E1173" s="27">
        <v>1</v>
      </c>
      <c r="F1173" s="27">
        <v>-1</v>
      </c>
      <c r="H1173" s="27">
        <v>1</v>
      </c>
      <c r="I1173" s="27" t="str">
        <f>IF(H1173="","",VLOOKUP(H1173,'#状态名词'!$A$2:$C$99,2))</f>
        <v>skilldama</v>
      </c>
      <c r="J1173" s="27" t="str">
        <f>IF(H1173="","",VLOOKUP(H1173,'#状态名词'!$A$2:$C$99,3))</f>
        <v>技能伤害和治疗效果提升B类</v>
      </c>
      <c r="K1173" s="26" t="s">
        <v>9264</v>
      </c>
    </row>
    <row r="1174" spans="1:11">
      <c r="A1174" s="20">
        <v>34001</v>
      </c>
      <c r="B1174" s="20"/>
      <c r="C1174" s="21"/>
      <c r="E1174" s="27">
        <v>1</v>
      </c>
      <c r="F1174" s="27">
        <v>-1</v>
      </c>
      <c r="H1174" s="27">
        <v>7</v>
      </c>
      <c r="I1174" s="27" t="str">
        <f>IF(H1174="","",VLOOKUP(H1174,'#状态名词'!$A$2:$C$99,2))</f>
        <v>pvpjs_per</v>
      </c>
      <c r="J1174" s="27" t="str">
        <f>IF(H1174="","",VLOOKUP(H1174,'#状态名词'!$A$2:$C$99,3))</f>
        <v>pvp减伤</v>
      </c>
      <c r="K1174" s="26" t="s">
        <v>7746</v>
      </c>
    </row>
    <row r="1175" spans="1:11">
      <c r="A1175" s="20">
        <v>34002</v>
      </c>
      <c r="B1175" s="20"/>
      <c r="C1175" s="21"/>
      <c r="E1175" s="27">
        <v>1</v>
      </c>
      <c r="F1175" s="27">
        <v>-1</v>
      </c>
      <c r="H1175" s="27">
        <v>7</v>
      </c>
      <c r="I1175" s="27" t="str">
        <f>IF(H1175="","",VLOOKUP(H1175,'#状态名词'!$A$2:$C$99,2))</f>
        <v>pvpjs_per</v>
      </c>
      <c r="J1175" s="27" t="str">
        <f>IF(H1175="","",VLOOKUP(H1175,'#状态名词'!$A$2:$C$99,3))</f>
        <v>pvp减伤</v>
      </c>
      <c r="K1175" s="26" t="s">
        <v>7747</v>
      </c>
    </row>
    <row r="1176" spans="1:11">
      <c r="A1176" s="20">
        <v>35001</v>
      </c>
      <c r="B1176" s="20" t="s">
        <v>8863</v>
      </c>
      <c r="C1176" s="21" t="s">
        <v>8865</v>
      </c>
      <c r="E1176" s="27">
        <v>1</v>
      </c>
      <c r="F1176" s="27">
        <v>-1</v>
      </c>
      <c r="H1176" s="27">
        <v>21</v>
      </c>
      <c r="I1176" s="27" t="str">
        <f>IF(H1176="","",VLOOKUP(H1176,'#状态名词'!$A$2:$C$99,2))</f>
        <v>speed</v>
      </c>
      <c r="J1176" s="27" t="str">
        <f>IF(H1176="","",VLOOKUP(H1176,'#状态名词'!$A$2:$C$99,3))</f>
        <v>速度+</v>
      </c>
    </row>
    <row r="1177" spans="1:11">
      <c r="A1177" s="20">
        <v>35002</v>
      </c>
      <c r="B1177" s="20" t="s">
        <v>8867</v>
      </c>
      <c r="C1177" s="21" t="s">
        <v>8878</v>
      </c>
      <c r="E1177" s="27">
        <v>1</v>
      </c>
      <c r="F1177" s="27">
        <v>3</v>
      </c>
      <c r="H1177" s="27">
        <v>21</v>
      </c>
      <c r="I1177" s="27" t="str">
        <f>IF(H1177="","",VLOOKUP(H1177,'#状态名词'!$A$2:$C$99,2))</f>
        <v>speed</v>
      </c>
      <c r="J1177" s="27" t="str">
        <f>IF(H1177="","",VLOOKUP(H1177,'#状态名词'!$A$2:$C$99,3))</f>
        <v>速度+</v>
      </c>
    </row>
    <row r="1178" spans="1:11">
      <c r="A1178" s="20">
        <v>35003</v>
      </c>
      <c r="B1178" s="20" t="s">
        <v>8870</v>
      </c>
      <c r="C1178" s="21" t="s">
        <v>8883</v>
      </c>
      <c r="E1178" s="27">
        <v>1</v>
      </c>
      <c r="F1178" s="27">
        <v>0</v>
      </c>
      <c r="H1178" s="27">
        <v>70</v>
      </c>
      <c r="I1178" s="27" t="str">
        <f>IF(H1178="","",VLOOKUP(H1178,'#状态名词'!$A$2:$C$99,2))</f>
        <v>eva</v>
      </c>
      <c r="J1178" s="27" t="str">
        <f>IF(H1178="","",VLOOKUP(H1178,'#状态名词'!$A$2:$C$99,3))</f>
        <v>回避率</v>
      </c>
    </row>
    <row r="1179" spans="1:11" ht="27">
      <c r="A1179" s="20">
        <v>35006</v>
      </c>
      <c r="B1179" s="20" t="s">
        <v>8876</v>
      </c>
      <c r="C1179" s="21" t="s">
        <v>8885</v>
      </c>
      <c r="E1179" s="27">
        <v>1</v>
      </c>
      <c r="F1179" s="27">
        <v>-1</v>
      </c>
      <c r="H1179" s="27">
        <v>31</v>
      </c>
      <c r="I1179" s="27" t="str">
        <f>IF(H1179="","",VLOOKUP(H1179,'#状态名词'!$A$2:$C$99,2))</f>
        <v>refire</v>
      </c>
      <c r="J1179" s="27" t="str">
        <f>IF(H1179="","",VLOOKUP(H1179,'#状态名词'!$A$2:$C$99,3))</f>
        <v>火属性抗性</v>
      </c>
    </row>
    <row r="1180" spans="1:11">
      <c r="A1180" s="20"/>
      <c r="B1180" s="20"/>
      <c r="C1180" s="21"/>
      <c r="H1180" s="27">
        <v>32</v>
      </c>
      <c r="I1180" s="27" t="str">
        <f>IF(H1180="","",VLOOKUP(H1180,'#状态名词'!$A$2:$C$99,2))</f>
        <v>reice</v>
      </c>
      <c r="J1180" s="27" t="str">
        <f>IF(H1180="","",VLOOKUP(H1180,'#状态名词'!$A$2:$C$99,3))</f>
        <v>冰属性抗性</v>
      </c>
    </row>
    <row r="1181" spans="1:11">
      <c r="A1181" s="20"/>
      <c r="B1181" s="20"/>
      <c r="C1181" s="21"/>
      <c r="H1181" s="27">
        <v>34</v>
      </c>
      <c r="I1181" s="27" t="str">
        <f>IF(H1181="","",VLOOKUP(H1181,'#状态名词'!$A$2:$C$99,2))</f>
        <v>redark</v>
      </c>
      <c r="J1181" s="27" t="str">
        <f>IF(H1181="","",VLOOKUP(H1181,'#状态名词'!$A$2:$C$99,3))</f>
        <v>暗属性抗性</v>
      </c>
    </row>
    <row r="1182" spans="1:11">
      <c r="A1182" s="20">
        <v>35008</v>
      </c>
      <c r="B1182" s="20" t="s">
        <v>8872</v>
      </c>
      <c r="C1182" s="21" t="s">
        <v>8887</v>
      </c>
      <c r="E1182" s="27">
        <v>1</v>
      </c>
      <c r="F1182" s="27">
        <v>0</v>
      </c>
      <c r="H1182" s="27">
        <v>1</v>
      </c>
      <c r="I1182" s="27" t="str">
        <f>IF(H1182="","",VLOOKUP(H1182,'#状态名词'!$A$2:$C$99,2))</f>
        <v>skilldama</v>
      </c>
      <c r="J1182" s="27" t="str">
        <f>IF(H1182="","",VLOOKUP(H1182,'#状态名词'!$A$2:$C$99,3))</f>
        <v>技能伤害和治疗效果提升B类</v>
      </c>
    </row>
    <row r="1183" spans="1:11">
      <c r="A1183" s="20">
        <v>35009</v>
      </c>
      <c r="B1183" s="53" t="s">
        <v>9164</v>
      </c>
      <c r="C1183" s="20" t="s">
        <v>9186</v>
      </c>
      <c r="E1183" s="27">
        <v>1</v>
      </c>
      <c r="F1183" s="27">
        <v>0</v>
      </c>
      <c r="H1183" s="27">
        <v>75</v>
      </c>
      <c r="I1183" s="27" t="str">
        <f>IF(H1183="","",VLOOKUP(H1183,'#状态名词'!$A$2:$C$99,2))</f>
        <v>action_useskill</v>
      </c>
      <c r="J1183" s="27" t="str">
        <f>IF(H1183="","",VLOOKUP(H1183,'#状态名词'!$A$2:$C$99,3))</f>
        <v>行动时有几率使用技能</v>
      </c>
      <c r="K1183" s="26" t="s">
        <v>9196</v>
      </c>
    </row>
    <row r="1184" spans="1:11">
      <c r="A1184" s="20">
        <v>35010</v>
      </c>
      <c r="B1184" s="53" t="s">
        <v>9165</v>
      </c>
      <c r="C1184" t="s">
        <v>9175</v>
      </c>
      <c r="E1184" s="27">
        <v>15</v>
      </c>
      <c r="F1184" s="27">
        <v>-1</v>
      </c>
      <c r="H1184" s="27">
        <v>28</v>
      </c>
      <c r="I1184" s="27" t="str">
        <f>IF(H1184="","",VLOOKUP(H1184,'#状态名词'!$A$2:$C$99,2))</f>
        <v>lightup</v>
      </c>
      <c r="J1184" s="27" t="str">
        <f>IF(H1184="","",VLOOKUP(H1184,'#状态名词'!$A$2:$C$99,3))</f>
        <v>光属性强化</v>
      </c>
      <c r="K1184" s="26" t="s">
        <v>9200</v>
      </c>
    </row>
    <row r="1185" spans="1:11">
      <c r="A1185" s="20">
        <v>35011</v>
      </c>
      <c r="B1185" s="53" t="s">
        <v>9166</v>
      </c>
      <c r="C1185" t="s">
        <v>9171</v>
      </c>
      <c r="E1185" s="27">
        <v>1</v>
      </c>
      <c r="F1185" s="27">
        <v>5</v>
      </c>
      <c r="H1185" s="27">
        <v>36</v>
      </c>
      <c r="I1185" s="27" t="str">
        <f>IF(H1185="","",VLOOKUP(H1185,'#状态名词'!$A$2:$C$99,2))</f>
        <v>atk_damage</v>
      </c>
      <c r="J1185" s="27" t="str">
        <f>IF(H1185="","",VLOOKUP(H1185,'#状态名词'!$A$2:$C$99,3))</f>
        <v>攻击附加伤害</v>
      </c>
      <c r="K1185" s="26" t="s">
        <v>9199</v>
      </c>
    </row>
    <row r="1186" spans="1:11">
      <c r="A1186" s="20">
        <v>35012</v>
      </c>
      <c r="B1186" s="53" t="s">
        <v>9167</v>
      </c>
      <c r="C1186" t="s">
        <v>9172</v>
      </c>
      <c r="E1186" s="27">
        <v>1</v>
      </c>
      <c r="F1186" s="27">
        <v>-1</v>
      </c>
      <c r="H1186" s="27">
        <v>2</v>
      </c>
      <c r="I1186" s="27" t="str">
        <f>IF(H1186="","",VLOOKUP(H1186,'#状态名词'!$A$2:$C$99,2))</f>
        <v>damaup</v>
      </c>
      <c r="J1186" s="27" t="str">
        <f>IF(H1186="","",VLOOKUP(H1186,'#状态名词'!$A$2:$C$99,3))</f>
        <v>伤害提升A类增伤</v>
      </c>
      <c r="K1186" s="26" t="s">
        <v>9198</v>
      </c>
    </row>
    <row r="1187" spans="1:11">
      <c r="A1187" s="20">
        <v>35013</v>
      </c>
      <c r="B1187" s="20" t="s">
        <v>9170</v>
      </c>
      <c r="C1187" s="20" t="s">
        <v>9188</v>
      </c>
      <c r="E1187" s="27">
        <v>1</v>
      </c>
      <c r="F1187" s="27">
        <v>0</v>
      </c>
      <c r="H1187" s="27">
        <v>75</v>
      </c>
      <c r="I1187" s="27" t="str">
        <f>IF(H1187="","",VLOOKUP(H1187,'#状态名词'!$A$2:$C$99,2))</f>
        <v>action_useskill</v>
      </c>
      <c r="J1187" s="27" t="str">
        <f>IF(H1187="","",VLOOKUP(H1187,'#状态名词'!$A$2:$C$99,3))</f>
        <v>行动时有几率使用技能</v>
      </c>
      <c r="K1187" s="26" t="s">
        <v>9197</v>
      </c>
    </row>
    <row r="1188" spans="1:11" ht="27">
      <c r="A1188" s="20">
        <v>35014</v>
      </c>
      <c r="B1188" s="53" t="s">
        <v>9173</v>
      </c>
      <c r="C1188" s="21" t="s">
        <v>9185</v>
      </c>
      <c r="E1188" s="27">
        <v>1</v>
      </c>
      <c r="F1188" s="27">
        <v>0</v>
      </c>
      <c r="H1188" s="27">
        <v>75</v>
      </c>
      <c r="I1188" s="27" t="str">
        <f>IF(H1188="","",VLOOKUP(H1188,'#状态名词'!$A$2:$C$99,2))</f>
        <v>action_useskill</v>
      </c>
      <c r="J1188" s="27" t="str">
        <f>IF(H1188="","",VLOOKUP(H1188,'#状态名词'!$A$2:$C$99,3))</f>
        <v>行动时有几率使用技能</v>
      </c>
      <c r="K1188" s="26" t="s">
        <v>9201</v>
      </c>
    </row>
    <row r="1189" spans="1:11">
      <c r="A1189" s="20">
        <v>35015</v>
      </c>
      <c r="B1189" s="53" t="s">
        <v>9168</v>
      </c>
      <c r="C1189" s="21" t="s">
        <v>9169</v>
      </c>
      <c r="E1189" s="27">
        <v>1</v>
      </c>
      <c r="F1189" s="27">
        <v>0</v>
      </c>
      <c r="H1189" s="27">
        <v>65</v>
      </c>
      <c r="I1189" s="27" t="str">
        <f>IF(H1189="","",VLOOKUP(H1189,'#状态名词'!$A$2:$C$99,2))</f>
        <v>str</v>
      </c>
      <c r="J1189" s="27" t="str">
        <f>IF(H1189="","",VLOOKUP(H1189,'#状态名词'!$A$2:$C$99,3))</f>
        <v>力量</v>
      </c>
      <c r="K1189" s="26" t="s">
        <v>9202</v>
      </c>
    </row>
    <row r="1190" spans="1:11">
      <c r="A1190" s="20"/>
      <c r="B1190" s="53"/>
      <c r="C1190" s="21"/>
      <c r="H1190" s="27">
        <v>67</v>
      </c>
      <c r="I1190" s="27" t="str">
        <f>IF(H1190="","",VLOOKUP(H1190,'#状态名词'!$A$2:$C$99,2))</f>
        <v>inte</v>
      </c>
      <c r="J1190" s="27" t="str">
        <f>IF(H1190="","",VLOOKUP(H1190,'#状态名词'!$A$2:$C$99,3))</f>
        <v>智力</v>
      </c>
      <c r="K1190" s="26" t="s">
        <v>9203</v>
      </c>
    </row>
    <row r="1191" spans="1:11">
      <c r="A1191" s="20"/>
      <c r="B1191" s="53"/>
      <c r="C1191" s="21"/>
      <c r="H1191" s="27">
        <v>23</v>
      </c>
      <c r="I1191" s="27" t="str">
        <f>IF(H1191="","",VLOOKUP(H1191,'#状态名词'!$A$2:$C$99,2))</f>
        <v>steal</v>
      </c>
      <c r="J1191" s="27" t="str">
        <f>IF(H1191="","",VLOOKUP(H1191,'#状态名词'!$A$2:$C$99,3))</f>
        <v>生命偷取</v>
      </c>
      <c r="K1191" s="26" t="s">
        <v>9204</v>
      </c>
    </row>
    <row r="1192" spans="1:11">
      <c r="A1192" s="20">
        <v>35016</v>
      </c>
      <c r="B1192" s="53" t="s">
        <v>9176</v>
      </c>
      <c r="C1192" s="21" t="s">
        <v>9195</v>
      </c>
      <c r="E1192" s="27">
        <v>-1</v>
      </c>
      <c r="F1192" s="27">
        <v>-1</v>
      </c>
      <c r="H1192" s="27">
        <v>65</v>
      </c>
      <c r="I1192" s="27" t="str">
        <f>IF(H1192="","",VLOOKUP(H1192,'#状态名词'!$A$2:$C$99,2))</f>
        <v>str</v>
      </c>
      <c r="J1192" s="27" t="str">
        <f>IF(H1192="","",VLOOKUP(H1192,'#状态名词'!$A$2:$C$99,3))</f>
        <v>力量</v>
      </c>
      <c r="K1192" s="26" t="s">
        <v>9205</v>
      </c>
    </row>
    <row r="1193" spans="1:11">
      <c r="A1193" s="20"/>
      <c r="B1193" s="53"/>
      <c r="C1193" s="21"/>
      <c r="H1193" s="27">
        <v>67</v>
      </c>
      <c r="I1193" s="27" t="str">
        <f>IF(H1193="","",VLOOKUP(H1193,'#状态名词'!$A$2:$C$99,2))</f>
        <v>inte</v>
      </c>
      <c r="J1193" s="27" t="str">
        <f>IF(H1193="","",VLOOKUP(H1193,'#状态名词'!$A$2:$C$99,3))</f>
        <v>智力</v>
      </c>
      <c r="K1193" s="26" t="s">
        <v>9206</v>
      </c>
    </row>
    <row r="1194" spans="1:11">
      <c r="A1194" s="20">
        <v>35017</v>
      </c>
      <c r="B1194" s="53" t="s">
        <v>9176</v>
      </c>
      <c r="C1194" s="21" t="s">
        <v>9194</v>
      </c>
      <c r="E1194" s="27">
        <v>-1</v>
      </c>
      <c r="F1194" s="27">
        <v>-1</v>
      </c>
      <c r="H1194" s="27">
        <v>65</v>
      </c>
      <c r="I1194" s="27" t="str">
        <f>IF(H1194="","",VLOOKUP(H1194,'#状态名词'!$A$2:$C$99,2))</f>
        <v>str</v>
      </c>
      <c r="J1194" s="27" t="str">
        <f>IF(H1194="","",VLOOKUP(H1194,'#状态名词'!$A$2:$C$99,3))</f>
        <v>力量</v>
      </c>
      <c r="K1194" s="26" t="s">
        <v>9210</v>
      </c>
    </row>
    <row r="1195" spans="1:11">
      <c r="A1195" s="20"/>
      <c r="B1195" s="53"/>
      <c r="C1195" s="21"/>
      <c r="H1195" s="27">
        <v>67</v>
      </c>
      <c r="I1195" s="27" t="str">
        <f>IF(H1195="","",VLOOKUP(H1195,'#状态名词'!$A$2:$C$99,2))</f>
        <v>inte</v>
      </c>
      <c r="J1195" s="27" t="str">
        <f>IF(H1195="","",VLOOKUP(H1195,'#状态名词'!$A$2:$C$99,3))</f>
        <v>智力</v>
      </c>
      <c r="K1195" s="26" t="s">
        <v>9211</v>
      </c>
    </row>
    <row r="1196" spans="1:11">
      <c r="A1196" s="20">
        <v>35018</v>
      </c>
      <c r="B1196" s="53" t="s">
        <v>9181</v>
      </c>
      <c r="C1196" s="21" t="s">
        <v>9178</v>
      </c>
      <c r="E1196" s="27">
        <v>1</v>
      </c>
      <c r="F1196" s="27">
        <v>0</v>
      </c>
      <c r="H1196" s="27">
        <v>39</v>
      </c>
      <c r="I1196" s="27" t="str">
        <f>IF(H1196="","",VLOOKUP(H1196,'#状态名词'!$A$2:$C$99,2))</f>
        <v>action_heal</v>
      </c>
      <c r="J1196" s="27" t="str">
        <f>IF(H1196="","",VLOOKUP(H1196,'#状态名词'!$A$2:$C$99,3))</f>
        <v>行动时治疗</v>
      </c>
      <c r="K1196" s="26" t="s">
        <v>9212</v>
      </c>
    </row>
    <row r="1197" spans="1:11">
      <c r="A1197" s="20">
        <v>35019</v>
      </c>
      <c r="B1197" s="53" t="s">
        <v>9180</v>
      </c>
      <c r="C1197" s="21" t="s">
        <v>9192</v>
      </c>
      <c r="E1197" s="27">
        <v>1</v>
      </c>
      <c r="F1197" s="27">
        <v>-1</v>
      </c>
      <c r="H1197" s="27">
        <v>2</v>
      </c>
      <c r="I1197" s="27" t="str">
        <f>IF(H1197="","",VLOOKUP(H1197,'#状态名词'!$A$2:$C$99,2))</f>
        <v>damaup</v>
      </c>
      <c r="J1197" s="27" t="str">
        <f>IF(H1197="","",VLOOKUP(H1197,'#状态名词'!$A$2:$C$99,3))</f>
        <v>伤害提升A类增伤</v>
      </c>
      <c r="K1197" s="26" t="s">
        <v>9207</v>
      </c>
    </row>
    <row r="1198" spans="1:11">
      <c r="A1198" s="20"/>
      <c r="B1198" s="53"/>
      <c r="C1198" s="21"/>
      <c r="H1198" s="27">
        <v>3</v>
      </c>
      <c r="I1198" s="27" t="str">
        <f>IF(H1198="","",VLOOKUP(H1198,'#状态名词'!$A$2:$C$99,2))</f>
        <v>attach_dama</v>
      </c>
      <c r="J1198" s="27" t="str">
        <f>IF(H1198="","",VLOOKUP(H1198,'#状态名词'!$A$2:$C$99,3))</f>
        <v>攻击额外伤害C类增伤</v>
      </c>
      <c r="K1198" s="26" t="s">
        <v>9208</v>
      </c>
    </row>
    <row r="1199" spans="1:11">
      <c r="A1199" s="20">
        <v>35020</v>
      </c>
      <c r="B1199" s="53" t="s">
        <v>9180</v>
      </c>
      <c r="C1199" s="21" t="s">
        <v>9193</v>
      </c>
      <c r="E1199" s="27">
        <v>1</v>
      </c>
      <c r="F1199" s="27">
        <v>-1</v>
      </c>
      <c r="H1199" s="27">
        <v>2</v>
      </c>
      <c r="I1199" s="27" t="str">
        <f>IF(H1199="","",VLOOKUP(H1199,'#状态名词'!$A$2:$C$99,2))</f>
        <v>damaup</v>
      </c>
      <c r="J1199" s="27" t="str">
        <f>IF(H1199="","",VLOOKUP(H1199,'#状态名词'!$A$2:$C$99,3))</f>
        <v>伤害提升A类增伤</v>
      </c>
      <c r="K1199" s="26" t="s">
        <v>9209</v>
      </c>
    </row>
    <row r="1200" spans="1:11">
      <c r="A1200" s="27">
        <v>40101</v>
      </c>
      <c r="B1200" s="27" t="s">
        <v>400</v>
      </c>
      <c r="C1200" s="27" t="s">
        <v>5424</v>
      </c>
      <c r="E1200" s="27">
        <v>-1</v>
      </c>
      <c r="F1200" s="27">
        <v>1</v>
      </c>
      <c r="H1200" s="27">
        <v>19</v>
      </c>
      <c r="I1200" s="27" t="str">
        <f>IF(H1200="","",VLOOKUP(H1200,'#状态名词'!$A$2:$C$99,2))</f>
        <v>rating</v>
      </c>
      <c r="J1200" s="27" t="str">
        <f>IF(H1200="","",VLOOKUP(H1200,'#状态名词'!$A$2:$C$99,3))</f>
        <v>暴击+</v>
      </c>
      <c r="K1200" s="26" t="s">
        <v>5425</v>
      </c>
    </row>
    <row r="1201" spans="1:12">
      <c r="B1201" s="27" t="s">
        <v>84</v>
      </c>
      <c r="H1201" s="27">
        <v>2</v>
      </c>
      <c r="I1201" s="27" t="str">
        <f>IF(H1201="","",VLOOKUP(H1201,'#状态名词'!$A$2:$C$99,2))</f>
        <v>damaup</v>
      </c>
      <c r="J1201" s="27" t="str">
        <f>IF(H1201="","",VLOOKUP(H1201,'#状态名词'!$A$2:$C$99,3))</f>
        <v>伤害提升A类增伤</v>
      </c>
      <c r="K1201" s="26" t="s">
        <v>5426</v>
      </c>
    </row>
    <row r="1202" spans="1:12">
      <c r="A1202" s="27">
        <v>40103</v>
      </c>
      <c r="B1202" s="27" t="s">
        <v>402</v>
      </c>
      <c r="C1202" s="27" t="s">
        <v>4586</v>
      </c>
      <c r="E1202" s="27">
        <v>-1</v>
      </c>
      <c r="F1202" s="27">
        <v>-1</v>
      </c>
      <c r="H1202" s="27">
        <v>61</v>
      </c>
      <c r="I1202" s="27" t="str">
        <f>IF(H1202="","",VLOOKUP(H1202,'#状态名词'!$A$2:$C$99,2))</f>
        <v>team_ad</v>
      </c>
      <c r="J1202" s="27" t="str">
        <f>IF(H1202="","",VLOOKUP(H1202,'#状态名词'!$A$2:$C$99,3))</f>
        <v>队伍AD</v>
      </c>
      <c r="K1202" s="26" t="s">
        <v>5427</v>
      </c>
    </row>
    <row r="1203" spans="1:12">
      <c r="A1203" s="27">
        <v>40104</v>
      </c>
      <c r="B1203" s="27" t="s">
        <v>403</v>
      </c>
      <c r="C1203" s="27" t="s">
        <v>4587</v>
      </c>
      <c r="E1203" s="27">
        <v>-1</v>
      </c>
      <c r="F1203" s="27">
        <v>-1</v>
      </c>
      <c r="H1203" s="27">
        <v>23</v>
      </c>
      <c r="I1203" s="27" t="str">
        <f>IF(H1203="","",VLOOKUP(H1203,'#状态名词'!$A$2:$C$99,2))</f>
        <v>steal</v>
      </c>
      <c r="J1203" s="27" t="str">
        <f>IF(H1203="","",VLOOKUP(H1203,'#状态名词'!$A$2:$C$99,3))</f>
        <v>生命偷取</v>
      </c>
      <c r="K1203" s="26" t="s">
        <v>5428</v>
      </c>
    </row>
    <row r="1204" spans="1:12">
      <c r="A1204" s="27">
        <v>40105</v>
      </c>
      <c r="B1204" s="27" t="s">
        <v>404</v>
      </c>
      <c r="C1204" s="27" t="s">
        <v>4588</v>
      </c>
      <c r="E1204" s="27">
        <v>1</v>
      </c>
      <c r="F1204" s="27">
        <v>0</v>
      </c>
      <c r="H1204" s="27">
        <v>23</v>
      </c>
      <c r="I1204" s="27" t="str">
        <f>IF(H1204="","",VLOOKUP(H1204,'#状态名词'!$A$2:$C$99,2))</f>
        <v>steal</v>
      </c>
      <c r="J1204" s="27" t="str">
        <f>IF(H1204="","",VLOOKUP(H1204,'#状态名词'!$A$2:$C$99,3))</f>
        <v>生命偷取</v>
      </c>
      <c r="K1204" s="26" t="s">
        <v>5429</v>
      </c>
    </row>
    <row r="1205" spans="1:12">
      <c r="A1205" s="27">
        <v>40106</v>
      </c>
      <c r="B1205" s="27" t="s">
        <v>405</v>
      </c>
      <c r="C1205" s="27" t="s">
        <v>464</v>
      </c>
      <c r="E1205" s="27">
        <v>-1</v>
      </c>
      <c r="F1205" s="27">
        <v>-1</v>
      </c>
      <c r="H1205" s="27">
        <v>19</v>
      </c>
      <c r="I1205" s="27" t="str">
        <f>IF(H1205="","",VLOOKUP(H1205,'#状态名词'!$A$2:$C$99,2))</f>
        <v>rating</v>
      </c>
      <c r="J1205" s="27" t="str">
        <f>IF(H1205="","",VLOOKUP(H1205,'#状态名词'!$A$2:$C$99,3))</f>
        <v>暴击+</v>
      </c>
      <c r="K1205" s="26" t="s">
        <v>5428</v>
      </c>
    </row>
    <row r="1206" spans="1:12">
      <c r="A1206" s="27">
        <v>40107</v>
      </c>
      <c r="B1206" s="27" t="s">
        <v>406</v>
      </c>
      <c r="C1206" s="27" t="s">
        <v>2095</v>
      </c>
      <c r="E1206" s="27">
        <v>-1</v>
      </c>
      <c r="F1206" s="27">
        <v>-1</v>
      </c>
      <c r="H1206" s="27">
        <v>54</v>
      </c>
      <c r="I1206" s="27" t="str">
        <f>IF(H1206="","",VLOOKUP(H1206,'#状态名词'!$A$2:$C$99,2))</f>
        <v>spi</v>
      </c>
      <c r="J1206" s="27" t="str">
        <f>IF(H1206="","",VLOOKUP(H1206,'#状态名词'!$A$2:$C$99,3))</f>
        <v>精神</v>
      </c>
      <c r="K1206" s="26" t="s">
        <v>5430</v>
      </c>
    </row>
    <row r="1207" spans="1:12">
      <c r="B1207" s="27" t="s">
        <v>84</v>
      </c>
      <c r="E1207" s="27">
        <v>-1</v>
      </c>
      <c r="F1207" s="27">
        <v>-1</v>
      </c>
      <c r="H1207" s="27">
        <v>17</v>
      </c>
      <c r="I1207" s="27" t="str">
        <f>IF(H1207="","",VLOOKUP(H1207,'#状态名词'!$A$2:$C$99,2))</f>
        <v>adi</v>
      </c>
      <c r="J1207" s="27" t="str">
        <f>IF(H1207="","",VLOOKUP(H1207,'#状态名词'!$A$2:$C$99,3))</f>
        <v>物穿</v>
      </c>
      <c r="K1207" s="26" t="s">
        <v>5431</v>
      </c>
    </row>
    <row r="1208" spans="1:12">
      <c r="A1208" s="27">
        <v>40108</v>
      </c>
      <c r="B1208" s="27" t="s">
        <v>407</v>
      </c>
      <c r="C1208" s="27" t="s">
        <v>5432</v>
      </c>
      <c r="E1208" s="27">
        <v>-1</v>
      </c>
      <c r="F1208" s="27">
        <v>-1</v>
      </c>
      <c r="H1208" s="27">
        <v>36</v>
      </c>
      <c r="I1208" s="27" t="str">
        <f>IF(H1208="","",VLOOKUP(H1208,'#状态名词'!$A$2:$C$99,2))</f>
        <v>atk_damage</v>
      </c>
      <c r="J1208" s="27" t="str">
        <f>IF(H1208="","",VLOOKUP(H1208,'#状态名词'!$A$2:$C$99,3))</f>
        <v>攻击附加伤害</v>
      </c>
      <c r="K1208" s="26" t="s">
        <v>5433</v>
      </c>
      <c r="L1208" s="27">
        <v>9</v>
      </c>
    </row>
    <row r="1209" spans="1:12">
      <c r="A1209" s="27">
        <v>40110</v>
      </c>
      <c r="B1209" s="27" t="s">
        <v>4592</v>
      </c>
      <c r="C1209" s="27" t="s">
        <v>4593</v>
      </c>
      <c r="E1209" s="27">
        <v>-1</v>
      </c>
      <c r="F1209" s="27">
        <v>0</v>
      </c>
      <c r="H1209" s="27">
        <v>23</v>
      </c>
      <c r="I1209" s="27" t="str">
        <f>IF(H1209="","",VLOOKUP(H1209,'#状态名词'!$A$2:$C$99,2))</f>
        <v>steal</v>
      </c>
      <c r="J1209" s="27" t="str">
        <f>IF(H1209="","",VLOOKUP(H1209,'#状态名词'!$A$2:$C$99,3))</f>
        <v>生命偷取</v>
      </c>
      <c r="K1209" s="26" t="s">
        <v>5434</v>
      </c>
    </row>
    <row r="1210" spans="1:12">
      <c r="B1210" s="27" t="s">
        <v>84</v>
      </c>
      <c r="H1210" s="27">
        <v>24</v>
      </c>
      <c r="I1210" s="27" t="str">
        <f>IF(H1210="","",VLOOKUP(H1210,'#状态名词'!$A$2:$C$99,2))</f>
        <v>heal</v>
      </c>
      <c r="J1210" s="27" t="str">
        <f>IF(H1210="","",VLOOKUP(H1210,'#状态名词'!$A$2:$C$99,3))</f>
        <v>治疗效果+</v>
      </c>
      <c r="K1210" s="26" t="s">
        <v>5435</v>
      </c>
    </row>
    <row r="1211" spans="1:12">
      <c r="A1211" s="27">
        <v>40111</v>
      </c>
      <c r="B1211" s="27" t="s">
        <v>4594</v>
      </c>
      <c r="C1211" s="27" t="s">
        <v>5436</v>
      </c>
      <c r="E1211" s="27">
        <v>-1</v>
      </c>
      <c r="F1211" s="27">
        <v>-1</v>
      </c>
      <c r="H1211" s="27">
        <v>51</v>
      </c>
      <c r="I1211" s="27" t="str">
        <f>IF(H1211="","",VLOOKUP(H1211,'#状态名词'!$A$2:$C$99,2))</f>
        <v>rageupper</v>
      </c>
      <c r="J1211" s="27" t="str">
        <f>IF(H1211="","",VLOOKUP(H1211,'#状态名词'!$A$2:$C$99,3))</f>
        <v>怒气上限</v>
      </c>
      <c r="K1211" s="26" t="s">
        <v>530</v>
      </c>
    </row>
    <row r="1212" spans="1:12">
      <c r="A1212" s="27">
        <v>40112</v>
      </c>
      <c r="B1212" s="27" t="s">
        <v>408</v>
      </c>
      <c r="C1212" s="27" t="s">
        <v>5437</v>
      </c>
      <c r="E1212" s="27">
        <v>-1</v>
      </c>
      <c r="F1212" s="27">
        <v>-1</v>
      </c>
      <c r="H1212" s="27">
        <v>23</v>
      </c>
      <c r="I1212" s="27" t="str">
        <f>IF(H1212="","",VLOOKUP(H1212,'#状态名词'!$A$2:$C$99,2))</f>
        <v>steal</v>
      </c>
      <c r="J1212" s="27" t="str">
        <f>IF(H1212="","",VLOOKUP(H1212,'#状态名词'!$A$2:$C$99,3))</f>
        <v>生命偷取</v>
      </c>
      <c r="K1212" s="26" t="s">
        <v>5438</v>
      </c>
    </row>
    <row r="1213" spans="1:12">
      <c r="B1213" s="27" t="s">
        <v>84</v>
      </c>
      <c r="E1213" s="27">
        <v>-1</v>
      </c>
      <c r="F1213" s="27">
        <v>-1</v>
      </c>
      <c r="H1213" s="27">
        <v>19</v>
      </c>
      <c r="I1213" s="27" t="str">
        <f>IF(H1213="","",VLOOKUP(H1213,'#状态名词'!$A$2:$C$99,2))</f>
        <v>rating</v>
      </c>
      <c r="J1213" s="27" t="str">
        <f>IF(H1213="","",VLOOKUP(H1213,'#状态名词'!$A$2:$C$99,3))</f>
        <v>暴击+</v>
      </c>
      <c r="K1213" s="26" t="s">
        <v>5438</v>
      </c>
    </row>
    <row r="1214" spans="1:12">
      <c r="A1214" s="67">
        <v>40113</v>
      </c>
      <c r="B1214" s="27" t="s">
        <v>4596</v>
      </c>
      <c r="C1214" s="27" t="s">
        <v>5439</v>
      </c>
      <c r="E1214" s="27">
        <v>1</v>
      </c>
      <c r="F1214" s="27">
        <v>0</v>
      </c>
      <c r="H1214" s="27">
        <v>2</v>
      </c>
      <c r="I1214" s="27" t="str">
        <f>IF(H1214="","",VLOOKUP(H1214,'#状态名词'!$A$2:$C$99,2))</f>
        <v>damaup</v>
      </c>
      <c r="J1214" s="27" t="str">
        <f>IF(H1214="","",VLOOKUP(H1214,'#状态名词'!$A$2:$C$99,3))</f>
        <v>伤害提升A类增伤</v>
      </c>
      <c r="K1214" s="26" t="s">
        <v>7767</v>
      </c>
    </row>
    <row r="1215" spans="1:12">
      <c r="A1215" s="27">
        <v>40114</v>
      </c>
      <c r="B1215" s="27" t="s">
        <v>409</v>
      </c>
      <c r="C1215" s="27" t="s">
        <v>4597</v>
      </c>
      <c r="E1215" s="27">
        <v>-1</v>
      </c>
      <c r="F1215" s="27">
        <v>-1</v>
      </c>
      <c r="H1215" s="27">
        <v>17</v>
      </c>
      <c r="I1215" s="27" t="str">
        <f>IF(H1215="","",VLOOKUP(H1215,'#状态名词'!$A$2:$C$99,2))</f>
        <v>adi</v>
      </c>
      <c r="J1215" s="27" t="str">
        <f>IF(H1215="","",VLOOKUP(H1215,'#状态名词'!$A$2:$C$99,3))</f>
        <v>物穿</v>
      </c>
      <c r="K1215" s="26" t="s">
        <v>5440</v>
      </c>
    </row>
    <row r="1216" spans="1:12">
      <c r="B1216" s="27" t="s">
        <v>84</v>
      </c>
      <c r="E1216" s="27">
        <v>-1</v>
      </c>
      <c r="F1216" s="27">
        <v>-1</v>
      </c>
      <c r="H1216" s="27">
        <v>19</v>
      </c>
      <c r="I1216" s="27" t="str">
        <f>IF(H1216="","",VLOOKUP(H1216,'#状态名词'!$A$2:$C$99,2))</f>
        <v>rating</v>
      </c>
      <c r="J1216" s="27" t="str">
        <f>IF(H1216="","",VLOOKUP(H1216,'#状态名词'!$A$2:$C$99,3))</f>
        <v>暴击+</v>
      </c>
      <c r="K1216" s="26" t="s">
        <v>5441</v>
      </c>
    </row>
    <row r="1217" spans="1:12">
      <c r="A1217" s="27">
        <v>40116</v>
      </c>
      <c r="B1217" s="27" t="s">
        <v>411</v>
      </c>
      <c r="C1217" s="27" t="s">
        <v>2055</v>
      </c>
      <c r="E1217" s="27">
        <v>1</v>
      </c>
      <c r="F1217" s="27">
        <v>0</v>
      </c>
      <c r="H1217" s="27">
        <v>54</v>
      </c>
      <c r="I1217" s="27" t="str">
        <f>IF(H1217="","",VLOOKUP(H1217,'#状态名词'!$A$2:$C$99,2))</f>
        <v>spi</v>
      </c>
      <c r="J1217" s="27" t="str">
        <f>IF(H1217="","",VLOOKUP(H1217,'#状态名词'!$A$2:$C$99,3))</f>
        <v>精神</v>
      </c>
      <c r="K1217" s="26" t="s">
        <v>5442</v>
      </c>
    </row>
    <row r="1218" spans="1:12">
      <c r="A1218" s="27">
        <v>40117</v>
      </c>
      <c r="B1218" s="27" t="s">
        <v>5443</v>
      </c>
      <c r="C1218" s="27" t="s">
        <v>5444</v>
      </c>
      <c r="E1218" s="27">
        <v>1</v>
      </c>
      <c r="F1218" s="27">
        <v>0</v>
      </c>
      <c r="H1218" s="27">
        <v>20</v>
      </c>
      <c r="I1218" s="27" t="str">
        <f>IF(H1218="","",VLOOKUP(H1218,'#状态名词'!$A$2:$C$99,2))</f>
        <v>ratingdamage</v>
      </c>
      <c r="J1218" s="27" t="str">
        <f>IF(H1218="","",VLOOKUP(H1218,'#状态名词'!$A$2:$C$99,3))</f>
        <v>暴伤+</v>
      </c>
      <c r="K1218" s="26" t="s">
        <v>5445</v>
      </c>
    </row>
    <row r="1219" spans="1:12">
      <c r="A1219" s="27">
        <v>40118</v>
      </c>
      <c r="B1219" s="27" t="s">
        <v>412</v>
      </c>
      <c r="C1219" s="27" t="s">
        <v>4600</v>
      </c>
      <c r="E1219" s="27">
        <v>1</v>
      </c>
      <c r="F1219" s="27">
        <v>0</v>
      </c>
      <c r="H1219" s="27">
        <v>20</v>
      </c>
      <c r="I1219" s="27" t="str">
        <f>IF(H1219="","",VLOOKUP(H1219,'#状态名词'!$A$2:$C$99,2))</f>
        <v>ratingdamage</v>
      </c>
      <c r="J1219" s="27" t="str">
        <f>IF(H1219="","",VLOOKUP(H1219,'#状态名词'!$A$2:$C$99,3))</f>
        <v>暴伤+</v>
      </c>
      <c r="K1219" s="26" t="s">
        <v>5446</v>
      </c>
    </row>
    <row r="1220" spans="1:12">
      <c r="A1220" s="27">
        <v>40119</v>
      </c>
      <c r="B1220" s="27" t="s">
        <v>410</v>
      </c>
      <c r="C1220" s="27" t="s">
        <v>5447</v>
      </c>
      <c r="E1220" s="27">
        <v>-1</v>
      </c>
      <c r="F1220" s="27">
        <v>-1</v>
      </c>
      <c r="G1220" s="27">
        <v>40119</v>
      </c>
      <c r="H1220" s="27">
        <v>2</v>
      </c>
      <c r="I1220" s="27" t="str">
        <f>IF(H1220="","",VLOOKUP(H1220,'#状态名词'!$A$2:$C$99,2))</f>
        <v>damaup</v>
      </c>
      <c r="J1220" s="27" t="str">
        <f>IF(H1220="","",VLOOKUP(H1220,'#状态名词'!$A$2:$C$99,3))</f>
        <v>伤害提升A类增伤</v>
      </c>
      <c r="K1220" s="26" t="s">
        <v>5448</v>
      </c>
    </row>
    <row r="1221" spans="1:12">
      <c r="B1221" s="27" t="s">
        <v>84</v>
      </c>
      <c r="H1221" s="27">
        <v>44</v>
      </c>
      <c r="I1221" s="27" t="str">
        <f>IF(H1221="","",VLOOKUP(H1221,'#状态名词'!$A$2:$C$99,2))</f>
        <v>dotup</v>
      </c>
      <c r="J1221" s="27" t="str">
        <f>IF(H1221="","",VLOOKUP(H1221,'#状态名词'!$A$2:$C$99,3))</f>
        <v>持续伤害强化</v>
      </c>
      <c r="K1221" s="26" t="s">
        <v>5448</v>
      </c>
    </row>
    <row r="1222" spans="1:12">
      <c r="A1222" s="27">
        <v>40120</v>
      </c>
      <c r="B1222" s="27" t="s">
        <v>4598</v>
      </c>
      <c r="C1222" s="27" t="s">
        <v>4599</v>
      </c>
      <c r="E1222" s="27">
        <v>1</v>
      </c>
      <c r="F1222" s="27">
        <v>0</v>
      </c>
      <c r="G1222" s="27">
        <v>40120</v>
      </c>
      <c r="I1222" s="27" t="str">
        <f>IF(H1222="","",VLOOKUP(H1222,'#状态名词'!$A$2:$C$99,2))</f>
        <v/>
      </c>
      <c r="J1222" s="27" t="str">
        <f>IF(H1222="","",VLOOKUP(H1222,'#状态名词'!$A$2:$C$99,3))</f>
        <v/>
      </c>
    </row>
    <row r="1223" spans="1:12">
      <c r="A1223" s="27">
        <v>40201</v>
      </c>
      <c r="B1223" s="27" t="s">
        <v>413</v>
      </c>
      <c r="C1223" s="27" t="s">
        <v>5449</v>
      </c>
      <c r="E1223" s="27">
        <v>-1</v>
      </c>
      <c r="F1223" s="27">
        <v>-1</v>
      </c>
      <c r="H1223" s="27">
        <v>25</v>
      </c>
      <c r="I1223" s="27" t="str">
        <f>IF(H1223="","",VLOOKUP(H1223,'#状态名词'!$A$2:$C$99,2))</f>
        <v>duochong</v>
      </c>
      <c r="J1223" s="27" t="str">
        <f>IF(H1223="","",VLOOKUP(H1223,'#状态名词'!$A$2:$C$99,3))</f>
        <v>多重施法</v>
      </c>
      <c r="K1223" s="26">
        <v>5000</v>
      </c>
      <c r="L1223" s="27">
        <v>40201</v>
      </c>
    </row>
    <row r="1224" spans="1:12">
      <c r="A1224" s="27">
        <v>40202</v>
      </c>
      <c r="B1224" s="27" t="s">
        <v>414</v>
      </c>
      <c r="C1224" s="27" t="s">
        <v>4586</v>
      </c>
      <c r="E1224" s="27">
        <v>-1</v>
      </c>
      <c r="F1224" s="27">
        <v>-1</v>
      </c>
      <c r="H1224" s="27">
        <v>61</v>
      </c>
      <c r="I1224" s="27" t="str">
        <f>IF(H1224="","",VLOOKUP(H1224,'#状态名词'!$A$2:$C$99,2))</f>
        <v>team_ad</v>
      </c>
      <c r="J1224" s="27" t="str">
        <f>IF(H1224="","",VLOOKUP(H1224,'#状态名词'!$A$2:$C$99,3))</f>
        <v>队伍AD</v>
      </c>
      <c r="K1224" s="26" t="s">
        <v>5427</v>
      </c>
    </row>
    <row r="1225" spans="1:12">
      <c r="A1225" s="27">
        <v>40203</v>
      </c>
      <c r="B1225" s="27" t="s">
        <v>415</v>
      </c>
      <c r="C1225" s="27" t="s">
        <v>5450</v>
      </c>
      <c r="E1225" s="27">
        <v>-1</v>
      </c>
      <c r="F1225" s="27">
        <v>-1</v>
      </c>
      <c r="H1225" s="27">
        <v>19</v>
      </c>
      <c r="I1225" s="27" t="str">
        <f>IF(H1225="","",VLOOKUP(H1225,'#状态名词'!$A$2:$C$99,2))</f>
        <v>rating</v>
      </c>
      <c r="J1225" s="27" t="str">
        <f>IF(H1225="","",VLOOKUP(H1225,'#状态名词'!$A$2:$C$99,3))</f>
        <v>暴击+</v>
      </c>
      <c r="K1225" s="26" t="s">
        <v>5428</v>
      </c>
    </row>
    <row r="1226" spans="1:12">
      <c r="A1226" s="27">
        <v>40204</v>
      </c>
      <c r="B1226" s="27" t="s">
        <v>416</v>
      </c>
      <c r="C1226" s="27" t="s">
        <v>5451</v>
      </c>
      <c r="E1226" s="27">
        <v>-1</v>
      </c>
      <c r="F1226" s="27">
        <v>-1</v>
      </c>
      <c r="H1226" s="27">
        <v>21</v>
      </c>
      <c r="I1226" s="27" t="str">
        <f>IF(H1226="","",VLOOKUP(H1226,'#状态名词'!$A$2:$C$99,2))</f>
        <v>speed</v>
      </c>
      <c r="J1226" s="27" t="str">
        <f>IF(H1226="","",VLOOKUP(H1226,'#状态名词'!$A$2:$C$99,3))</f>
        <v>速度+</v>
      </c>
      <c r="K1226" s="26" t="s">
        <v>5428</v>
      </c>
    </row>
    <row r="1227" spans="1:12">
      <c r="A1227" s="27">
        <v>40206</v>
      </c>
      <c r="B1227" s="27" t="s">
        <v>419</v>
      </c>
      <c r="C1227" s="27" t="s">
        <v>5452</v>
      </c>
      <c r="E1227" s="27">
        <v>-1</v>
      </c>
      <c r="F1227" s="27">
        <v>-1</v>
      </c>
      <c r="H1227" s="27">
        <v>17</v>
      </c>
      <c r="I1227" s="27" t="str">
        <f>IF(H1227="","",VLOOKUP(H1227,'#状态名词'!$A$2:$C$99,2))</f>
        <v>adi</v>
      </c>
      <c r="J1227" s="27" t="str">
        <f>IF(H1227="","",VLOOKUP(H1227,'#状态名词'!$A$2:$C$99,3))</f>
        <v>物穿</v>
      </c>
      <c r="K1227" s="26" t="s">
        <v>5438</v>
      </c>
    </row>
    <row r="1228" spans="1:12">
      <c r="A1228" s="27">
        <v>40207</v>
      </c>
      <c r="B1228" s="27" t="s">
        <v>420</v>
      </c>
      <c r="C1228" s="27" t="s">
        <v>5453</v>
      </c>
      <c r="E1228" s="27">
        <v>-1</v>
      </c>
      <c r="F1228" s="27">
        <v>-1</v>
      </c>
      <c r="H1228" s="27">
        <v>20</v>
      </c>
      <c r="I1228" s="27" t="str">
        <f>IF(H1228="","",VLOOKUP(H1228,'#状态名词'!$A$2:$C$99,2))</f>
        <v>ratingdamage</v>
      </c>
      <c r="J1228" s="27" t="str">
        <f>IF(H1228="","",VLOOKUP(H1228,'#状态名词'!$A$2:$C$99,3))</f>
        <v>暴伤+</v>
      </c>
      <c r="K1228" s="26" t="s">
        <v>5454</v>
      </c>
    </row>
    <row r="1229" spans="1:12">
      <c r="A1229" s="27">
        <v>40209</v>
      </c>
      <c r="B1229" s="27" t="s">
        <v>421</v>
      </c>
      <c r="C1229" s="27" t="s">
        <v>5455</v>
      </c>
      <c r="E1229" s="27">
        <v>-1</v>
      </c>
      <c r="F1229" s="27">
        <v>-1</v>
      </c>
      <c r="H1229" s="27">
        <v>13</v>
      </c>
      <c r="I1229" s="27" t="str">
        <f>IF(H1229="","",VLOOKUP(H1229,'#状态名词'!$A$2:$C$99,2))</f>
        <v>arm</v>
      </c>
      <c r="J1229" s="27" t="str">
        <f>IF(H1229="","",VLOOKUP(H1229,'#状态名词'!$A$2:$C$99,3))</f>
        <v>ARM+</v>
      </c>
      <c r="K1229" s="26" t="s">
        <v>5456</v>
      </c>
      <c r="L1229" s="27">
        <v>1</v>
      </c>
    </row>
    <row r="1230" spans="1:12">
      <c r="A1230" s="27">
        <v>40210</v>
      </c>
      <c r="B1230" s="27" t="s">
        <v>422</v>
      </c>
      <c r="C1230" s="27" t="s">
        <v>4609</v>
      </c>
      <c r="E1230" s="27">
        <v>-1</v>
      </c>
      <c r="F1230" s="27">
        <v>-1</v>
      </c>
      <c r="H1230" s="27">
        <v>21</v>
      </c>
      <c r="I1230" s="27" t="str">
        <f>IF(H1230="","",VLOOKUP(H1230,'#状态名词'!$A$2:$C$99,2))</f>
        <v>speed</v>
      </c>
      <c r="J1230" s="27" t="str">
        <f>IF(H1230="","",VLOOKUP(H1230,'#状态名词'!$A$2:$C$99,3))</f>
        <v>速度+</v>
      </c>
      <c r="K1230" s="26" t="s">
        <v>5438</v>
      </c>
    </row>
    <row r="1231" spans="1:12">
      <c r="B1231" s="27" t="s">
        <v>84</v>
      </c>
      <c r="E1231" s="27">
        <v>-1</v>
      </c>
      <c r="F1231" s="27">
        <v>-1</v>
      </c>
      <c r="H1231" s="27">
        <v>61</v>
      </c>
      <c r="I1231" s="27" t="str">
        <f>IF(H1231="","",VLOOKUP(H1231,'#状态名词'!$A$2:$C$99,2))</f>
        <v>team_ad</v>
      </c>
      <c r="J1231" s="27" t="str">
        <f>IF(H1231="","",VLOOKUP(H1231,'#状态名词'!$A$2:$C$99,3))</f>
        <v>队伍AD</v>
      </c>
      <c r="K1231" s="26" t="s">
        <v>5457</v>
      </c>
    </row>
    <row r="1232" spans="1:12">
      <c r="A1232" s="27">
        <v>40211</v>
      </c>
      <c r="B1232" s="27" t="s">
        <v>423</v>
      </c>
      <c r="C1232" s="27" t="s">
        <v>5458</v>
      </c>
      <c r="E1232" s="27">
        <v>-1</v>
      </c>
      <c r="F1232" s="27">
        <v>-1</v>
      </c>
      <c r="H1232" s="27">
        <v>21</v>
      </c>
      <c r="I1232" s="27" t="str">
        <f>IF(H1232="","",VLOOKUP(H1232,'#状态名词'!$A$2:$C$99,2))</f>
        <v>speed</v>
      </c>
      <c r="J1232" s="27" t="str">
        <f>IF(H1232="","",VLOOKUP(H1232,'#状态名词'!$A$2:$C$99,3))</f>
        <v>速度+</v>
      </c>
      <c r="K1232" s="26" t="s">
        <v>5459</v>
      </c>
    </row>
    <row r="1233" spans="1:12">
      <c r="A1233" s="27">
        <v>40212</v>
      </c>
      <c r="B1233" s="27" t="s">
        <v>424</v>
      </c>
      <c r="C1233" s="27" t="s">
        <v>2116</v>
      </c>
      <c r="E1233" s="27">
        <v>-1</v>
      </c>
      <c r="F1233" s="27">
        <v>-1</v>
      </c>
      <c r="H1233" s="27">
        <v>65</v>
      </c>
      <c r="I1233" s="27" t="str">
        <f>IF(H1233="","",VLOOKUP(H1233,'#状态名词'!$A$2:$C$99,2))</f>
        <v>str</v>
      </c>
      <c r="J1233" s="27" t="str">
        <f>IF(H1233="","",VLOOKUP(H1233,'#状态名词'!$A$2:$C$99,3))</f>
        <v>力量</v>
      </c>
      <c r="K1233" s="26" t="s">
        <v>5460</v>
      </c>
    </row>
    <row r="1234" spans="1:12">
      <c r="B1234" s="27" t="s">
        <v>84</v>
      </c>
      <c r="H1234" s="27">
        <v>67</v>
      </c>
      <c r="I1234" s="27" t="str">
        <f>IF(H1234="","",VLOOKUP(H1234,'#状态名词'!$A$2:$C$99,2))</f>
        <v>inte</v>
      </c>
      <c r="J1234" s="27" t="str">
        <f>IF(H1234="","",VLOOKUP(H1234,'#状态名词'!$A$2:$C$99,3))</f>
        <v>智力</v>
      </c>
      <c r="K1234" s="26" t="s">
        <v>5460</v>
      </c>
    </row>
    <row r="1235" spans="1:12">
      <c r="A1235" s="27">
        <v>40213</v>
      </c>
      <c r="B1235" s="27" t="s">
        <v>425</v>
      </c>
      <c r="C1235" s="27" t="s">
        <v>2057</v>
      </c>
      <c r="E1235" s="27">
        <v>-1</v>
      </c>
      <c r="F1235" s="27">
        <v>-1</v>
      </c>
      <c r="H1235" s="27">
        <v>54</v>
      </c>
      <c r="I1235" s="27" t="str">
        <f>IF(H1235="","",VLOOKUP(H1235,'#状态名词'!$A$2:$C$99,2))</f>
        <v>spi</v>
      </c>
      <c r="J1235" s="27" t="str">
        <f>IF(H1235="","",VLOOKUP(H1235,'#状态名词'!$A$2:$C$99,3))</f>
        <v>精神</v>
      </c>
      <c r="K1235" s="26" t="s">
        <v>5461</v>
      </c>
    </row>
    <row r="1236" spans="1:12">
      <c r="A1236" s="27">
        <v>40214</v>
      </c>
      <c r="B1236" s="27" t="s">
        <v>426</v>
      </c>
      <c r="C1236" s="27" t="s">
        <v>5462</v>
      </c>
      <c r="E1236" s="27">
        <v>1</v>
      </c>
      <c r="F1236" s="27">
        <v>-1</v>
      </c>
      <c r="H1236" s="27">
        <v>23</v>
      </c>
      <c r="I1236" s="27" t="str">
        <f>IF(H1236="","",VLOOKUP(H1236,'#状态名词'!$A$2:$C$99,2))</f>
        <v>steal</v>
      </c>
      <c r="J1236" s="27" t="str">
        <f>IF(H1236="","",VLOOKUP(H1236,'#状态名词'!$A$2:$C$99,3))</f>
        <v>生命偷取</v>
      </c>
      <c r="K1236" s="26" t="s">
        <v>5463</v>
      </c>
      <c r="L1236" s="27">
        <v>1</v>
      </c>
    </row>
    <row r="1237" spans="1:12">
      <c r="A1237" s="27">
        <v>40215</v>
      </c>
      <c r="B1237" s="27" t="s">
        <v>427</v>
      </c>
      <c r="C1237" s="27" t="s">
        <v>5464</v>
      </c>
      <c r="E1237" s="27">
        <v>-1</v>
      </c>
      <c r="F1237" s="27">
        <v>-1</v>
      </c>
      <c r="H1237" s="27">
        <v>24</v>
      </c>
      <c r="I1237" s="27" t="str">
        <f>IF(H1237="","",VLOOKUP(H1237,'#状态名词'!$A$2:$C$99,2))</f>
        <v>heal</v>
      </c>
      <c r="J1237" s="27" t="str">
        <f>IF(H1237="","",VLOOKUP(H1237,'#状态名词'!$A$2:$C$99,3))</f>
        <v>治疗效果+</v>
      </c>
      <c r="K1237" s="26" t="s">
        <v>5428</v>
      </c>
    </row>
    <row r="1238" spans="1:12">
      <c r="A1238" s="27">
        <v>40216</v>
      </c>
      <c r="B1238" s="27" t="s">
        <v>428</v>
      </c>
      <c r="C1238" s="27" t="s">
        <v>4615</v>
      </c>
      <c r="E1238" s="27">
        <v>1</v>
      </c>
      <c r="F1238" s="27">
        <v>3</v>
      </c>
      <c r="H1238" s="27">
        <v>17</v>
      </c>
      <c r="I1238" s="27" t="str">
        <f>IF(H1238="","",VLOOKUP(H1238,'#状态名词'!$A$2:$C$99,2))</f>
        <v>adi</v>
      </c>
      <c r="J1238" s="27" t="str">
        <f>IF(H1238="","",VLOOKUP(H1238,'#状态名词'!$A$2:$C$99,3))</f>
        <v>物穿</v>
      </c>
      <c r="K1238" s="26" t="s">
        <v>5465</v>
      </c>
    </row>
    <row r="1239" spans="1:12">
      <c r="B1239" s="27" t="s">
        <v>84</v>
      </c>
      <c r="E1239" s="27">
        <v>1</v>
      </c>
      <c r="F1239" s="27">
        <v>3</v>
      </c>
      <c r="H1239" s="27">
        <v>21</v>
      </c>
      <c r="I1239" s="27" t="str">
        <f>IF(H1239="","",VLOOKUP(H1239,'#状态名词'!$A$2:$C$99,2))</f>
        <v>speed</v>
      </c>
      <c r="J1239" s="27" t="str">
        <f>IF(H1239="","",VLOOKUP(H1239,'#状态名词'!$A$2:$C$99,3))</f>
        <v>速度+</v>
      </c>
      <c r="K1239" s="26" t="s">
        <v>5466</v>
      </c>
    </row>
    <row r="1240" spans="1:12">
      <c r="A1240" s="27">
        <v>40217</v>
      </c>
      <c r="B1240" s="27" t="s">
        <v>429</v>
      </c>
      <c r="C1240" s="27" t="s">
        <v>4616</v>
      </c>
      <c r="E1240" s="27">
        <v>-1</v>
      </c>
      <c r="F1240" s="27">
        <v>-1</v>
      </c>
      <c r="H1240" s="27">
        <v>28</v>
      </c>
      <c r="I1240" s="27" t="str">
        <f>IF(H1240="","",VLOOKUP(H1240,'#状态名词'!$A$2:$C$99,2))</f>
        <v>lightup</v>
      </c>
      <c r="J1240" s="27" t="str">
        <f>IF(H1240="","",VLOOKUP(H1240,'#状态名词'!$A$2:$C$99,3))</f>
        <v>光属性强化</v>
      </c>
      <c r="K1240" s="26" t="s">
        <v>5467</v>
      </c>
    </row>
    <row r="1241" spans="1:12">
      <c r="B1241" s="27" t="s">
        <v>84</v>
      </c>
      <c r="E1241" s="27">
        <v>-1</v>
      </c>
      <c r="F1241" s="27">
        <v>-1</v>
      </c>
      <c r="H1241" s="27">
        <v>29</v>
      </c>
      <c r="I1241" s="27" t="str">
        <f>IF(H1241="","",VLOOKUP(H1241,'#状态名词'!$A$2:$C$99,2))</f>
        <v>darkup</v>
      </c>
      <c r="J1241" s="27" t="str">
        <f>IF(H1241="","",VLOOKUP(H1241,'#状态名词'!$A$2:$C$99,3))</f>
        <v>暗属性强化</v>
      </c>
      <c r="K1241" s="26" t="s">
        <v>5467</v>
      </c>
    </row>
    <row r="1242" spans="1:12">
      <c r="A1242" s="27">
        <v>40218</v>
      </c>
      <c r="B1242" s="27" t="s">
        <v>430</v>
      </c>
      <c r="C1242" s="27" t="s">
        <v>5468</v>
      </c>
      <c r="E1242" s="27">
        <v>-1</v>
      </c>
      <c r="F1242" s="27">
        <v>-1</v>
      </c>
      <c r="H1242" s="27">
        <v>1</v>
      </c>
      <c r="I1242" s="27" t="str">
        <f>IF(H1242="","",VLOOKUP(H1242,'#状态名词'!$A$2:$C$99,2))</f>
        <v>skilldama</v>
      </c>
      <c r="J1242" s="27" t="str">
        <f>IF(H1242="","",VLOOKUP(H1242,'#状态名词'!$A$2:$C$99,3))</f>
        <v>技能伤害和治疗效果提升B类</v>
      </c>
      <c r="K1242" s="26" t="s">
        <v>5435</v>
      </c>
      <c r="L1242" s="27">
        <v>40201</v>
      </c>
    </row>
    <row r="1243" spans="1:12">
      <c r="A1243" s="27">
        <v>40220</v>
      </c>
      <c r="B1243" s="27" t="s">
        <v>7464</v>
      </c>
      <c r="C1243" s="27" t="s">
        <v>5469</v>
      </c>
      <c r="E1243" s="27">
        <v>-1</v>
      </c>
      <c r="F1243" s="27">
        <v>-1</v>
      </c>
      <c r="H1243" s="27">
        <v>21</v>
      </c>
      <c r="I1243" s="27" t="str">
        <f>IF(H1243="","",VLOOKUP(H1243,'#状态名词'!$A$2:$C$99,2))</f>
        <v>speed</v>
      </c>
      <c r="J1243" s="27" t="str">
        <f>IF(H1243="","",VLOOKUP(H1243,'#状态名词'!$A$2:$C$99,3))</f>
        <v>速度+</v>
      </c>
      <c r="K1243" s="26" t="s">
        <v>5465</v>
      </c>
    </row>
    <row r="1244" spans="1:12">
      <c r="A1244" s="27">
        <v>40301</v>
      </c>
      <c r="B1244" s="27" t="s">
        <v>431</v>
      </c>
      <c r="C1244" s="27" t="s">
        <v>5470</v>
      </c>
      <c r="E1244" s="27">
        <v>-1</v>
      </c>
      <c r="F1244" s="27">
        <v>-1</v>
      </c>
      <c r="H1244" s="27">
        <v>63</v>
      </c>
      <c r="I1244" s="27" t="str">
        <f>IF(H1244="","",VLOOKUP(H1244,'#状态名词'!$A$2:$C$99,2))</f>
        <v>comboup</v>
      </c>
      <c r="J1244" s="27" t="str">
        <f>IF(H1244="","",VLOOKUP(H1244,'#状态名词'!$A$2:$C$99,3))</f>
        <v>连锁技能强化</v>
      </c>
      <c r="K1244" s="26" t="s">
        <v>597</v>
      </c>
    </row>
    <row r="1245" spans="1:12">
      <c r="A1245" s="27">
        <v>40302</v>
      </c>
      <c r="B1245" s="27" t="s">
        <v>5471</v>
      </c>
      <c r="C1245" s="27" t="s">
        <v>5472</v>
      </c>
      <c r="E1245" s="27">
        <v>-1</v>
      </c>
      <c r="F1245" s="27">
        <v>-1</v>
      </c>
      <c r="H1245" s="27">
        <v>62</v>
      </c>
      <c r="I1245" s="27" t="str">
        <f>IF(H1245="","",VLOOKUP(H1245,'#状态名词'!$A$2:$C$99,2))</f>
        <v>team_ap</v>
      </c>
      <c r="J1245" s="27" t="str">
        <f>IF(H1245="","",VLOOKUP(H1245,'#状态名词'!$A$2:$C$99,3))</f>
        <v>队伍AP</v>
      </c>
      <c r="K1245" s="26" t="s">
        <v>5457</v>
      </c>
    </row>
    <row r="1246" spans="1:12">
      <c r="B1246" s="27" t="s">
        <v>84</v>
      </c>
      <c r="E1246" s="27">
        <v>-1</v>
      </c>
      <c r="F1246" s="27">
        <v>-1</v>
      </c>
      <c r="H1246" s="27">
        <v>18</v>
      </c>
      <c r="I1246" s="27" t="str">
        <f>IF(H1246="","",VLOOKUP(H1246,'#状态名词'!$A$2:$C$99,2))</f>
        <v>api</v>
      </c>
      <c r="J1246" s="27" t="str">
        <f>IF(H1246="","",VLOOKUP(H1246,'#状态名词'!$A$2:$C$99,3))</f>
        <v>法穿</v>
      </c>
      <c r="K1246" s="26" t="s">
        <v>5440</v>
      </c>
    </row>
    <row r="1247" spans="1:12">
      <c r="A1247" s="27">
        <v>40303</v>
      </c>
      <c r="B1247" s="27" t="s">
        <v>432</v>
      </c>
      <c r="C1247" s="27" t="s">
        <v>5473</v>
      </c>
      <c r="E1247" s="27">
        <v>-1</v>
      </c>
      <c r="F1247" s="27">
        <v>-1</v>
      </c>
      <c r="H1247" s="27">
        <v>67</v>
      </c>
      <c r="I1247" s="27" t="str">
        <f>IF(H1247="","",VLOOKUP(H1247,'#状态名词'!$A$2:$C$99,2))</f>
        <v>inte</v>
      </c>
      <c r="J1247" s="27" t="str">
        <f>IF(H1247="","",VLOOKUP(H1247,'#状态名词'!$A$2:$C$99,3))</f>
        <v>智力</v>
      </c>
      <c r="K1247" s="26" t="s">
        <v>5474</v>
      </c>
    </row>
    <row r="1248" spans="1:12">
      <c r="B1248" s="27" t="s">
        <v>84</v>
      </c>
      <c r="H1248" s="27">
        <v>19</v>
      </c>
      <c r="I1248" s="27" t="str">
        <f>IF(H1248="","",VLOOKUP(H1248,'#状态名词'!$A$2:$C$99,2))</f>
        <v>rating</v>
      </c>
      <c r="J1248" s="27" t="str">
        <f>IF(H1248="","",VLOOKUP(H1248,'#状态名词'!$A$2:$C$99,3))</f>
        <v>暴击+</v>
      </c>
      <c r="K1248" s="26" t="s">
        <v>5475</v>
      </c>
    </row>
    <row r="1249" spans="1:11">
      <c r="A1249" s="27">
        <v>40305</v>
      </c>
      <c r="B1249" s="27" t="s">
        <v>434</v>
      </c>
      <c r="C1249" s="27" t="s">
        <v>4622</v>
      </c>
      <c r="E1249" s="27">
        <v>-1</v>
      </c>
      <c r="F1249" s="27">
        <v>-1</v>
      </c>
      <c r="H1249" s="27">
        <v>25</v>
      </c>
      <c r="I1249" s="27" t="str">
        <f>IF(H1249="","",VLOOKUP(H1249,'#状态名词'!$A$2:$C$99,2))</f>
        <v>duochong</v>
      </c>
      <c r="J1249" s="27" t="str">
        <f>IF(H1249="","",VLOOKUP(H1249,'#状态名词'!$A$2:$C$99,3))</f>
        <v>多重施法</v>
      </c>
      <c r="K1249" s="26" t="s">
        <v>5438</v>
      </c>
    </row>
    <row r="1250" spans="1:11">
      <c r="A1250" s="27">
        <v>40306</v>
      </c>
      <c r="B1250" s="27" t="s">
        <v>435</v>
      </c>
      <c r="C1250" s="27" t="s">
        <v>4623</v>
      </c>
      <c r="E1250" s="27">
        <v>-1</v>
      </c>
      <c r="F1250" s="27">
        <v>0</v>
      </c>
      <c r="H1250" s="27">
        <v>62</v>
      </c>
      <c r="I1250" s="27" t="str">
        <f>IF(H1250="","",VLOOKUP(H1250,'#状态名词'!$A$2:$C$99,2))</f>
        <v>team_ap</v>
      </c>
      <c r="J1250" s="27" t="str">
        <f>IF(H1250="","",VLOOKUP(H1250,'#状态名词'!$A$2:$C$99,3))</f>
        <v>队伍AP</v>
      </c>
      <c r="K1250" s="26" t="s">
        <v>5476</v>
      </c>
    </row>
    <row r="1251" spans="1:11">
      <c r="A1251" s="27">
        <v>40307</v>
      </c>
      <c r="B1251" s="27" t="s">
        <v>4624</v>
      </c>
      <c r="C1251" s="27" t="s">
        <v>4625</v>
      </c>
      <c r="E1251" s="27">
        <v>-1</v>
      </c>
      <c r="F1251" s="27">
        <v>-1</v>
      </c>
      <c r="H1251" s="27">
        <v>58</v>
      </c>
      <c r="I1251" s="27" t="str">
        <f>IF(H1251="","",VLOOKUP(H1251,'#状态名词'!$A$2:$C$99,2))</f>
        <v>vit</v>
      </c>
      <c r="J1251" s="27" t="str">
        <f>IF(H1251="","",VLOOKUP(H1251,'#状态名词'!$A$2:$C$99,3))</f>
        <v>体力</v>
      </c>
      <c r="K1251" s="26" t="s">
        <v>5477</v>
      </c>
    </row>
    <row r="1252" spans="1:11">
      <c r="A1252" s="27">
        <v>40308</v>
      </c>
      <c r="B1252" s="27" t="s">
        <v>4626</v>
      </c>
      <c r="C1252" s="27" t="s">
        <v>4627</v>
      </c>
      <c r="E1252" s="27">
        <v>-1</v>
      </c>
      <c r="F1252" s="27">
        <v>-1</v>
      </c>
      <c r="H1252" s="27">
        <v>21</v>
      </c>
      <c r="I1252" s="27" t="str">
        <f>IF(H1252="","",VLOOKUP(H1252,'#状态名词'!$A$2:$C$99,2))</f>
        <v>speed</v>
      </c>
      <c r="J1252" s="27" t="str">
        <f>IF(H1252="","",VLOOKUP(H1252,'#状态名词'!$A$2:$C$99,3))</f>
        <v>速度+</v>
      </c>
      <c r="K1252" s="26" t="s">
        <v>5478</v>
      </c>
    </row>
    <row r="1253" spans="1:11">
      <c r="B1253" s="27" t="s">
        <v>84</v>
      </c>
      <c r="E1253" s="27">
        <v>-1</v>
      </c>
      <c r="F1253" s="27">
        <v>-1</v>
      </c>
      <c r="H1253" s="27">
        <v>13</v>
      </c>
      <c r="I1253" s="27" t="str">
        <f>IF(H1253="","",VLOOKUP(H1253,'#状态名词'!$A$2:$C$99,2))</f>
        <v>arm</v>
      </c>
      <c r="J1253" s="27" t="str">
        <f>IF(H1253="","",VLOOKUP(H1253,'#状态名词'!$A$2:$C$99,3))</f>
        <v>ARM+</v>
      </c>
      <c r="K1253" s="26" t="s">
        <v>5479</v>
      </c>
    </row>
    <row r="1254" spans="1:11">
      <c r="A1254" s="27">
        <v>40309</v>
      </c>
      <c r="B1254" s="27" t="s">
        <v>436</v>
      </c>
      <c r="C1254" s="27" t="s">
        <v>4628</v>
      </c>
      <c r="E1254" s="27">
        <v>-1</v>
      </c>
      <c r="F1254" s="27">
        <v>-1</v>
      </c>
      <c r="H1254" s="27">
        <v>15</v>
      </c>
      <c r="I1254" s="27" t="str">
        <f>IF(H1254="","",VLOOKUP(H1254,'#状态名词'!$A$2:$C$99,2))</f>
        <v>mr</v>
      </c>
      <c r="J1254" s="27" t="str">
        <f>IF(H1254="","",VLOOKUP(H1254,'#状态名词'!$A$2:$C$99,3))</f>
        <v>MR+</v>
      </c>
      <c r="K1254" s="26" t="s">
        <v>5438</v>
      </c>
    </row>
    <row r="1255" spans="1:11">
      <c r="A1255" s="27">
        <v>40310</v>
      </c>
      <c r="B1255" s="27" t="s">
        <v>5480</v>
      </c>
      <c r="C1255" s="27" t="s">
        <v>5481</v>
      </c>
      <c r="E1255" s="27">
        <v>-1</v>
      </c>
      <c r="F1255" s="27">
        <v>-1</v>
      </c>
      <c r="H1255" s="27">
        <v>13</v>
      </c>
      <c r="I1255" s="27" t="str">
        <f>IF(H1255="","",VLOOKUP(H1255,'#状态名词'!$A$2:$C$99,2))</f>
        <v>arm</v>
      </c>
      <c r="J1255" s="27" t="str">
        <f>IF(H1255="","",VLOOKUP(H1255,'#状态名词'!$A$2:$C$99,3))</f>
        <v>ARM+</v>
      </c>
      <c r="K1255" s="26" t="s">
        <v>5479</v>
      </c>
    </row>
    <row r="1256" spans="1:11">
      <c r="B1256" s="27" t="s">
        <v>84</v>
      </c>
      <c r="E1256" s="27">
        <v>-1</v>
      </c>
      <c r="F1256" s="27">
        <v>-1</v>
      </c>
      <c r="H1256" s="27">
        <v>15</v>
      </c>
      <c r="I1256" s="27" t="str">
        <f>IF(H1256="","",VLOOKUP(H1256,'#状态名词'!$A$2:$C$99,2))</f>
        <v>mr</v>
      </c>
      <c r="J1256" s="27" t="str">
        <f>IF(H1256="","",VLOOKUP(H1256,'#状态名词'!$A$2:$C$99,3))</f>
        <v>MR+</v>
      </c>
      <c r="K1256" s="26" t="s">
        <v>5479</v>
      </c>
    </row>
    <row r="1257" spans="1:11">
      <c r="A1257" s="27">
        <v>40311</v>
      </c>
      <c r="B1257" s="27" t="s">
        <v>437</v>
      </c>
      <c r="C1257" s="27" t="s">
        <v>2059</v>
      </c>
      <c r="E1257" s="27">
        <v>-1</v>
      </c>
      <c r="F1257" s="27">
        <v>-1</v>
      </c>
      <c r="H1257" s="27">
        <v>54</v>
      </c>
      <c r="I1257" s="27" t="str">
        <f>IF(H1257="","",VLOOKUP(H1257,'#状态名词'!$A$2:$C$99,2))</f>
        <v>spi</v>
      </c>
      <c r="J1257" s="27" t="str">
        <f>IF(H1257="","",VLOOKUP(H1257,'#状态名词'!$A$2:$C$99,3))</f>
        <v>精神</v>
      </c>
      <c r="K1257" s="26" t="s">
        <v>5482</v>
      </c>
    </row>
    <row r="1258" spans="1:11">
      <c r="A1258" s="27">
        <v>40312</v>
      </c>
      <c r="B1258" s="27" t="s">
        <v>438</v>
      </c>
      <c r="C1258" s="27" t="s">
        <v>2060</v>
      </c>
      <c r="E1258" s="27">
        <v>5</v>
      </c>
      <c r="F1258" s="27">
        <v>-1</v>
      </c>
      <c r="H1258" s="27">
        <v>54</v>
      </c>
      <c r="I1258" s="27" t="str">
        <f>IF(H1258="","",VLOOKUP(H1258,'#状态名词'!$A$2:$C$99,2))</f>
        <v>spi</v>
      </c>
      <c r="J1258" s="27" t="str">
        <f>IF(H1258="","",VLOOKUP(H1258,'#状态名词'!$A$2:$C$99,3))</f>
        <v>精神</v>
      </c>
      <c r="K1258" s="26" t="s">
        <v>528</v>
      </c>
    </row>
    <row r="1259" spans="1:11">
      <c r="A1259" s="27">
        <v>40313</v>
      </c>
      <c r="B1259" s="27" t="s">
        <v>439</v>
      </c>
      <c r="C1259" s="27" t="s">
        <v>464</v>
      </c>
      <c r="E1259" s="27">
        <v>-1</v>
      </c>
      <c r="F1259" s="27">
        <v>-1</v>
      </c>
      <c r="H1259" s="27">
        <v>19</v>
      </c>
      <c r="I1259" s="27" t="str">
        <f>IF(H1259="","",VLOOKUP(H1259,'#状态名词'!$A$2:$C$99,2))</f>
        <v>rating</v>
      </c>
      <c r="J1259" s="27" t="str">
        <f>IF(H1259="","",VLOOKUP(H1259,'#状态名词'!$A$2:$C$99,3))</f>
        <v>暴击+</v>
      </c>
      <c r="K1259" s="26" t="s">
        <v>5428</v>
      </c>
    </row>
    <row r="1260" spans="1:11">
      <c r="A1260" s="27">
        <v>40314</v>
      </c>
      <c r="B1260" s="27" t="s">
        <v>4319</v>
      </c>
      <c r="C1260" s="27" t="s">
        <v>5483</v>
      </c>
      <c r="E1260" s="27">
        <v>-1</v>
      </c>
      <c r="F1260" s="27">
        <v>-1</v>
      </c>
      <c r="G1260" s="27">
        <v>40314</v>
      </c>
      <c r="I1260" s="27" t="str">
        <f>IF(H1260="","",VLOOKUP(H1260,'#状态名词'!$A$2:$C$99,2))</f>
        <v/>
      </c>
      <c r="J1260" s="27" t="str">
        <f>IF(H1260="","",VLOOKUP(H1260,'#状态名词'!$A$2:$C$99,3))</f>
        <v/>
      </c>
    </row>
    <row r="1261" spans="1:11">
      <c r="A1261" s="27">
        <v>40315</v>
      </c>
      <c r="B1261" s="27" t="s">
        <v>4630</v>
      </c>
      <c r="C1261" s="27" t="s">
        <v>4631</v>
      </c>
      <c r="E1261" s="27">
        <v>1</v>
      </c>
      <c r="F1261" s="27">
        <v>3</v>
      </c>
      <c r="H1261" s="27">
        <v>19</v>
      </c>
      <c r="I1261" s="27" t="str">
        <f>IF(H1261="","",VLOOKUP(H1261,'#状态名词'!$A$2:$C$99,2))</f>
        <v>rating</v>
      </c>
      <c r="J1261" s="27" t="str">
        <f>IF(H1261="","",VLOOKUP(H1261,'#状态名词'!$A$2:$C$99,3))</f>
        <v>暴击+</v>
      </c>
      <c r="K1261" s="26" t="s">
        <v>5484</v>
      </c>
    </row>
    <row r="1262" spans="1:11">
      <c r="B1262" s="27" t="s">
        <v>84</v>
      </c>
      <c r="H1262" s="27">
        <v>21</v>
      </c>
      <c r="I1262" s="27" t="str">
        <f>IF(H1262="","",VLOOKUP(H1262,'#状态名词'!$A$2:$C$99,2))</f>
        <v>speed</v>
      </c>
      <c r="J1262" s="27" t="str">
        <f>IF(H1262="","",VLOOKUP(H1262,'#状态名词'!$A$2:$C$99,3))</f>
        <v>速度+</v>
      </c>
      <c r="K1262" s="26" t="s">
        <v>5484</v>
      </c>
    </row>
    <row r="1263" spans="1:11">
      <c r="B1263" s="27" t="s">
        <v>84</v>
      </c>
      <c r="H1263" s="27">
        <v>2</v>
      </c>
      <c r="I1263" s="27" t="str">
        <f>IF(H1263="","",VLOOKUP(H1263,'#状态名词'!$A$2:$C$99,2))</f>
        <v>damaup</v>
      </c>
      <c r="J1263" s="27" t="str">
        <f>IF(H1263="","",VLOOKUP(H1263,'#状态名词'!$A$2:$C$99,3))</f>
        <v>伤害提升A类增伤</v>
      </c>
      <c r="K1263" s="26" t="s">
        <v>5485</v>
      </c>
    </row>
    <row r="1264" spans="1:11">
      <c r="A1264" s="27">
        <v>40317</v>
      </c>
      <c r="B1264" s="27" t="s">
        <v>441</v>
      </c>
      <c r="C1264" s="27" t="s">
        <v>442</v>
      </c>
      <c r="E1264" s="27">
        <v>10</v>
      </c>
      <c r="F1264" s="27">
        <v>-1</v>
      </c>
      <c r="H1264" s="27">
        <v>25</v>
      </c>
      <c r="I1264" s="27" t="str">
        <f>IF(H1264="","",VLOOKUP(H1264,'#状态名词'!$A$2:$C$99,2))</f>
        <v>duochong</v>
      </c>
      <c r="J1264" s="27" t="str">
        <f>IF(H1264="","",VLOOKUP(H1264,'#状态名词'!$A$2:$C$99,3))</f>
        <v>多重施法</v>
      </c>
      <c r="K1264" s="26" t="s">
        <v>5486</v>
      </c>
    </row>
    <row r="1265" spans="1:11">
      <c r="A1265" s="27">
        <v>40318</v>
      </c>
      <c r="B1265" s="27" t="s">
        <v>4632</v>
      </c>
      <c r="C1265" s="27" t="s">
        <v>4633</v>
      </c>
      <c r="E1265" s="27">
        <v>-1</v>
      </c>
      <c r="F1265" s="27">
        <v>-1</v>
      </c>
      <c r="H1265" s="27">
        <v>18</v>
      </c>
      <c r="I1265" s="27" t="str">
        <f>IF(H1265="","",VLOOKUP(H1265,'#状态名词'!$A$2:$C$99,2))</f>
        <v>api</v>
      </c>
      <c r="J1265" s="27" t="str">
        <f>IF(H1265="","",VLOOKUP(H1265,'#状态名词'!$A$2:$C$99,3))</f>
        <v>法穿</v>
      </c>
      <c r="K1265" s="26" t="s">
        <v>5438</v>
      </c>
    </row>
    <row r="1266" spans="1:11">
      <c r="A1266" s="27">
        <v>40319</v>
      </c>
      <c r="B1266" s="27">
        <v>0</v>
      </c>
      <c r="C1266" s="27" t="s">
        <v>2058</v>
      </c>
      <c r="E1266" s="27">
        <v>-1</v>
      </c>
      <c r="F1266" s="27">
        <v>1</v>
      </c>
      <c r="H1266" s="27">
        <v>54</v>
      </c>
      <c r="I1266" s="27" t="str">
        <f>IF(H1266="","",VLOOKUP(H1266,'#状态名词'!$A$2:$C$99,2))</f>
        <v>spi</v>
      </c>
      <c r="J1266" s="27" t="str">
        <f>IF(H1266="","",VLOOKUP(H1266,'#状态名词'!$A$2:$C$99,3))</f>
        <v>精神</v>
      </c>
      <c r="K1266" s="26" t="s">
        <v>5474</v>
      </c>
    </row>
    <row r="1267" spans="1:11">
      <c r="A1267" s="27">
        <v>40401</v>
      </c>
      <c r="B1267" s="27" t="s">
        <v>443</v>
      </c>
      <c r="C1267" s="27" t="s">
        <v>4634</v>
      </c>
      <c r="E1267" s="27">
        <v>-1</v>
      </c>
      <c r="F1267" s="27">
        <v>-1</v>
      </c>
      <c r="H1267" s="27">
        <v>65</v>
      </c>
      <c r="I1267" s="27" t="str">
        <f>IF(H1267="","",VLOOKUP(H1267,'#状态名词'!$A$2:$C$99,2))</f>
        <v>str</v>
      </c>
      <c r="J1267" s="27" t="str">
        <f>IF(H1267="","",VLOOKUP(H1267,'#状态名词'!$A$2:$C$99,3))</f>
        <v>力量</v>
      </c>
      <c r="K1267" s="26" t="s">
        <v>5460</v>
      </c>
    </row>
    <row r="1268" spans="1:11">
      <c r="A1268" s="27">
        <v>40402</v>
      </c>
      <c r="B1268" s="27" t="s">
        <v>444</v>
      </c>
      <c r="C1268" s="27" t="s">
        <v>5487</v>
      </c>
      <c r="E1268" s="27">
        <v>-1</v>
      </c>
      <c r="F1268" s="27">
        <v>-1</v>
      </c>
      <c r="H1268" s="27">
        <v>15</v>
      </c>
      <c r="I1268" s="27" t="str">
        <f>IF(H1268="","",VLOOKUP(H1268,'#状态名词'!$A$2:$C$99,2))</f>
        <v>mr</v>
      </c>
      <c r="J1268" s="27" t="str">
        <f>IF(H1268="","",VLOOKUP(H1268,'#状态名词'!$A$2:$C$99,3))</f>
        <v>MR+</v>
      </c>
      <c r="K1268" s="26" t="s">
        <v>5438</v>
      </c>
    </row>
    <row r="1269" spans="1:11">
      <c r="A1269" s="27">
        <v>40403</v>
      </c>
      <c r="B1269" s="27" t="s">
        <v>445</v>
      </c>
      <c r="C1269" s="27" t="s">
        <v>5488</v>
      </c>
      <c r="E1269" s="27">
        <v>1</v>
      </c>
      <c r="F1269" s="27">
        <v>1</v>
      </c>
      <c r="H1269" s="27">
        <v>13</v>
      </c>
      <c r="I1269" s="27" t="str">
        <f>IF(H1269="","",VLOOKUP(H1269,'#状态名词'!$A$2:$C$99,2))</f>
        <v>arm</v>
      </c>
      <c r="J1269" s="27" t="str">
        <f>IF(H1269="","",VLOOKUP(H1269,'#状态名词'!$A$2:$C$99,3))</f>
        <v>ARM+</v>
      </c>
      <c r="K1269" s="26" t="s">
        <v>5489</v>
      </c>
    </row>
    <row r="1270" spans="1:11">
      <c r="B1270" s="27" t="s">
        <v>84</v>
      </c>
      <c r="E1270" s="27">
        <v>1</v>
      </c>
      <c r="F1270" s="27">
        <v>1</v>
      </c>
      <c r="H1270" s="27">
        <v>21</v>
      </c>
      <c r="I1270" s="27" t="str">
        <f>IF(H1270="","",VLOOKUP(H1270,'#状态名词'!$A$2:$C$99,2))</f>
        <v>speed</v>
      </c>
      <c r="J1270" s="27" t="str">
        <f>IF(H1270="","",VLOOKUP(H1270,'#状态名词'!$A$2:$C$99,3))</f>
        <v>速度+</v>
      </c>
      <c r="K1270" s="26" t="s">
        <v>5490</v>
      </c>
    </row>
    <row r="1271" spans="1:11">
      <c r="A1271" s="27">
        <v>40405</v>
      </c>
      <c r="B1271" s="27" t="s">
        <v>4637</v>
      </c>
      <c r="C1271" s="27" t="s">
        <v>2096</v>
      </c>
      <c r="E1271" s="27">
        <v>-1</v>
      </c>
      <c r="F1271" s="27">
        <v>-1</v>
      </c>
      <c r="H1271" s="27">
        <v>54</v>
      </c>
      <c r="I1271" s="27" t="str">
        <f>IF(H1271="","",VLOOKUP(H1271,'#状态名词'!$A$2:$C$99,2))</f>
        <v>spi</v>
      </c>
      <c r="J1271" s="27" t="str">
        <f>IF(H1271="","",VLOOKUP(H1271,'#状态名词'!$A$2:$C$99,3))</f>
        <v>精神</v>
      </c>
      <c r="K1271" s="26" t="s">
        <v>5482</v>
      </c>
    </row>
    <row r="1272" spans="1:11">
      <c r="A1272" s="27">
        <v>40406</v>
      </c>
      <c r="B1272" s="27" t="s">
        <v>4638</v>
      </c>
      <c r="C1272" s="27" t="s">
        <v>2097</v>
      </c>
      <c r="E1272" s="27">
        <v>-1</v>
      </c>
      <c r="F1272" s="27">
        <v>3</v>
      </c>
      <c r="H1272" s="27">
        <v>54</v>
      </c>
      <c r="I1272" s="27" t="str">
        <f>IF(H1272="","",VLOOKUP(H1272,'#状态名词'!$A$2:$C$99,2))</f>
        <v>spi</v>
      </c>
      <c r="J1272" s="27" t="str">
        <f>IF(H1272="","",VLOOKUP(H1272,'#状态名词'!$A$2:$C$99,3))</f>
        <v>精神</v>
      </c>
      <c r="K1272" s="26" t="s">
        <v>5442</v>
      </c>
    </row>
    <row r="1273" spans="1:11">
      <c r="A1273" s="27">
        <v>40408</v>
      </c>
      <c r="B1273" s="27" t="s">
        <v>446</v>
      </c>
      <c r="C1273" s="27" t="s">
        <v>447</v>
      </c>
      <c r="E1273" s="27">
        <v>-1</v>
      </c>
      <c r="F1273" s="27">
        <v>-1</v>
      </c>
      <c r="H1273" s="27">
        <v>36</v>
      </c>
      <c r="I1273" s="27" t="str">
        <f>IF(H1273="","",VLOOKUP(H1273,'#状态名词'!$A$2:$C$99,2))</f>
        <v>atk_damage</v>
      </c>
      <c r="J1273" s="27" t="str">
        <f>IF(H1273="","",VLOOKUP(H1273,'#状态名词'!$A$2:$C$99,3))</f>
        <v>攻击附加伤害</v>
      </c>
      <c r="K1273" s="26" t="s">
        <v>5491</v>
      </c>
    </row>
    <row r="1274" spans="1:11">
      <c r="A1274" s="27">
        <v>40409</v>
      </c>
      <c r="B1274" s="27" t="s">
        <v>5492</v>
      </c>
      <c r="C1274" s="27" t="s">
        <v>7773</v>
      </c>
      <c r="E1274" s="27">
        <v>-1</v>
      </c>
      <c r="F1274" s="27">
        <v>0</v>
      </c>
      <c r="H1274" s="27">
        <v>39</v>
      </c>
      <c r="I1274" s="27" t="str">
        <f>IF(H1274="","",VLOOKUP(H1274,'#状态名词'!$A$2:$C$99,2))</f>
        <v>action_heal</v>
      </c>
      <c r="J1274" s="27" t="str">
        <f>IF(H1274="","",VLOOKUP(H1274,'#状态名词'!$A$2:$C$99,3))</f>
        <v>行动时治疗</v>
      </c>
      <c r="K1274" s="26" t="s">
        <v>7774</v>
      </c>
    </row>
    <row r="1275" spans="1:11">
      <c r="A1275" s="27">
        <v>40411</v>
      </c>
      <c r="B1275" s="27" t="s">
        <v>449</v>
      </c>
      <c r="C1275" s="27" t="s">
        <v>4643</v>
      </c>
      <c r="E1275" s="27">
        <v>-1</v>
      </c>
      <c r="F1275" s="27">
        <v>-1</v>
      </c>
      <c r="H1275" s="27">
        <v>24</v>
      </c>
      <c r="I1275" s="27" t="str">
        <f>IF(H1275="","",VLOOKUP(H1275,'#状态名词'!$A$2:$C$99,2))</f>
        <v>heal</v>
      </c>
      <c r="J1275" s="27" t="str">
        <f>IF(H1275="","",VLOOKUP(H1275,'#状态名词'!$A$2:$C$99,3))</f>
        <v>治疗效果+</v>
      </c>
      <c r="K1275" s="26" t="s">
        <v>5494</v>
      </c>
    </row>
    <row r="1276" spans="1:11">
      <c r="A1276" s="27">
        <v>40412</v>
      </c>
      <c r="B1276" s="27" t="s">
        <v>450</v>
      </c>
      <c r="C1276" s="27" t="s">
        <v>4644</v>
      </c>
      <c r="E1276" s="27">
        <v>-1</v>
      </c>
      <c r="F1276" s="27">
        <v>-1</v>
      </c>
      <c r="H1276" s="27">
        <v>25</v>
      </c>
      <c r="I1276" s="27" t="str">
        <f>IF(H1276="","",VLOOKUP(H1276,'#状态名词'!$A$2:$C$99,2))</f>
        <v>duochong</v>
      </c>
      <c r="J1276" s="27" t="str">
        <f>IF(H1276="","",VLOOKUP(H1276,'#状态名词'!$A$2:$C$99,3))</f>
        <v>多重施法</v>
      </c>
      <c r="K1276" s="26" t="s">
        <v>5495</v>
      </c>
    </row>
    <row r="1277" spans="1:11">
      <c r="A1277" s="27">
        <v>40413</v>
      </c>
      <c r="B1277" s="27" t="s">
        <v>4645</v>
      </c>
      <c r="C1277" s="27" t="s">
        <v>2098</v>
      </c>
      <c r="E1277" s="27">
        <v>-1</v>
      </c>
      <c r="F1277" s="27">
        <v>-1</v>
      </c>
      <c r="H1277" s="27">
        <v>54</v>
      </c>
      <c r="I1277" s="27" t="str">
        <f>IF(H1277="","",VLOOKUP(H1277,'#状态名词'!$A$2:$C$99,2))</f>
        <v>spi</v>
      </c>
      <c r="J1277" s="27" t="str">
        <f>IF(H1277="","",VLOOKUP(H1277,'#状态名词'!$A$2:$C$99,3))</f>
        <v>精神</v>
      </c>
      <c r="K1277" s="26" t="s">
        <v>5496</v>
      </c>
    </row>
    <row r="1278" spans="1:11">
      <c r="A1278" s="27">
        <v>40414</v>
      </c>
      <c r="B1278" s="27" t="s">
        <v>451</v>
      </c>
      <c r="C1278" s="27" t="s">
        <v>2062</v>
      </c>
      <c r="E1278" s="27">
        <v>10</v>
      </c>
      <c r="F1278" s="27">
        <v>-1</v>
      </c>
      <c r="H1278" s="27">
        <v>65</v>
      </c>
      <c r="I1278" s="27" t="str">
        <f>IF(H1278="","",VLOOKUP(H1278,'#状态名词'!$A$2:$C$99,2))</f>
        <v>str</v>
      </c>
      <c r="J1278" s="27" t="str">
        <f>IF(H1278="","",VLOOKUP(H1278,'#状态名词'!$A$2:$C$99,3))</f>
        <v>力量</v>
      </c>
      <c r="K1278" s="26" t="s">
        <v>5497</v>
      </c>
    </row>
    <row r="1279" spans="1:11">
      <c r="B1279" s="27" t="s">
        <v>84</v>
      </c>
      <c r="H1279" s="27">
        <v>67</v>
      </c>
      <c r="I1279" s="27" t="str">
        <f>IF(H1279="","",VLOOKUP(H1279,'#状态名词'!$A$2:$C$99,2))</f>
        <v>inte</v>
      </c>
      <c r="J1279" s="27" t="str">
        <f>IF(H1279="","",VLOOKUP(H1279,'#状态名词'!$A$2:$C$99,3))</f>
        <v>智力</v>
      </c>
      <c r="K1279" s="26" t="s">
        <v>5497</v>
      </c>
    </row>
    <row r="1280" spans="1:11">
      <c r="A1280" s="27">
        <v>40415</v>
      </c>
      <c r="B1280" s="27" t="s">
        <v>4646</v>
      </c>
      <c r="C1280" s="27" t="s">
        <v>4647</v>
      </c>
      <c r="E1280" s="27">
        <v>1</v>
      </c>
      <c r="F1280" s="27">
        <v>0</v>
      </c>
      <c r="H1280" s="27">
        <v>13</v>
      </c>
      <c r="I1280" s="27" t="str">
        <f>IF(H1280="","",VLOOKUP(H1280,'#状态名词'!$A$2:$C$99,2))</f>
        <v>arm</v>
      </c>
      <c r="J1280" s="27" t="str">
        <f>IF(H1280="","",VLOOKUP(H1280,'#状态名词'!$A$2:$C$99,3))</f>
        <v>ARM+</v>
      </c>
      <c r="K1280" s="26" t="s">
        <v>5498</v>
      </c>
    </row>
    <row r="1281" spans="1:11">
      <c r="B1281" s="27" t="s">
        <v>84</v>
      </c>
      <c r="H1281" s="27">
        <v>15</v>
      </c>
      <c r="I1281" s="27" t="str">
        <f>IF(H1281="","",VLOOKUP(H1281,'#状态名词'!$A$2:$C$99,2))</f>
        <v>mr</v>
      </c>
      <c r="J1281" s="27" t="str">
        <f>IF(H1281="","",VLOOKUP(H1281,'#状态名词'!$A$2:$C$99,3))</f>
        <v>MR+</v>
      </c>
      <c r="K1281" s="26" t="s">
        <v>5498</v>
      </c>
    </row>
    <row r="1282" spans="1:11">
      <c r="A1282" s="27">
        <v>40416</v>
      </c>
      <c r="B1282" s="20" t="s">
        <v>4648</v>
      </c>
      <c r="C1282" s="21" t="s">
        <v>7775</v>
      </c>
      <c r="E1282" s="27">
        <v>-1</v>
      </c>
      <c r="F1282" s="27">
        <v>-1</v>
      </c>
      <c r="H1282" s="27">
        <v>13</v>
      </c>
      <c r="I1282" s="27" t="str">
        <f>IF(H1282="","",VLOOKUP(H1282,'#状态名词'!$A$2:$C$99,2))</f>
        <v>arm</v>
      </c>
      <c r="J1282" s="27" t="str">
        <f>IF(H1282="","",VLOOKUP(H1282,'#状态名词'!$A$2:$C$99,3))</f>
        <v>ARM+</v>
      </c>
      <c r="K1282" s="26" t="s">
        <v>7776</v>
      </c>
    </row>
    <row r="1283" spans="1:11">
      <c r="B1283" s="20"/>
      <c r="C1283" s="21"/>
      <c r="H1283" s="27">
        <v>15</v>
      </c>
      <c r="I1283" s="27" t="str">
        <f>IF(H1283="","",VLOOKUP(H1283,'#状态名词'!$A$2:$C$99,2))</f>
        <v>mr</v>
      </c>
      <c r="J1283" s="27" t="str">
        <f>IF(H1283="","",VLOOKUP(H1283,'#状态名词'!$A$2:$C$99,3))</f>
        <v>MR+</v>
      </c>
      <c r="K1283" s="26" t="s">
        <v>7776</v>
      </c>
    </row>
    <row r="1284" spans="1:11">
      <c r="A1284" s="27">
        <v>40417</v>
      </c>
      <c r="B1284" s="27" t="s">
        <v>452</v>
      </c>
      <c r="C1284" s="27" t="s">
        <v>2063</v>
      </c>
      <c r="E1284" s="27">
        <v>20</v>
      </c>
      <c r="F1284" s="27">
        <v>-1</v>
      </c>
      <c r="H1284" s="27">
        <v>54</v>
      </c>
      <c r="I1284" s="27" t="str">
        <f>IF(H1284="","",VLOOKUP(H1284,'#状态名词'!$A$2:$C$99,2))</f>
        <v>spi</v>
      </c>
      <c r="J1284" s="27" t="str">
        <f>IF(H1284="","",VLOOKUP(H1284,'#状态名词'!$A$2:$C$99,3))</f>
        <v>精神</v>
      </c>
      <c r="K1284" s="26" t="s">
        <v>5499</v>
      </c>
    </row>
    <row r="1285" spans="1:11">
      <c r="A1285" s="27">
        <v>40418</v>
      </c>
      <c r="B1285" s="27" t="s">
        <v>453</v>
      </c>
      <c r="C1285" s="27" t="s">
        <v>5500</v>
      </c>
      <c r="E1285" s="27">
        <v>100</v>
      </c>
      <c r="F1285" s="27">
        <v>-1</v>
      </c>
      <c r="H1285" s="27">
        <v>13</v>
      </c>
      <c r="I1285" s="27" t="str">
        <f>IF(H1285="","",VLOOKUP(H1285,'#状态名词'!$A$2:$C$99,2))</f>
        <v>arm</v>
      </c>
      <c r="J1285" s="27" t="str">
        <f>IF(H1285="","",VLOOKUP(H1285,'#状态名词'!$A$2:$C$99,3))</f>
        <v>ARM+</v>
      </c>
      <c r="K1285" s="26" t="s">
        <v>5501</v>
      </c>
    </row>
    <row r="1286" spans="1:11">
      <c r="B1286" s="27" t="s">
        <v>84</v>
      </c>
      <c r="H1286" s="27">
        <v>15</v>
      </c>
      <c r="I1286" s="27" t="str">
        <f>IF(H1286="","",VLOOKUP(H1286,'#状态名词'!$A$2:$C$99,2))</f>
        <v>mr</v>
      </c>
      <c r="J1286" s="27" t="str">
        <f>IF(H1286="","",VLOOKUP(H1286,'#状态名词'!$A$2:$C$99,3))</f>
        <v>MR+</v>
      </c>
      <c r="K1286" s="26" t="s">
        <v>5501</v>
      </c>
    </row>
    <row r="1287" spans="1:11">
      <c r="A1287" s="27">
        <v>40501</v>
      </c>
      <c r="B1287" s="27" t="s">
        <v>454</v>
      </c>
      <c r="C1287" s="27" t="s">
        <v>5502</v>
      </c>
      <c r="E1287" s="27">
        <v>-1</v>
      </c>
      <c r="F1287" s="27">
        <v>-1</v>
      </c>
      <c r="H1287" s="27">
        <v>61</v>
      </c>
      <c r="I1287" s="27" t="str">
        <f>IF(H1287="","",VLOOKUP(H1287,'#状态名词'!$A$2:$C$99,2))</f>
        <v>team_ad</v>
      </c>
      <c r="J1287" s="27" t="str">
        <f>IF(H1287="","",VLOOKUP(H1287,'#状态名词'!$A$2:$C$99,3))</f>
        <v>队伍AD</v>
      </c>
      <c r="K1287" s="26" t="s">
        <v>5457</v>
      </c>
    </row>
    <row r="1288" spans="1:11">
      <c r="B1288" s="27" t="s">
        <v>84</v>
      </c>
      <c r="E1288" s="27">
        <v>-1</v>
      </c>
      <c r="F1288" s="27">
        <v>-1</v>
      </c>
      <c r="H1288" s="27">
        <v>17</v>
      </c>
      <c r="I1288" s="27" t="str">
        <f>IF(H1288="","",VLOOKUP(H1288,'#状态名词'!$A$2:$C$99,2))</f>
        <v>adi</v>
      </c>
      <c r="J1288" s="27" t="str">
        <f>IF(H1288="","",VLOOKUP(H1288,'#状态名词'!$A$2:$C$99,3))</f>
        <v>物穿</v>
      </c>
      <c r="K1288" s="26" t="s">
        <v>5457</v>
      </c>
    </row>
    <row r="1289" spans="1:11">
      <c r="A1289" s="27">
        <v>40502</v>
      </c>
      <c r="B1289" s="27" t="s">
        <v>455</v>
      </c>
      <c r="C1289" s="27" t="s">
        <v>5503</v>
      </c>
      <c r="E1289" s="27">
        <v>-1</v>
      </c>
      <c r="F1289" s="27">
        <v>-1</v>
      </c>
      <c r="H1289" s="27">
        <v>62</v>
      </c>
      <c r="I1289" s="27" t="str">
        <f>IF(H1289="","",VLOOKUP(H1289,'#状态名词'!$A$2:$C$99,2))</f>
        <v>team_ap</v>
      </c>
      <c r="J1289" s="27" t="str">
        <f>IF(H1289="","",VLOOKUP(H1289,'#状态名词'!$A$2:$C$99,3))</f>
        <v>队伍AP</v>
      </c>
      <c r="K1289" s="26" t="s">
        <v>5478</v>
      </c>
    </row>
    <row r="1290" spans="1:11">
      <c r="B1290" s="27" t="s">
        <v>84</v>
      </c>
      <c r="E1290" s="27">
        <v>-1</v>
      </c>
      <c r="F1290" s="27">
        <v>-1</v>
      </c>
      <c r="H1290" s="27">
        <v>18</v>
      </c>
      <c r="I1290" s="27" t="str">
        <f>IF(H1290="","",VLOOKUP(H1290,'#状态名词'!$A$2:$C$99,2))</f>
        <v>api</v>
      </c>
      <c r="J1290" s="27" t="str">
        <f>IF(H1290="","",VLOOKUP(H1290,'#状态名词'!$A$2:$C$99,3))</f>
        <v>法穿</v>
      </c>
      <c r="K1290" s="26" t="s">
        <v>5478</v>
      </c>
    </row>
    <row r="1291" spans="1:11">
      <c r="A1291" s="27">
        <v>40503</v>
      </c>
      <c r="B1291" s="27" t="s">
        <v>456</v>
      </c>
      <c r="C1291" s="27" t="s">
        <v>5453</v>
      </c>
      <c r="E1291" s="27">
        <v>-1</v>
      </c>
      <c r="F1291" s="27">
        <v>-1</v>
      </c>
      <c r="H1291" s="27">
        <v>20</v>
      </c>
      <c r="I1291" s="27" t="str">
        <f>IF(H1291="","",VLOOKUP(H1291,'#状态名词'!$A$2:$C$99,2))</f>
        <v>ratingdamage</v>
      </c>
      <c r="J1291" s="27" t="str">
        <f>IF(H1291="","",VLOOKUP(H1291,'#状态名词'!$A$2:$C$99,3))</f>
        <v>暴伤+</v>
      </c>
      <c r="K1291" s="26" t="s">
        <v>5454</v>
      </c>
    </row>
    <row r="1292" spans="1:11">
      <c r="A1292" s="27">
        <v>40504</v>
      </c>
      <c r="B1292" s="27" t="s">
        <v>457</v>
      </c>
      <c r="C1292" s="27" t="s">
        <v>4652</v>
      </c>
      <c r="E1292" s="27">
        <v>1</v>
      </c>
      <c r="F1292" s="27">
        <v>6</v>
      </c>
      <c r="H1292" s="27">
        <v>42</v>
      </c>
      <c r="I1292" s="27" t="str">
        <f>IF(H1292="","",VLOOKUP(H1292,'#状态名词'!$A$2:$C$99,2))</f>
        <v>turn_heal</v>
      </c>
      <c r="J1292" s="27" t="str">
        <f>IF(H1292="","",VLOOKUP(H1292,'#状态名词'!$A$2:$C$99,3))</f>
        <v>回合回复</v>
      </c>
      <c r="K1292" s="26" t="s">
        <v>5504</v>
      </c>
    </row>
    <row r="1293" spans="1:11">
      <c r="A1293" s="27">
        <v>40505</v>
      </c>
      <c r="B1293" s="27" t="s">
        <v>458</v>
      </c>
      <c r="C1293" s="27" t="s">
        <v>2064</v>
      </c>
      <c r="E1293" s="27">
        <v>1</v>
      </c>
      <c r="F1293" s="27">
        <v>6</v>
      </c>
      <c r="H1293" s="27">
        <v>54</v>
      </c>
      <c r="I1293" s="27" t="str">
        <f>IF(H1293="","",VLOOKUP(H1293,'#状态名词'!$A$2:$C$99,2))</f>
        <v>spi</v>
      </c>
      <c r="J1293" s="27" t="str">
        <f>IF(H1293="","",VLOOKUP(H1293,'#状态名词'!$A$2:$C$99,3))</f>
        <v>精神</v>
      </c>
      <c r="K1293" s="26" t="s">
        <v>5478</v>
      </c>
    </row>
    <row r="1294" spans="1:11">
      <c r="A1294" s="27">
        <v>40507</v>
      </c>
      <c r="B1294" s="27" t="s">
        <v>460</v>
      </c>
      <c r="C1294" s="27" t="s">
        <v>2099</v>
      </c>
      <c r="E1294" s="27">
        <v>-1</v>
      </c>
      <c r="F1294" s="27">
        <v>1</v>
      </c>
      <c r="H1294" s="27">
        <v>54</v>
      </c>
      <c r="I1294" s="27" t="str">
        <f>IF(H1294="","",VLOOKUP(H1294,'#状态名词'!$A$2:$C$99,2))</f>
        <v>spi</v>
      </c>
      <c r="J1294" s="27" t="str">
        <f>IF(H1294="","",VLOOKUP(H1294,'#状态名词'!$A$2:$C$99,3))</f>
        <v>精神</v>
      </c>
      <c r="K1294" s="26" t="s">
        <v>5505</v>
      </c>
    </row>
    <row r="1295" spans="1:11">
      <c r="A1295" s="27">
        <v>40519</v>
      </c>
      <c r="B1295" s="27" t="e">
        <v>#N/A</v>
      </c>
      <c r="C1295" s="27" t="s">
        <v>5506</v>
      </c>
      <c r="E1295" s="27">
        <v>-1</v>
      </c>
      <c r="F1295" s="27">
        <v>-1</v>
      </c>
      <c r="G1295" s="27">
        <v>40519</v>
      </c>
      <c r="H1295" s="27">
        <v>63</v>
      </c>
      <c r="I1295" s="27" t="str">
        <f>IF(H1295="","",VLOOKUP(H1295,'#状态名词'!$A$2:$C$99,2))</f>
        <v>comboup</v>
      </c>
      <c r="J1295" s="27" t="str">
        <f>IF(H1295="","",VLOOKUP(H1295,'#状态名词'!$A$2:$C$99,3))</f>
        <v>连锁技能强化</v>
      </c>
      <c r="K1295" s="26" t="s">
        <v>5507</v>
      </c>
    </row>
    <row r="1296" spans="1:11">
      <c r="A1296" s="27">
        <v>40508</v>
      </c>
      <c r="B1296" s="27" t="s">
        <v>461</v>
      </c>
      <c r="C1296" s="27" t="s">
        <v>5508</v>
      </c>
      <c r="E1296" s="27">
        <v>-1</v>
      </c>
      <c r="F1296" s="27">
        <v>-1</v>
      </c>
      <c r="H1296" s="27">
        <v>13</v>
      </c>
      <c r="I1296" s="27" t="str">
        <f>IF(H1296="","",VLOOKUP(H1296,'#状态名词'!$A$2:$C$99,2))</f>
        <v>arm</v>
      </c>
      <c r="J1296" s="27" t="str">
        <f>IF(H1296="","",VLOOKUP(H1296,'#状态名词'!$A$2:$C$99,3))</f>
        <v>ARM+</v>
      </c>
      <c r="K1296" s="26" t="s">
        <v>5509</v>
      </c>
    </row>
    <row r="1297" spans="1:11">
      <c r="B1297" s="27" t="s">
        <v>84</v>
      </c>
      <c r="E1297" s="27">
        <v>-1</v>
      </c>
      <c r="F1297" s="27">
        <v>-1</v>
      </c>
      <c r="H1297" s="27">
        <v>15</v>
      </c>
      <c r="I1297" s="27" t="str">
        <f>IF(H1297="","",VLOOKUP(H1297,'#状态名词'!$A$2:$C$99,2))</f>
        <v>mr</v>
      </c>
      <c r="J1297" s="27" t="str">
        <f>IF(H1297="","",VLOOKUP(H1297,'#状态名词'!$A$2:$C$99,3))</f>
        <v>MR+</v>
      </c>
      <c r="K1297" s="26" t="s">
        <v>5509</v>
      </c>
    </row>
    <row r="1298" spans="1:11">
      <c r="A1298" s="27">
        <v>40509</v>
      </c>
      <c r="B1298" s="27" t="s">
        <v>462</v>
      </c>
      <c r="C1298" s="27" t="s">
        <v>4656</v>
      </c>
      <c r="E1298" s="27">
        <v>-1</v>
      </c>
      <c r="F1298" s="27">
        <v>-1</v>
      </c>
      <c r="H1298" s="27">
        <v>2</v>
      </c>
      <c r="I1298" s="27" t="str">
        <f>IF(H1298="","",VLOOKUP(H1298,'#状态名词'!$A$2:$C$99,2))</f>
        <v>damaup</v>
      </c>
      <c r="J1298" s="27" t="str">
        <f>IF(H1298="","",VLOOKUP(H1298,'#状态名词'!$A$2:$C$99,3))</f>
        <v>伤害提升A类增伤</v>
      </c>
      <c r="K1298" s="26" t="s">
        <v>5501</v>
      </c>
    </row>
    <row r="1299" spans="1:11">
      <c r="A1299" s="27">
        <v>40510</v>
      </c>
      <c r="B1299" s="27" t="s">
        <v>463</v>
      </c>
      <c r="C1299" s="27" t="s">
        <v>464</v>
      </c>
      <c r="E1299" s="27">
        <v>-1</v>
      </c>
      <c r="F1299" s="27">
        <v>-1</v>
      </c>
      <c r="H1299" s="27">
        <v>19</v>
      </c>
      <c r="I1299" s="27" t="str">
        <f>IF(H1299="","",VLOOKUP(H1299,'#状态名词'!$A$2:$C$99,2))</f>
        <v>rating</v>
      </c>
      <c r="J1299" s="27" t="str">
        <f>IF(H1299="","",VLOOKUP(H1299,'#状态名词'!$A$2:$C$99,3))</f>
        <v>暴击+</v>
      </c>
      <c r="K1299" s="26" t="s">
        <v>5428</v>
      </c>
    </row>
    <row r="1300" spans="1:11">
      <c r="A1300" s="27">
        <v>40511</v>
      </c>
      <c r="B1300" s="27" t="s">
        <v>465</v>
      </c>
      <c r="C1300" s="27" t="s">
        <v>4657</v>
      </c>
      <c r="E1300" s="27">
        <v>-1</v>
      </c>
      <c r="F1300" s="27">
        <v>-1</v>
      </c>
      <c r="H1300" s="27">
        <v>17</v>
      </c>
      <c r="I1300" s="27" t="str">
        <f>IF(H1300="","",VLOOKUP(H1300,'#状态名词'!$A$2:$C$99,2))</f>
        <v>adi</v>
      </c>
      <c r="J1300" s="27" t="str">
        <f>IF(H1300="","",VLOOKUP(H1300,'#状态名词'!$A$2:$C$99,3))</f>
        <v>物穿</v>
      </c>
      <c r="K1300" s="26" t="s">
        <v>5438</v>
      </c>
    </row>
    <row r="1301" spans="1:11">
      <c r="B1301" s="27" t="s">
        <v>84</v>
      </c>
      <c r="E1301" s="27">
        <v>-1</v>
      </c>
      <c r="F1301" s="27">
        <v>-1</v>
      </c>
      <c r="H1301" s="27">
        <v>18</v>
      </c>
      <c r="I1301" s="27" t="str">
        <f>IF(H1301="","",VLOOKUP(H1301,'#状态名词'!$A$2:$C$99,2))</f>
        <v>api</v>
      </c>
      <c r="J1301" s="27" t="str">
        <f>IF(H1301="","",VLOOKUP(H1301,'#状态名词'!$A$2:$C$99,3))</f>
        <v>法穿</v>
      </c>
      <c r="K1301" s="26" t="s">
        <v>5438</v>
      </c>
    </row>
    <row r="1302" spans="1:11">
      <c r="A1302" s="27">
        <v>40512</v>
      </c>
      <c r="B1302" s="27" t="s">
        <v>466</v>
      </c>
      <c r="C1302" s="27" t="s">
        <v>5510</v>
      </c>
      <c r="E1302" s="27">
        <v>-1</v>
      </c>
      <c r="F1302" s="27">
        <v>-1</v>
      </c>
      <c r="H1302" s="27">
        <v>25</v>
      </c>
      <c r="I1302" s="27" t="str">
        <f>IF(H1302="","",VLOOKUP(H1302,'#状态名词'!$A$2:$C$99,2))</f>
        <v>duochong</v>
      </c>
      <c r="J1302" s="27" t="str">
        <f>IF(H1302="","",VLOOKUP(H1302,'#状态名词'!$A$2:$C$99,3))</f>
        <v>多重施法</v>
      </c>
      <c r="K1302" s="26" t="s">
        <v>5438</v>
      </c>
    </row>
    <row r="1303" spans="1:11">
      <c r="A1303" s="27">
        <v>40513</v>
      </c>
      <c r="B1303" s="27" t="s">
        <v>467</v>
      </c>
      <c r="C1303" s="27" t="s">
        <v>5511</v>
      </c>
      <c r="E1303" s="27">
        <v>-1</v>
      </c>
      <c r="F1303" s="27">
        <v>6</v>
      </c>
      <c r="H1303" s="27">
        <v>23</v>
      </c>
      <c r="I1303" s="27" t="str">
        <f>IF(H1303="","",VLOOKUP(H1303,'#状态名词'!$A$2:$C$99,2))</f>
        <v>steal</v>
      </c>
      <c r="J1303" s="27" t="str">
        <f>IF(H1303="","",VLOOKUP(H1303,'#状态名词'!$A$2:$C$99,3))</f>
        <v>生命偷取</v>
      </c>
      <c r="K1303" s="26" t="s">
        <v>5512</v>
      </c>
    </row>
    <row r="1304" spans="1:11">
      <c r="A1304" s="27">
        <v>40514</v>
      </c>
      <c r="B1304" s="27" t="s">
        <v>468</v>
      </c>
      <c r="C1304" s="27" t="s">
        <v>5513</v>
      </c>
      <c r="E1304" s="27">
        <v>-1</v>
      </c>
      <c r="F1304" s="27">
        <v>-1</v>
      </c>
      <c r="H1304" s="27">
        <v>24</v>
      </c>
      <c r="I1304" s="27" t="str">
        <f>IF(H1304="","",VLOOKUP(H1304,'#状态名词'!$A$2:$C$99,2))</f>
        <v>heal</v>
      </c>
      <c r="J1304" s="27" t="str">
        <f>IF(H1304="","",VLOOKUP(H1304,'#状态名词'!$A$2:$C$99,3))</f>
        <v>治疗效果+</v>
      </c>
      <c r="K1304" s="26" t="s">
        <v>5512</v>
      </c>
    </row>
    <row r="1305" spans="1:11">
      <c r="A1305" s="27">
        <v>40515</v>
      </c>
      <c r="B1305" s="27" t="s">
        <v>469</v>
      </c>
      <c r="C1305" s="27" t="s">
        <v>4660</v>
      </c>
      <c r="E1305" s="27">
        <v>-1</v>
      </c>
      <c r="F1305" s="27">
        <v>-1</v>
      </c>
      <c r="H1305" s="27">
        <v>1</v>
      </c>
      <c r="I1305" s="27" t="str">
        <f>IF(H1305="","",VLOOKUP(H1305,'#状态名词'!$A$2:$C$99,2))</f>
        <v>skilldama</v>
      </c>
      <c r="J1305" s="27" t="str">
        <f>IF(H1305="","",VLOOKUP(H1305,'#状态名词'!$A$2:$C$99,3))</f>
        <v>技能伤害和治疗效果提升B类</v>
      </c>
      <c r="K1305" s="26" t="s">
        <v>5474</v>
      </c>
    </row>
    <row r="1306" spans="1:11">
      <c r="A1306" s="27">
        <v>40517</v>
      </c>
      <c r="B1306" s="27" t="s">
        <v>470</v>
      </c>
      <c r="C1306" s="27" t="s">
        <v>4662</v>
      </c>
      <c r="E1306" s="27">
        <v>1</v>
      </c>
      <c r="F1306" s="27">
        <v>0</v>
      </c>
      <c r="H1306" s="27">
        <v>2</v>
      </c>
      <c r="I1306" s="27" t="str">
        <f>IF(H1306="","",VLOOKUP(H1306,'#状态名词'!$A$2:$C$99,2))</f>
        <v>damaup</v>
      </c>
      <c r="J1306" s="27" t="str">
        <f>IF(H1306="","",VLOOKUP(H1306,'#状态名词'!$A$2:$C$99,3))</f>
        <v>伤害提升A类增伤</v>
      </c>
      <c r="K1306" s="26" t="s">
        <v>530</v>
      </c>
    </row>
    <row r="1307" spans="1:11">
      <c r="A1307" s="27">
        <v>40518</v>
      </c>
      <c r="B1307" s="27" t="s">
        <v>471</v>
      </c>
      <c r="C1307" s="27" t="s">
        <v>5514</v>
      </c>
      <c r="E1307" s="27">
        <v>-1</v>
      </c>
      <c r="F1307" s="27">
        <v>-1</v>
      </c>
      <c r="H1307" s="27">
        <v>19</v>
      </c>
      <c r="I1307" s="27" t="str">
        <f>IF(H1307="","",VLOOKUP(H1307,'#状态名词'!$A$2:$C$99,2))</f>
        <v>rating</v>
      </c>
      <c r="J1307" s="27" t="str">
        <f>IF(H1307="","",VLOOKUP(H1307,'#状态名词'!$A$2:$C$99,3))</f>
        <v>暴击+</v>
      </c>
      <c r="K1307" s="26" t="s">
        <v>5438</v>
      </c>
    </row>
    <row r="1308" spans="1:11">
      <c r="B1308" s="27" t="s">
        <v>84</v>
      </c>
      <c r="E1308" s="27">
        <v>-1</v>
      </c>
      <c r="F1308" s="27">
        <v>-1</v>
      </c>
      <c r="H1308" s="27">
        <v>20</v>
      </c>
      <c r="I1308" s="27" t="str">
        <f>IF(H1308="","",VLOOKUP(H1308,'#状态名词'!$A$2:$C$99,2))</f>
        <v>ratingdamage</v>
      </c>
      <c r="J1308" s="27" t="str">
        <f>IF(H1308="","",VLOOKUP(H1308,'#状态名词'!$A$2:$C$99,3))</f>
        <v>暴伤+</v>
      </c>
      <c r="K1308" s="26" t="s">
        <v>5515</v>
      </c>
    </row>
    <row r="1309" spans="1:11">
      <c r="A1309" s="27">
        <v>40521</v>
      </c>
      <c r="B1309" s="27" t="s">
        <v>7291</v>
      </c>
      <c r="C1309" s="27" t="s">
        <v>5516</v>
      </c>
      <c r="E1309" s="27">
        <v>-1</v>
      </c>
      <c r="F1309" s="27">
        <v>0</v>
      </c>
      <c r="H1309" s="27">
        <v>20</v>
      </c>
      <c r="I1309" s="27" t="str">
        <f>IF(H1309="","",VLOOKUP(H1309,'#状态名词'!$A$2:$C$99,2))</f>
        <v>ratingdamage</v>
      </c>
      <c r="J1309" s="27" t="str">
        <f>IF(H1309="","",VLOOKUP(H1309,'#状态名词'!$A$2:$C$99,3))</f>
        <v>暴伤+</v>
      </c>
      <c r="K1309" s="26" t="s">
        <v>5517</v>
      </c>
    </row>
    <row r="1310" spans="1:11">
      <c r="A1310" s="27">
        <v>40522</v>
      </c>
      <c r="B1310" s="27" t="s">
        <v>5518</v>
      </c>
      <c r="C1310" s="27" t="s">
        <v>5519</v>
      </c>
      <c r="E1310" s="27">
        <v>-1</v>
      </c>
      <c r="F1310" s="27">
        <v>0</v>
      </c>
      <c r="H1310" s="27">
        <v>23</v>
      </c>
      <c r="I1310" s="27" t="str">
        <f>IF(H1310="","",VLOOKUP(H1310,'#状态名词'!$A$2:$C$99,2))</f>
        <v>steal</v>
      </c>
      <c r="J1310" s="27" t="str">
        <f>IF(H1310="","",VLOOKUP(H1310,'#状态名词'!$A$2:$C$99,3))</f>
        <v>生命偷取</v>
      </c>
      <c r="K1310" s="26" t="s">
        <v>5517</v>
      </c>
    </row>
    <row r="1311" spans="1:11">
      <c r="A1311" s="27">
        <v>40533</v>
      </c>
      <c r="B1311" s="27" t="s">
        <v>5520</v>
      </c>
      <c r="C1311" s="27" t="s">
        <v>5521</v>
      </c>
      <c r="E1311" s="27">
        <v>-1</v>
      </c>
      <c r="F1311" s="27">
        <v>1</v>
      </c>
      <c r="H1311" s="27">
        <v>1</v>
      </c>
      <c r="I1311" s="27" t="str">
        <f>IF(H1311="","",VLOOKUP(H1311,'#状态名词'!$A$2:$C$99,2))</f>
        <v>skilldama</v>
      </c>
      <c r="J1311" s="27" t="str">
        <f>IF(H1311="","",VLOOKUP(H1311,'#状态名词'!$A$2:$C$99,3))</f>
        <v>技能伤害和治疗效果提升B类</v>
      </c>
      <c r="K1311" s="26" t="s">
        <v>5522</v>
      </c>
    </row>
    <row r="1312" spans="1:11">
      <c r="A1312" s="27">
        <v>40602</v>
      </c>
      <c r="B1312" s="27" t="s">
        <v>473</v>
      </c>
      <c r="C1312" s="27" t="s">
        <v>4665</v>
      </c>
      <c r="E1312" s="27">
        <v>1</v>
      </c>
      <c r="F1312" s="27">
        <v>-1</v>
      </c>
      <c r="H1312" s="27">
        <v>61</v>
      </c>
      <c r="I1312" s="27" t="str">
        <f>IF(H1312="","",VLOOKUP(H1312,'#状态名词'!$A$2:$C$99,2))</f>
        <v>team_ad</v>
      </c>
      <c r="J1312" s="27" t="str">
        <f>IF(H1312="","",VLOOKUP(H1312,'#状态名词'!$A$2:$C$99,3))</f>
        <v>队伍AD</v>
      </c>
      <c r="K1312" s="26" t="s">
        <v>5523</v>
      </c>
    </row>
    <row r="1313" spans="1:12">
      <c r="A1313" s="27">
        <v>40603</v>
      </c>
      <c r="B1313" s="27" t="s">
        <v>474</v>
      </c>
      <c r="C1313" s="27" t="s">
        <v>475</v>
      </c>
      <c r="E1313" s="27">
        <v>1</v>
      </c>
      <c r="F1313" s="27">
        <v>-1</v>
      </c>
      <c r="H1313" s="27">
        <v>19</v>
      </c>
      <c r="I1313" s="27" t="str">
        <f>IF(H1313="","",VLOOKUP(H1313,'#状态名词'!$A$2:$C$99,2))</f>
        <v>rating</v>
      </c>
      <c r="J1313" s="27" t="str">
        <f>IF(H1313="","",VLOOKUP(H1313,'#状态名词'!$A$2:$C$99,3))</f>
        <v>暴击+</v>
      </c>
      <c r="K1313" s="26" t="s">
        <v>5438</v>
      </c>
    </row>
    <row r="1314" spans="1:12">
      <c r="B1314" s="27" t="s">
        <v>84</v>
      </c>
      <c r="C1314" s="20"/>
      <c r="H1314" s="27">
        <v>23</v>
      </c>
      <c r="I1314" s="27" t="str">
        <f>IF(H1314="","",VLOOKUP(H1314,'#状态名词'!$A$2:$C$99,2))</f>
        <v>steal</v>
      </c>
      <c r="J1314" s="27" t="str">
        <f>IF(H1314="","",VLOOKUP(H1314,'#状态名词'!$A$2:$C$99,3))</f>
        <v>生命偷取</v>
      </c>
      <c r="K1314" s="26" t="s">
        <v>5438</v>
      </c>
    </row>
    <row r="1315" spans="1:12">
      <c r="A1315" s="27">
        <v>40604</v>
      </c>
      <c r="B1315" s="27" t="s">
        <v>476</v>
      </c>
      <c r="C1315" s="20" t="s">
        <v>5453</v>
      </c>
      <c r="E1315" s="27">
        <v>1</v>
      </c>
      <c r="F1315" s="27">
        <v>-1</v>
      </c>
      <c r="H1315" s="27">
        <v>20</v>
      </c>
      <c r="I1315" s="27" t="str">
        <f>IF(H1315="","",VLOOKUP(H1315,'#状态名词'!$A$2:$C$99,2))</f>
        <v>ratingdamage</v>
      </c>
      <c r="J1315" s="27" t="str">
        <f>IF(H1315="","",VLOOKUP(H1315,'#状态名词'!$A$2:$C$99,3))</f>
        <v>暴伤+</v>
      </c>
      <c r="K1315" s="26" t="s">
        <v>7058</v>
      </c>
    </row>
    <row r="1316" spans="1:12">
      <c r="A1316" s="27">
        <v>40605</v>
      </c>
      <c r="B1316" s="27" t="s">
        <v>477</v>
      </c>
      <c r="C1316" s="27" t="s">
        <v>4666</v>
      </c>
      <c r="E1316" s="27">
        <v>1</v>
      </c>
      <c r="F1316" s="27">
        <v>-1</v>
      </c>
      <c r="H1316" s="27">
        <v>62</v>
      </c>
      <c r="I1316" s="27" t="str">
        <f>IF(H1316="","",VLOOKUP(H1316,'#状态名词'!$A$2:$C$99,2))</f>
        <v>team_ap</v>
      </c>
      <c r="J1316" s="27" t="str">
        <f>IF(H1316="","",VLOOKUP(H1316,'#状态名词'!$A$2:$C$99,3))</f>
        <v>队伍AP</v>
      </c>
      <c r="K1316" s="26" t="s">
        <v>5523</v>
      </c>
    </row>
    <row r="1317" spans="1:12">
      <c r="A1317" s="27">
        <v>40606</v>
      </c>
      <c r="B1317" s="27" t="s">
        <v>478</v>
      </c>
      <c r="C1317" s="20" t="s">
        <v>4605</v>
      </c>
      <c r="E1317" s="27">
        <v>1</v>
      </c>
      <c r="F1317" s="27">
        <v>-1</v>
      </c>
      <c r="H1317" s="27">
        <v>17</v>
      </c>
      <c r="I1317" s="27" t="str">
        <f>IF(H1317="","",VLOOKUP(H1317,'#状态名词'!$A$2:$C$99,2))</f>
        <v>adi</v>
      </c>
      <c r="J1317" s="27" t="str">
        <f>IF(H1317="","",VLOOKUP(H1317,'#状态名词'!$A$2:$C$99,3))</f>
        <v>物穿</v>
      </c>
      <c r="K1317" s="26" t="s">
        <v>5438</v>
      </c>
    </row>
    <row r="1318" spans="1:12">
      <c r="A1318" s="27">
        <v>40607</v>
      </c>
      <c r="B1318" s="27" t="s">
        <v>479</v>
      </c>
      <c r="C1318" s="20" t="s">
        <v>480</v>
      </c>
      <c r="E1318" s="27">
        <v>1</v>
      </c>
      <c r="F1318" s="27">
        <v>-1</v>
      </c>
      <c r="H1318" s="27">
        <v>63</v>
      </c>
      <c r="I1318" s="27" t="str">
        <f>IF(H1318="","",VLOOKUP(H1318,'#状态名词'!$A$2:$C$99,2))</f>
        <v>comboup</v>
      </c>
      <c r="J1318" s="27" t="str">
        <f>IF(H1318="","",VLOOKUP(H1318,'#状态名词'!$A$2:$C$99,3))</f>
        <v>连锁技能强化</v>
      </c>
      <c r="K1318" s="26" t="s">
        <v>496</v>
      </c>
    </row>
    <row r="1319" spans="1:12">
      <c r="A1319" s="27">
        <v>40608</v>
      </c>
      <c r="B1319" s="27" t="s">
        <v>481</v>
      </c>
      <c r="C1319" s="27" t="s">
        <v>5524</v>
      </c>
      <c r="E1319" s="27">
        <v>1</v>
      </c>
      <c r="F1319" s="27">
        <v>-1</v>
      </c>
      <c r="H1319" s="27">
        <v>1</v>
      </c>
      <c r="I1319" s="27" t="str">
        <f>IF(H1319="","",VLOOKUP(H1319,'#状态名词'!$A$2:$C$99,2))</f>
        <v>skilldama</v>
      </c>
      <c r="J1319" s="27" t="str">
        <f>IF(H1319="","",VLOOKUP(H1319,'#状态名词'!$A$2:$C$99,3))</f>
        <v>技能伤害和治疗效果提升B类</v>
      </c>
      <c r="K1319" s="26" t="s">
        <v>5525</v>
      </c>
      <c r="L1319" s="27">
        <v>40601</v>
      </c>
    </row>
    <row r="1320" spans="1:12">
      <c r="A1320" s="27">
        <v>40609</v>
      </c>
      <c r="B1320" s="27" t="s">
        <v>482</v>
      </c>
      <c r="C1320" s="27" t="s">
        <v>464</v>
      </c>
      <c r="E1320" s="27">
        <v>1</v>
      </c>
      <c r="F1320" s="27">
        <v>-1</v>
      </c>
      <c r="H1320" s="27">
        <v>19</v>
      </c>
      <c r="I1320" s="27" t="str">
        <f>IF(H1320="","",VLOOKUP(H1320,'#状态名词'!$A$2:$C$99,2))</f>
        <v>rating</v>
      </c>
      <c r="J1320" s="27" t="str">
        <f>IF(H1320="","",VLOOKUP(H1320,'#状态名词'!$A$2:$C$99,3))</f>
        <v>暴击+</v>
      </c>
      <c r="K1320" s="26" t="s">
        <v>5428</v>
      </c>
    </row>
    <row r="1321" spans="1:12">
      <c r="A1321" s="27">
        <v>40610</v>
      </c>
      <c r="B1321" s="27" t="s">
        <v>483</v>
      </c>
      <c r="C1321" s="27" t="s">
        <v>4667</v>
      </c>
      <c r="E1321" s="27">
        <v>1</v>
      </c>
      <c r="F1321" s="27">
        <v>-1</v>
      </c>
      <c r="H1321" s="27">
        <v>64</v>
      </c>
      <c r="I1321" s="27" t="str">
        <f>IF(H1321="","",VLOOKUP(H1321,'#状态名词'!$A$2:$C$99,2))</f>
        <v>comboratingup</v>
      </c>
      <c r="J1321" s="27" t="str">
        <f>IF(H1321="","",VLOOKUP(H1321,'#状态名词'!$A$2:$C$99,3))</f>
        <v>连锁技能暴伤强化</v>
      </c>
      <c r="K1321" s="26" t="s">
        <v>5526</v>
      </c>
    </row>
    <row r="1322" spans="1:12">
      <c r="A1322" s="27">
        <v>40611</v>
      </c>
      <c r="B1322" s="27" t="s">
        <v>484</v>
      </c>
      <c r="C1322" s="27" t="s">
        <v>5527</v>
      </c>
      <c r="E1322" s="27">
        <v>1</v>
      </c>
      <c r="F1322" s="27">
        <v>-1</v>
      </c>
      <c r="H1322" s="27">
        <v>13</v>
      </c>
      <c r="I1322" s="27" t="str">
        <f>IF(H1322="","",VLOOKUP(H1322,'#状态名词'!$A$2:$C$99,2))</f>
        <v>arm</v>
      </c>
      <c r="J1322" s="27" t="str">
        <f>IF(H1322="","",VLOOKUP(H1322,'#状态名词'!$A$2:$C$99,3))</f>
        <v>ARM+</v>
      </c>
      <c r="K1322" s="26" t="s">
        <v>5479</v>
      </c>
    </row>
    <row r="1323" spans="1:12">
      <c r="B1323" s="27" t="s">
        <v>84</v>
      </c>
      <c r="H1323" s="27">
        <v>15</v>
      </c>
      <c r="I1323" s="27" t="str">
        <f>IF(H1323="","",VLOOKUP(H1323,'#状态名词'!$A$2:$C$99,2))</f>
        <v>mr</v>
      </c>
      <c r="J1323" s="27" t="str">
        <f>IF(H1323="","",VLOOKUP(H1323,'#状态名词'!$A$2:$C$99,3))</f>
        <v>MR+</v>
      </c>
      <c r="K1323" s="26" t="s">
        <v>5479</v>
      </c>
    </row>
    <row r="1324" spans="1:12">
      <c r="A1324" s="27">
        <v>40612</v>
      </c>
      <c r="B1324" s="27" t="s">
        <v>485</v>
      </c>
      <c r="C1324" s="27" t="s">
        <v>2065</v>
      </c>
      <c r="E1324" s="27">
        <v>1</v>
      </c>
      <c r="F1324" s="27">
        <v>-1</v>
      </c>
      <c r="H1324" s="27">
        <v>58</v>
      </c>
      <c r="I1324" s="27" t="str">
        <f>IF(H1324="","",VLOOKUP(H1324,'#状态名词'!$A$2:$C$99,2))</f>
        <v>vit</v>
      </c>
      <c r="J1324" s="27" t="str">
        <f>IF(H1324="","",VLOOKUP(H1324,'#状态名词'!$A$2:$C$99,3))</f>
        <v>体力</v>
      </c>
      <c r="K1324" s="26" t="s">
        <v>5486</v>
      </c>
    </row>
    <row r="1325" spans="1:12">
      <c r="B1325" s="27" t="s">
        <v>84</v>
      </c>
      <c r="H1325" s="27">
        <v>54</v>
      </c>
      <c r="I1325" s="27" t="str">
        <f>IF(H1325="","",VLOOKUP(H1325,'#状态名词'!$A$2:$C$99,2))</f>
        <v>spi</v>
      </c>
      <c r="J1325" s="27" t="str">
        <f>IF(H1325="","",VLOOKUP(H1325,'#状态名词'!$A$2:$C$99,3))</f>
        <v>精神</v>
      </c>
      <c r="K1325" s="26" t="s">
        <v>5528</v>
      </c>
    </row>
    <row r="1326" spans="1:12">
      <c r="A1326" s="27">
        <v>40614</v>
      </c>
      <c r="B1326" s="27" t="s">
        <v>487</v>
      </c>
      <c r="C1326" s="27" t="s">
        <v>4671</v>
      </c>
      <c r="E1326" s="27">
        <v>1</v>
      </c>
      <c r="F1326" s="27">
        <v>0</v>
      </c>
      <c r="H1326" s="27">
        <v>24</v>
      </c>
      <c r="I1326" s="27" t="str">
        <f>IF(H1326="","",VLOOKUP(H1326,'#状态名词'!$A$2:$C$99,2))</f>
        <v>heal</v>
      </c>
      <c r="J1326" s="27" t="str">
        <f>IF(H1326="","",VLOOKUP(H1326,'#状态名词'!$A$2:$C$99,3))</f>
        <v>治疗效果+</v>
      </c>
      <c r="K1326" s="26" t="s">
        <v>5529</v>
      </c>
    </row>
    <row r="1327" spans="1:12">
      <c r="A1327" s="27">
        <v>40616</v>
      </c>
      <c r="B1327" s="27" t="s">
        <v>489</v>
      </c>
      <c r="C1327" s="27" t="s">
        <v>5530</v>
      </c>
      <c r="E1327" s="27">
        <v>1</v>
      </c>
      <c r="F1327" s="27">
        <v>-1</v>
      </c>
      <c r="H1327" s="27">
        <v>1</v>
      </c>
      <c r="I1327" s="27" t="str">
        <f>IF(H1327="","",VLOOKUP(H1327,'#状态名词'!$A$2:$C$99,2))</f>
        <v>skilldama</v>
      </c>
      <c r="J1327" s="27" t="str">
        <f>IF(H1327="","",VLOOKUP(H1327,'#状态名词'!$A$2:$C$99,3))</f>
        <v>技能伤害和治疗效果提升B类</v>
      </c>
      <c r="K1327" s="26" t="s">
        <v>5531</v>
      </c>
      <c r="L1327" s="27">
        <v>40601</v>
      </c>
    </row>
    <row r="1328" spans="1:12">
      <c r="B1328" s="27" t="s">
        <v>84</v>
      </c>
      <c r="H1328" s="27">
        <v>20</v>
      </c>
      <c r="I1328" s="27" t="str">
        <f>IF(H1328="","",VLOOKUP(H1328,'#状态名词'!$A$2:$C$99,2))</f>
        <v>ratingdamage</v>
      </c>
      <c r="J1328" s="27" t="str">
        <f>IF(H1328="","",VLOOKUP(H1328,'#状态名词'!$A$2:$C$99,3))</f>
        <v>暴伤+</v>
      </c>
      <c r="K1328" s="26" t="s">
        <v>5531</v>
      </c>
    </row>
    <row r="1329" spans="1:12">
      <c r="A1329" s="27">
        <v>40617</v>
      </c>
      <c r="B1329" s="27" t="s">
        <v>490</v>
      </c>
      <c r="C1329" s="27" t="s">
        <v>2056</v>
      </c>
      <c r="E1329" s="27">
        <v>1</v>
      </c>
      <c r="F1329" s="27">
        <v>-1</v>
      </c>
      <c r="H1329" s="27">
        <v>65</v>
      </c>
      <c r="I1329" s="27" t="str">
        <f>IF(H1329="","",VLOOKUP(H1329,'#状态名词'!$A$2:$C$99,2))</f>
        <v>str</v>
      </c>
      <c r="J1329" s="27" t="str">
        <f>IF(H1329="","",VLOOKUP(H1329,'#状态名词'!$A$2:$C$99,3))</f>
        <v>力量</v>
      </c>
      <c r="K1329" s="26" t="s">
        <v>5460</v>
      </c>
    </row>
    <row r="1330" spans="1:12">
      <c r="B1330" s="27" t="s">
        <v>84</v>
      </c>
      <c r="H1330" s="27">
        <v>67</v>
      </c>
      <c r="I1330" s="27" t="str">
        <f>IF(H1330="","",VLOOKUP(H1330,'#状态名词'!$A$2:$C$99,2))</f>
        <v>inte</v>
      </c>
      <c r="J1330" s="27" t="str">
        <f>IF(H1330="","",VLOOKUP(H1330,'#状态名词'!$A$2:$C$99,3))</f>
        <v>智力</v>
      </c>
      <c r="K1330" s="26" t="s">
        <v>5460</v>
      </c>
    </row>
    <row r="1331" spans="1:12">
      <c r="A1331" s="27">
        <v>40618</v>
      </c>
      <c r="B1331" s="27" t="s">
        <v>4672</v>
      </c>
      <c r="C1331" s="27" t="s">
        <v>5532</v>
      </c>
      <c r="E1331" s="27">
        <v>-1</v>
      </c>
      <c r="F1331" s="27">
        <v>0</v>
      </c>
      <c r="H1331" s="27">
        <v>45</v>
      </c>
      <c r="I1331" s="27" t="str">
        <f>IF(H1331="","",VLOOKUP(H1331,'#状态名词'!$A$2:$C$99,2))</f>
        <v>rageup</v>
      </c>
      <c r="J1331" s="27" t="str">
        <f>IF(H1331="","",VLOOKUP(H1331,'#状态名词'!$A$2:$C$99,3))</f>
        <v>行动回怒气</v>
      </c>
      <c r="K1331" s="26" t="s">
        <v>5533</v>
      </c>
      <c r="L1331" s="27">
        <v>30</v>
      </c>
    </row>
    <row r="1332" spans="1:12">
      <c r="B1332" s="27" t="s">
        <v>84</v>
      </c>
      <c r="C1332" s="20"/>
      <c r="H1332" s="27">
        <v>46</v>
      </c>
      <c r="I1332" s="27" t="str">
        <f>IF(H1332="","",VLOOKUP(H1332,'#状态名词'!$A$2:$C$99,2))</f>
        <v>energyup</v>
      </c>
      <c r="J1332" s="27" t="str">
        <f>IF(H1332="","",VLOOKUP(H1332,'#状态名词'!$A$2:$C$99,3))</f>
        <v>行动回能量</v>
      </c>
      <c r="K1332" s="26" t="s">
        <v>5533</v>
      </c>
      <c r="L1332" s="27">
        <v>30</v>
      </c>
    </row>
    <row r="1333" spans="1:12">
      <c r="B1333" s="27" t="s">
        <v>84</v>
      </c>
      <c r="C1333" s="20"/>
      <c r="H1333" s="27">
        <v>47</v>
      </c>
      <c r="I1333" s="27" t="str">
        <f>IF(H1333="","",VLOOKUP(H1333,'#状态名词'!$A$2:$C$99,2))</f>
        <v>manaup</v>
      </c>
      <c r="J1333" s="27" t="str">
        <f>IF(H1333="","",VLOOKUP(H1333,'#状态名词'!$A$2:$C$99,3))</f>
        <v>行动回法力</v>
      </c>
      <c r="K1333" s="26" t="s">
        <v>5533</v>
      </c>
      <c r="L1333" s="27">
        <v>30</v>
      </c>
    </row>
    <row r="1334" spans="1:12">
      <c r="A1334" s="27">
        <v>40702</v>
      </c>
      <c r="B1334" s="27" t="s">
        <v>493</v>
      </c>
      <c r="C1334" s="20" t="s">
        <v>5534</v>
      </c>
      <c r="E1334" s="27">
        <v>1</v>
      </c>
      <c r="F1334" s="27">
        <v>-1</v>
      </c>
      <c r="H1334" s="27">
        <v>44</v>
      </c>
      <c r="I1334" s="27" t="str">
        <f>IF(H1334="","",VLOOKUP(H1334,'#状态名词'!$A$2:$C$99,2))</f>
        <v>dotup</v>
      </c>
      <c r="J1334" s="27" t="str">
        <f>IF(H1334="","",VLOOKUP(H1334,'#状态名词'!$A$2:$C$99,3))</f>
        <v>持续伤害强化</v>
      </c>
      <c r="K1334" s="26" t="s">
        <v>5535</v>
      </c>
    </row>
    <row r="1335" spans="1:12">
      <c r="A1335" s="27">
        <v>40703</v>
      </c>
      <c r="B1335" s="27" t="s">
        <v>494</v>
      </c>
      <c r="C1335" s="20" t="s">
        <v>4675</v>
      </c>
      <c r="E1335" s="27">
        <v>1</v>
      </c>
      <c r="F1335" s="27">
        <v>-1</v>
      </c>
      <c r="H1335" s="27">
        <v>67</v>
      </c>
      <c r="I1335" s="27" t="str">
        <f>IF(H1335="","",VLOOKUP(H1335,'#状态名词'!$A$2:$C$99,2))</f>
        <v>inte</v>
      </c>
      <c r="J1335" s="27" t="str">
        <f>IF(H1335="","",VLOOKUP(H1335,'#状态名词'!$A$2:$C$99,3))</f>
        <v>智力</v>
      </c>
      <c r="K1335" s="26" t="s">
        <v>5460</v>
      </c>
    </row>
    <row r="1336" spans="1:12">
      <c r="A1336" s="27">
        <v>40705</v>
      </c>
      <c r="B1336" s="27" t="s">
        <v>497</v>
      </c>
      <c r="C1336" s="27" t="s">
        <v>5536</v>
      </c>
      <c r="E1336" s="27">
        <v>1</v>
      </c>
      <c r="F1336" s="27">
        <v>-1</v>
      </c>
      <c r="H1336" s="27">
        <v>44</v>
      </c>
      <c r="I1336" s="27" t="str">
        <f>IF(H1336="","",VLOOKUP(H1336,'#状态名词'!$A$2:$C$99,2))</f>
        <v>dotup</v>
      </c>
      <c r="J1336" s="27" t="str">
        <f>IF(H1336="","",VLOOKUP(H1336,'#状态名词'!$A$2:$C$99,3))</f>
        <v>持续伤害强化</v>
      </c>
      <c r="K1336" s="26" t="s">
        <v>5499</v>
      </c>
    </row>
    <row r="1337" spans="1:12">
      <c r="B1337" s="27" t="s">
        <v>84</v>
      </c>
      <c r="H1337" s="27">
        <v>21</v>
      </c>
      <c r="I1337" s="27" t="str">
        <f>IF(H1337="","",VLOOKUP(H1337,'#状态名词'!$A$2:$C$99,2))</f>
        <v>speed</v>
      </c>
      <c r="J1337" s="27" t="str">
        <f>IF(H1337="","",VLOOKUP(H1337,'#状态名词'!$A$2:$C$99,3))</f>
        <v>速度+</v>
      </c>
      <c r="K1337" s="26" t="s">
        <v>5438</v>
      </c>
    </row>
    <row r="1338" spans="1:12">
      <c r="A1338" s="27">
        <v>40706</v>
      </c>
      <c r="B1338" s="27" t="s">
        <v>498</v>
      </c>
      <c r="C1338" s="27" t="s">
        <v>4668</v>
      </c>
      <c r="E1338" s="27">
        <v>1</v>
      </c>
      <c r="F1338" s="27">
        <v>-1</v>
      </c>
      <c r="H1338" s="27">
        <v>13</v>
      </c>
      <c r="I1338" s="27" t="str">
        <f>IF(H1338="","",VLOOKUP(H1338,'#状态名词'!$A$2:$C$99,2))</f>
        <v>arm</v>
      </c>
      <c r="J1338" s="27" t="str">
        <f>IF(H1338="","",VLOOKUP(H1338,'#状态名词'!$A$2:$C$99,3))</f>
        <v>ARM+</v>
      </c>
      <c r="K1338" s="26" t="s">
        <v>5479</v>
      </c>
    </row>
    <row r="1339" spans="1:12">
      <c r="B1339" s="27" t="s">
        <v>84</v>
      </c>
      <c r="H1339" s="27">
        <v>15</v>
      </c>
      <c r="I1339" s="27" t="str">
        <f>IF(H1339="","",VLOOKUP(H1339,'#状态名词'!$A$2:$C$99,2))</f>
        <v>mr</v>
      </c>
      <c r="J1339" s="27" t="str">
        <f>IF(H1339="","",VLOOKUP(H1339,'#状态名词'!$A$2:$C$99,3))</f>
        <v>MR+</v>
      </c>
      <c r="K1339" s="26" t="s">
        <v>5479</v>
      </c>
    </row>
    <row r="1340" spans="1:12">
      <c r="A1340" s="27">
        <v>40707</v>
      </c>
      <c r="B1340" s="27" t="s">
        <v>499</v>
      </c>
      <c r="C1340" s="27" t="s">
        <v>5537</v>
      </c>
      <c r="E1340" s="27">
        <v>1</v>
      </c>
      <c r="F1340" s="27">
        <v>-1</v>
      </c>
      <c r="H1340" s="27">
        <v>24</v>
      </c>
      <c r="I1340" s="27" t="str">
        <f>IF(H1340="","",VLOOKUP(H1340,'#状态名词'!$A$2:$C$99,2))</f>
        <v>heal</v>
      </c>
      <c r="J1340" s="27" t="str">
        <f>IF(H1340="","",VLOOKUP(H1340,'#状态名词'!$A$2:$C$99,3))</f>
        <v>治疗效果+</v>
      </c>
      <c r="K1340" s="26" t="s">
        <v>5538</v>
      </c>
    </row>
    <row r="1341" spans="1:12">
      <c r="A1341" s="27">
        <v>40709</v>
      </c>
      <c r="B1341" s="27" t="s">
        <v>501</v>
      </c>
      <c r="C1341" s="27" t="s">
        <v>5539</v>
      </c>
      <c r="E1341" s="27">
        <v>1</v>
      </c>
      <c r="F1341" s="27">
        <v>-1</v>
      </c>
      <c r="H1341" s="27">
        <v>26</v>
      </c>
      <c r="I1341" s="27" t="str">
        <f>IF(H1341="","",VLOOKUP(H1341,'#状态名词'!$A$2:$C$99,2))</f>
        <v>fireup</v>
      </c>
      <c r="J1341" s="27" t="str">
        <f>IF(H1341="","",VLOOKUP(H1341,'#状态名词'!$A$2:$C$99,3))</f>
        <v>火属性强化</v>
      </c>
      <c r="K1341" s="26" t="s">
        <v>5467</v>
      </c>
    </row>
    <row r="1342" spans="1:12">
      <c r="B1342" s="27" t="s">
        <v>84</v>
      </c>
      <c r="H1342" s="27">
        <v>29</v>
      </c>
      <c r="I1342" s="27" t="str">
        <f>IF(H1342="","",VLOOKUP(H1342,'#状态名词'!$A$2:$C$99,2))</f>
        <v>darkup</v>
      </c>
      <c r="J1342" s="27" t="str">
        <f>IF(H1342="","",VLOOKUP(H1342,'#状态名词'!$A$2:$C$99,3))</f>
        <v>暗属性强化</v>
      </c>
      <c r="K1342" s="26" t="s">
        <v>5467</v>
      </c>
    </row>
    <row r="1343" spans="1:12">
      <c r="A1343" s="27">
        <v>40710</v>
      </c>
      <c r="B1343" s="27" t="s">
        <v>502</v>
      </c>
      <c r="C1343" s="27" t="s">
        <v>5540</v>
      </c>
      <c r="E1343" s="27">
        <v>1</v>
      </c>
      <c r="F1343" s="27">
        <v>-1</v>
      </c>
      <c r="H1343" s="27">
        <v>23</v>
      </c>
      <c r="I1343" s="27" t="str">
        <f>IF(H1343="","",VLOOKUP(H1343,'#状态名词'!$A$2:$C$99,2))</f>
        <v>steal</v>
      </c>
      <c r="J1343" s="27" t="str">
        <f>IF(H1343="","",VLOOKUP(H1343,'#状态名词'!$A$2:$C$99,3))</f>
        <v>生命偷取</v>
      </c>
      <c r="K1343" s="26" t="s">
        <v>5541</v>
      </c>
    </row>
    <row r="1344" spans="1:12">
      <c r="A1344" s="27">
        <v>40719</v>
      </c>
      <c r="B1344" s="27" t="s">
        <v>7466</v>
      </c>
      <c r="C1344" s="27" t="s">
        <v>5542</v>
      </c>
      <c r="E1344" s="27">
        <v>1</v>
      </c>
      <c r="F1344" s="27">
        <v>-1</v>
      </c>
      <c r="H1344" s="27">
        <v>23</v>
      </c>
      <c r="I1344" s="27" t="str">
        <f>IF(H1344="","",VLOOKUP(H1344,'#状态名词'!$A$2:$C$99,2))</f>
        <v>steal</v>
      </c>
      <c r="J1344" s="27" t="str">
        <f>IF(H1344="","",VLOOKUP(H1344,'#状态名词'!$A$2:$C$99,3))</f>
        <v>生命偷取</v>
      </c>
      <c r="K1344" s="26" t="s">
        <v>5438</v>
      </c>
    </row>
    <row r="1345" spans="1:11">
      <c r="A1345" s="27">
        <v>40711</v>
      </c>
      <c r="B1345" s="27" t="s">
        <v>503</v>
      </c>
      <c r="C1345" s="27" t="s">
        <v>5543</v>
      </c>
      <c r="E1345" s="27">
        <v>1</v>
      </c>
      <c r="F1345" s="27">
        <v>3</v>
      </c>
      <c r="H1345" s="27">
        <v>44</v>
      </c>
      <c r="I1345" s="27" t="str">
        <f>IF(H1345="","",VLOOKUP(H1345,'#状态名词'!$A$2:$C$99,2))</f>
        <v>dotup</v>
      </c>
      <c r="J1345" s="27" t="str">
        <f>IF(H1345="","",VLOOKUP(H1345,'#状态名词'!$A$2:$C$99,3))</f>
        <v>持续伤害强化</v>
      </c>
      <c r="K1345" s="26" t="s">
        <v>5544</v>
      </c>
    </row>
    <row r="1346" spans="1:11">
      <c r="A1346" s="27">
        <v>40712</v>
      </c>
      <c r="B1346" s="27" t="s">
        <v>504</v>
      </c>
      <c r="C1346" s="20" t="s">
        <v>505</v>
      </c>
      <c r="E1346" s="27">
        <v>1</v>
      </c>
      <c r="F1346" s="27">
        <v>-1</v>
      </c>
      <c r="H1346" s="27">
        <v>42</v>
      </c>
      <c r="I1346" s="27" t="str">
        <f>IF(H1346="","",VLOOKUP(H1346,'#状态名词'!$A$2:$C$99,2))</f>
        <v>turn_heal</v>
      </c>
      <c r="J1346" s="27" t="str">
        <f>IF(H1346="","",VLOOKUP(H1346,'#状态名词'!$A$2:$C$99,3))</f>
        <v>回合回复</v>
      </c>
      <c r="K1346" s="26" t="s">
        <v>5545</v>
      </c>
    </row>
    <row r="1347" spans="1:11">
      <c r="A1347" s="27">
        <v>40713</v>
      </c>
      <c r="B1347" s="20" t="s">
        <v>506</v>
      </c>
      <c r="C1347" s="20" t="s">
        <v>5546</v>
      </c>
      <c r="E1347" s="27">
        <v>10</v>
      </c>
      <c r="F1347" s="27">
        <v>-1</v>
      </c>
      <c r="H1347" s="27">
        <v>24</v>
      </c>
      <c r="I1347" s="27" t="str">
        <f>IF(H1347="","",VLOOKUP(H1347,'#状态名词'!$A$2:$C$99,2))</f>
        <v>heal</v>
      </c>
      <c r="J1347" s="27" t="str">
        <f>IF(H1347="","",VLOOKUP(H1347,'#状态名词'!$A$2:$C$99,3))</f>
        <v>治疗效果+</v>
      </c>
      <c r="K1347" s="26" t="s">
        <v>5547</v>
      </c>
    </row>
    <row r="1348" spans="1:11">
      <c r="A1348" s="27">
        <v>40714</v>
      </c>
      <c r="B1348" s="20" t="s">
        <v>507</v>
      </c>
      <c r="C1348" s="20" t="s">
        <v>5548</v>
      </c>
      <c r="E1348" s="27">
        <v>1</v>
      </c>
      <c r="F1348" s="27">
        <v>-1</v>
      </c>
      <c r="H1348" s="27">
        <v>61</v>
      </c>
      <c r="I1348" s="27" t="str">
        <f>IF(H1348="","",VLOOKUP(H1348,'#状态名词'!$A$2:$C$99,2))</f>
        <v>team_ad</v>
      </c>
      <c r="J1348" s="27" t="str">
        <f>IF(H1348="","",VLOOKUP(H1348,'#状态名词'!$A$2:$C$99,3))</f>
        <v>队伍AD</v>
      </c>
      <c r="K1348" s="26" t="s">
        <v>5549</v>
      </c>
    </row>
    <row r="1349" spans="1:11">
      <c r="A1349" s="27">
        <v>40715</v>
      </c>
      <c r="B1349" s="20" t="s">
        <v>508</v>
      </c>
      <c r="C1349" s="20" t="s">
        <v>4681</v>
      </c>
      <c r="E1349" s="27">
        <v>1</v>
      </c>
      <c r="F1349" s="27">
        <v>-1</v>
      </c>
      <c r="H1349" s="27">
        <v>62</v>
      </c>
      <c r="I1349" s="27" t="str">
        <f>IF(H1349="","",VLOOKUP(H1349,'#状态名词'!$A$2:$C$99,2))</f>
        <v>team_ap</v>
      </c>
      <c r="J1349" s="27" t="str">
        <f>IF(H1349="","",VLOOKUP(H1349,'#状态名词'!$A$2:$C$99,3))</f>
        <v>队伍AP</v>
      </c>
      <c r="K1349" s="26" t="s">
        <v>5549</v>
      </c>
    </row>
    <row r="1350" spans="1:11">
      <c r="A1350" s="27">
        <v>40717</v>
      </c>
      <c r="B1350" s="20" t="s">
        <v>511</v>
      </c>
      <c r="C1350" s="20" t="s">
        <v>5550</v>
      </c>
      <c r="E1350" s="27">
        <v>1</v>
      </c>
      <c r="F1350" s="27">
        <v>-1</v>
      </c>
      <c r="H1350" s="27">
        <v>24</v>
      </c>
      <c r="I1350" s="27" t="str">
        <f>IF(H1350="","",VLOOKUP(H1350,'#状态名词'!$A$2:$C$99,2))</f>
        <v>heal</v>
      </c>
      <c r="J1350" s="27" t="str">
        <f>IF(H1350="","",VLOOKUP(H1350,'#状态名词'!$A$2:$C$99,3))</f>
        <v>治疗效果+</v>
      </c>
      <c r="K1350" s="26" t="s">
        <v>5541</v>
      </c>
    </row>
    <row r="1351" spans="1:11">
      <c r="A1351" s="27">
        <v>40720</v>
      </c>
      <c r="B1351" s="20" t="s">
        <v>7465</v>
      </c>
      <c r="C1351" s="20" t="s">
        <v>5551</v>
      </c>
      <c r="E1351" s="27">
        <v>1</v>
      </c>
      <c r="F1351" s="27">
        <v>-1</v>
      </c>
      <c r="H1351" s="27">
        <v>24</v>
      </c>
      <c r="I1351" s="27" t="str">
        <f>IF(H1351="","",VLOOKUP(H1351,'#状态名词'!$A$2:$C$99,2))</f>
        <v>heal</v>
      </c>
      <c r="J1351" s="27" t="str">
        <f>IF(H1351="","",VLOOKUP(H1351,'#状态名词'!$A$2:$C$99,3))</f>
        <v>治疗效果+</v>
      </c>
      <c r="K1351" s="26" t="s">
        <v>5438</v>
      </c>
    </row>
    <row r="1352" spans="1:11">
      <c r="A1352" s="27">
        <v>40718</v>
      </c>
      <c r="B1352" s="20" t="s">
        <v>513</v>
      </c>
      <c r="C1352" s="20" t="s">
        <v>4682</v>
      </c>
      <c r="E1352" s="27">
        <v>1</v>
      </c>
      <c r="F1352" s="27">
        <v>-1</v>
      </c>
      <c r="H1352" s="27">
        <v>1</v>
      </c>
      <c r="I1352" s="27" t="str">
        <f>IF(H1352="","",VLOOKUP(H1352,'#状态名词'!$A$2:$C$99,2))</f>
        <v>skilldama</v>
      </c>
      <c r="J1352" s="27" t="str">
        <f>IF(H1352="","",VLOOKUP(H1352,'#状态名词'!$A$2:$C$99,3))</f>
        <v>技能伤害和治疗效果提升B类</v>
      </c>
      <c r="K1352" s="26" t="s">
        <v>5552</v>
      </c>
    </row>
    <row r="1353" spans="1:11">
      <c r="A1353" s="27">
        <v>40801</v>
      </c>
      <c r="B1353" s="20" t="s">
        <v>97</v>
      </c>
      <c r="C1353" s="20" t="s">
        <v>4683</v>
      </c>
      <c r="E1353" s="27">
        <v>1</v>
      </c>
      <c r="F1353" s="27">
        <v>-1</v>
      </c>
      <c r="H1353" s="27">
        <v>61</v>
      </c>
      <c r="I1353" s="27" t="str">
        <f>IF(H1353="","",VLOOKUP(H1353,'#状态名词'!$A$2:$C$99,2))</f>
        <v>team_ad</v>
      </c>
      <c r="J1353" s="27" t="str">
        <f>IF(H1353="","",VLOOKUP(H1353,'#状态名词'!$A$2:$C$99,3))</f>
        <v>队伍AD</v>
      </c>
      <c r="K1353" s="26" t="s">
        <v>5553</v>
      </c>
    </row>
    <row r="1354" spans="1:11">
      <c r="A1354" s="27">
        <v>40802</v>
      </c>
      <c r="B1354" s="20" t="s">
        <v>514</v>
      </c>
      <c r="C1354" s="20" t="s">
        <v>4684</v>
      </c>
      <c r="E1354" s="27">
        <v>1</v>
      </c>
      <c r="F1354" s="27">
        <v>-1</v>
      </c>
      <c r="H1354" s="27">
        <v>62</v>
      </c>
      <c r="I1354" s="27" t="str">
        <f>IF(H1354="","",VLOOKUP(H1354,'#状态名词'!$A$2:$C$99,2))</f>
        <v>team_ap</v>
      </c>
      <c r="J1354" s="27" t="str">
        <f>IF(H1354="","",VLOOKUP(H1354,'#状态名词'!$A$2:$C$99,3))</f>
        <v>队伍AP</v>
      </c>
      <c r="K1354" s="26" t="s">
        <v>5553</v>
      </c>
    </row>
    <row r="1355" spans="1:11">
      <c r="A1355" s="27">
        <v>40803</v>
      </c>
      <c r="B1355" s="20" t="s">
        <v>99</v>
      </c>
      <c r="C1355" s="20" t="s">
        <v>2056</v>
      </c>
      <c r="E1355" s="27">
        <v>1</v>
      </c>
      <c r="F1355" s="27">
        <v>-1</v>
      </c>
      <c r="H1355" s="27">
        <v>65</v>
      </c>
      <c r="I1355" s="27" t="str">
        <f>IF(H1355="","",VLOOKUP(H1355,'#状态名词'!$A$2:$C$99,2))</f>
        <v>str</v>
      </c>
      <c r="J1355" s="27" t="str">
        <f>IF(H1355="","",VLOOKUP(H1355,'#状态名词'!$A$2:$C$99,3))</f>
        <v>力量</v>
      </c>
      <c r="K1355" s="26" t="s">
        <v>5460</v>
      </c>
    </row>
    <row r="1356" spans="1:11">
      <c r="B1356" s="20" t="s">
        <v>84</v>
      </c>
      <c r="C1356" s="20"/>
      <c r="H1356" s="27">
        <v>67</v>
      </c>
      <c r="I1356" s="27" t="str">
        <f>IF(H1356="","",VLOOKUP(H1356,'#状态名词'!$A$2:$C$99,2))</f>
        <v>inte</v>
      </c>
      <c r="J1356" s="27" t="str">
        <f>IF(H1356="","",VLOOKUP(H1356,'#状态名词'!$A$2:$C$99,3))</f>
        <v>智力</v>
      </c>
      <c r="K1356" s="26" t="s">
        <v>5460</v>
      </c>
    </row>
    <row r="1357" spans="1:11">
      <c r="A1357" s="27">
        <v>40804</v>
      </c>
      <c r="B1357" s="20" t="s">
        <v>515</v>
      </c>
      <c r="C1357" s="20" t="s">
        <v>4614</v>
      </c>
      <c r="E1357" s="27">
        <v>1</v>
      </c>
      <c r="F1357" s="27">
        <v>-1</v>
      </c>
      <c r="H1357" s="27">
        <v>24</v>
      </c>
      <c r="I1357" s="27" t="str">
        <f>IF(H1357="","",VLOOKUP(H1357,'#状态名词'!$A$2:$C$99,2))</f>
        <v>heal</v>
      </c>
      <c r="J1357" s="27" t="str">
        <f>IF(H1357="","",VLOOKUP(H1357,'#状态名词'!$A$2:$C$99,3))</f>
        <v>治疗效果+</v>
      </c>
      <c r="K1357" s="26" t="s">
        <v>5428</v>
      </c>
    </row>
    <row r="1358" spans="1:11">
      <c r="A1358" s="27">
        <v>40805</v>
      </c>
      <c r="B1358" s="20" t="s">
        <v>98</v>
      </c>
      <c r="C1358" s="21" t="s">
        <v>2059</v>
      </c>
      <c r="E1358" s="27">
        <v>1</v>
      </c>
      <c r="F1358" s="27">
        <v>-1</v>
      </c>
      <c r="H1358" s="27">
        <v>54</v>
      </c>
      <c r="I1358" s="27" t="str">
        <f>IF(H1358="","",VLOOKUP(H1358,'#状态名词'!$A$2:$C$99,2))</f>
        <v>spi</v>
      </c>
      <c r="J1358" s="27" t="str">
        <f>IF(H1358="","",VLOOKUP(H1358,'#状态名词'!$A$2:$C$99,3))</f>
        <v>精神</v>
      </c>
      <c r="K1358" s="26" t="s">
        <v>5482</v>
      </c>
    </row>
    <row r="1359" spans="1:11">
      <c r="A1359" s="27">
        <v>40808</v>
      </c>
      <c r="B1359" s="20" t="s">
        <v>517</v>
      </c>
      <c r="C1359" s="21" t="s">
        <v>4686</v>
      </c>
      <c r="E1359" s="27">
        <v>1</v>
      </c>
      <c r="F1359" s="27">
        <v>-1</v>
      </c>
      <c r="H1359" s="27">
        <v>24</v>
      </c>
      <c r="I1359" s="27" t="str">
        <f>IF(H1359="","",VLOOKUP(H1359,'#状态名词'!$A$2:$C$99,2))</f>
        <v>heal</v>
      </c>
      <c r="J1359" s="27" t="str">
        <f>IF(H1359="","",VLOOKUP(H1359,'#状态名词'!$A$2:$C$99,3))</f>
        <v>治疗效果+</v>
      </c>
      <c r="K1359" s="26" t="s">
        <v>5429</v>
      </c>
    </row>
    <row r="1360" spans="1:11">
      <c r="A1360" s="27">
        <v>40809</v>
      </c>
      <c r="B1360" s="20" t="s">
        <v>518</v>
      </c>
      <c r="C1360" s="21" t="s">
        <v>2100</v>
      </c>
      <c r="E1360" s="27">
        <v>1</v>
      </c>
      <c r="F1360" s="27">
        <v>-1</v>
      </c>
      <c r="H1360" s="27">
        <v>13</v>
      </c>
      <c r="I1360" s="27" t="str">
        <f>IF(H1360="","",VLOOKUP(H1360,'#状态名词'!$A$2:$C$99,2))</f>
        <v>arm</v>
      </c>
      <c r="J1360" s="27" t="str">
        <f>IF(H1360="","",VLOOKUP(H1360,'#状态名词'!$A$2:$C$99,3))</f>
        <v>ARM+</v>
      </c>
      <c r="K1360" s="26" t="s">
        <v>5486</v>
      </c>
    </row>
    <row r="1361" spans="1:12">
      <c r="A1361" s="27">
        <v>40811</v>
      </c>
      <c r="B1361" s="20" t="s">
        <v>521</v>
      </c>
      <c r="C1361" s="20" t="s">
        <v>5554</v>
      </c>
      <c r="E1361" s="27">
        <v>1</v>
      </c>
      <c r="F1361" s="27">
        <v>-1</v>
      </c>
      <c r="H1361" s="27">
        <v>24</v>
      </c>
      <c r="I1361" s="27" t="str">
        <f>IF(H1361="","",VLOOKUP(H1361,'#状态名词'!$A$2:$C$99,2))</f>
        <v>heal</v>
      </c>
      <c r="J1361" s="27" t="str">
        <f>IF(H1361="","",VLOOKUP(H1361,'#状态名词'!$A$2:$C$99,3))</f>
        <v>治疗效果+</v>
      </c>
      <c r="K1361" s="26" t="s">
        <v>5555</v>
      </c>
    </row>
    <row r="1362" spans="1:12">
      <c r="A1362" s="27">
        <v>40812</v>
      </c>
      <c r="B1362" s="20" t="s">
        <v>526</v>
      </c>
      <c r="C1362" s="21" t="s">
        <v>4689</v>
      </c>
      <c r="E1362" s="27">
        <v>1</v>
      </c>
      <c r="F1362" s="27">
        <v>-1</v>
      </c>
      <c r="H1362" s="27">
        <v>21</v>
      </c>
      <c r="I1362" s="27" t="str">
        <f>IF(H1362="","",VLOOKUP(H1362,'#状态名词'!$A$2:$C$99,2))</f>
        <v>speed</v>
      </c>
      <c r="J1362" s="27" t="str">
        <f>IF(H1362="","",VLOOKUP(H1362,'#状态名词'!$A$2:$C$99,3))</f>
        <v>速度+</v>
      </c>
      <c r="K1362" s="26" t="s">
        <v>5438</v>
      </c>
    </row>
    <row r="1363" spans="1:12">
      <c r="B1363" s="20" t="s">
        <v>84</v>
      </c>
      <c r="C1363" s="21"/>
      <c r="H1363" s="27">
        <v>58</v>
      </c>
      <c r="I1363" s="27" t="str">
        <f>IF(H1363="","",VLOOKUP(H1363,'#状态名词'!$A$2:$C$99,2))</f>
        <v>vit</v>
      </c>
      <c r="J1363" s="27" t="str">
        <f>IF(H1363="","",VLOOKUP(H1363,'#状态名词'!$A$2:$C$99,3))</f>
        <v>体力</v>
      </c>
      <c r="K1363" s="26" t="s">
        <v>5556</v>
      </c>
    </row>
    <row r="1364" spans="1:12">
      <c r="A1364" s="27">
        <v>40815</v>
      </c>
      <c r="B1364" s="20" t="s">
        <v>531</v>
      </c>
      <c r="C1364" s="20" t="s">
        <v>4690</v>
      </c>
      <c r="E1364" s="27">
        <v>1</v>
      </c>
      <c r="F1364" s="27">
        <v>-1</v>
      </c>
      <c r="H1364" s="27">
        <v>25</v>
      </c>
      <c r="I1364" s="27" t="str">
        <f>IF(H1364="","",VLOOKUP(H1364,'#状态名词'!$A$2:$C$99,2))</f>
        <v>duochong</v>
      </c>
      <c r="J1364" s="27" t="str">
        <f>IF(H1364="","",VLOOKUP(H1364,'#状态名词'!$A$2:$C$99,3))</f>
        <v>多重施法</v>
      </c>
      <c r="K1364" s="26" t="s">
        <v>5440</v>
      </c>
    </row>
    <row r="1365" spans="1:12">
      <c r="B1365" s="20" t="s">
        <v>84</v>
      </c>
      <c r="C1365" s="21"/>
      <c r="H1365" s="27">
        <v>23</v>
      </c>
      <c r="I1365" s="27" t="str">
        <f>IF(H1365="","",VLOOKUP(H1365,'#状态名词'!$A$2:$C$99,2))</f>
        <v>steal</v>
      </c>
      <c r="J1365" s="27" t="str">
        <f>IF(H1365="","",VLOOKUP(H1365,'#状态名词'!$A$2:$C$99,3))</f>
        <v>生命偷取</v>
      </c>
      <c r="K1365" s="26" t="s">
        <v>5438</v>
      </c>
    </row>
    <row r="1366" spans="1:12">
      <c r="A1366" s="27">
        <v>40816</v>
      </c>
      <c r="B1366" s="20" t="s">
        <v>532</v>
      </c>
      <c r="C1366" s="21" t="s">
        <v>5557</v>
      </c>
      <c r="E1366" s="27">
        <v>1</v>
      </c>
      <c r="F1366" s="27">
        <v>-1</v>
      </c>
      <c r="H1366" s="27">
        <v>1</v>
      </c>
      <c r="I1366" s="27" t="str">
        <f>IF(H1366="","",VLOOKUP(H1366,'#状态名词'!$A$2:$C$99,2))</f>
        <v>skilldama</v>
      </c>
      <c r="J1366" s="27" t="str">
        <f>IF(H1366="","",VLOOKUP(H1366,'#状态名词'!$A$2:$C$99,3))</f>
        <v>技能伤害和治疗效果提升B类</v>
      </c>
      <c r="K1366" s="26" t="s">
        <v>5529</v>
      </c>
      <c r="L1366" s="27">
        <v>40810</v>
      </c>
    </row>
    <row r="1367" spans="1:12">
      <c r="A1367" s="27">
        <v>40818</v>
      </c>
      <c r="B1367" s="20" t="s">
        <v>534</v>
      </c>
      <c r="C1367" s="21" t="s">
        <v>5558</v>
      </c>
      <c r="E1367" s="27">
        <v>1</v>
      </c>
      <c r="F1367" s="27">
        <v>-1</v>
      </c>
      <c r="H1367" s="27">
        <v>24</v>
      </c>
      <c r="I1367" s="27" t="str">
        <f>IF(H1367="","",VLOOKUP(H1367,'#状态名词'!$A$2:$C$99,2))</f>
        <v>heal</v>
      </c>
      <c r="J1367" s="27" t="str">
        <f>IF(H1367="","",VLOOKUP(H1367,'#状态名词'!$A$2:$C$99,3))</f>
        <v>治疗效果+</v>
      </c>
      <c r="K1367" s="26" t="s">
        <v>5559</v>
      </c>
    </row>
    <row r="1368" spans="1:12">
      <c r="A1368" s="27">
        <v>40901</v>
      </c>
      <c r="B1368" s="20" t="s">
        <v>535</v>
      </c>
      <c r="C1368" s="21" t="s">
        <v>4603</v>
      </c>
      <c r="E1368" s="27">
        <v>1</v>
      </c>
      <c r="F1368" s="27">
        <v>-1</v>
      </c>
      <c r="H1368" s="27">
        <v>21</v>
      </c>
      <c r="I1368" s="27" t="str">
        <f>IF(H1368="","",VLOOKUP(H1368,'#状态名词'!$A$2:$C$99,2))</f>
        <v>speed</v>
      </c>
      <c r="J1368" s="27" t="str">
        <f>IF(H1368="","",VLOOKUP(H1368,'#状态名词'!$A$2:$C$99,3))</f>
        <v>速度+</v>
      </c>
      <c r="K1368" s="26" t="s">
        <v>5428</v>
      </c>
    </row>
    <row r="1369" spans="1:12">
      <c r="A1369" s="27">
        <v>40902</v>
      </c>
      <c r="B1369" s="20" t="s">
        <v>536</v>
      </c>
      <c r="C1369" s="21" t="s">
        <v>4693</v>
      </c>
      <c r="E1369" s="27">
        <v>1</v>
      </c>
      <c r="F1369" s="27">
        <v>-1</v>
      </c>
      <c r="H1369" s="27">
        <v>17</v>
      </c>
      <c r="I1369" s="27" t="str">
        <f>IF(H1369="","",VLOOKUP(H1369,'#状态名词'!$A$2:$C$99,2))</f>
        <v>adi</v>
      </c>
      <c r="J1369" s="27" t="str">
        <f>IF(H1369="","",VLOOKUP(H1369,'#状态名词'!$A$2:$C$99,3))</f>
        <v>物穿</v>
      </c>
      <c r="K1369" s="26" t="s">
        <v>5438</v>
      </c>
    </row>
    <row r="1370" spans="1:12">
      <c r="B1370" s="20" t="s">
        <v>84</v>
      </c>
      <c r="C1370" s="21"/>
      <c r="H1370" s="27">
        <v>18</v>
      </c>
      <c r="I1370" s="27" t="str">
        <f>IF(H1370="","",VLOOKUP(H1370,'#状态名词'!$A$2:$C$99,2))</f>
        <v>api</v>
      </c>
      <c r="J1370" s="27" t="str">
        <f>IF(H1370="","",VLOOKUP(H1370,'#状态名词'!$A$2:$C$99,3))</f>
        <v>法穿</v>
      </c>
      <c r="K1370" s="26" t="s">
        <v>5438</v>
      </c>
    </row>
    <row r="1371" spans="1:12">
      <c r="A1371" s="27">
        <v>40903</v>
      </c>
      <c r="B1371" s="20" t="s">
        <v>537</v>
      </c>
      <c r="C1371" s="21" t="s">
        <v>2056</v>
      </c>
      <c r="E1371" s="27">
        <v>1</v>
      </c>
      <c r="F1371" s="27">
        <v>-1</v>
      </c>
      <c r="H1371" s="27">
        <v>65</v>
      </c>
      <c r="I1371" s="27" t="str">
        <f>IF(H1371="","",VLOOKUP(H1371,'#状态名词'!$A$2:$C$99,2))</f>
        <v>str</v>
      </c>
      <c r="J1371" s="27" t="str">
        <f>IF(H1371="","",VLOOKUP(H1371,'#状态名词'!$A$2:$C$99,3))</f>
        <v>力量</v>
      </c>
      <c r="K1371" s="26" t="s">
        <v>5460</v>
      </c>
    </row>
    <row r="1372" spans="1:12">
      <c r="B1372" s="20" t="s">
        <v>84</v>
      </c>
      <c r="C1372" s="21"/>
      <c r="H1372" s="27">
        <v>67</v>
      </c>
      <c r="I1372" s="27" t="str">
        <f>IF(H1372="","",VLOOKUP(H1372,'#状态名词'!$A$2:$C$99,2))</f>
        <v>inte</v>
      </c>
      <c r="J1372" s="27" t="str">
        <f>IF(H1372="","",VLOOKUP(H1372,'#状态名词'!$A$2:$C$99,3))</f>
        <v>智力</v>
      </c>
      <c r="K1372" s="26" t="s">
        <v>5460</v>
      </c>
    </row>
    <row r="1373" spans="1:12">
      <c r="A1373" s="27">
        <v>40904</v>
      </c>
      <c r="B1373" s="20" t="s">
        <v>538</v>
      </c>
      <c r="C1373" s="21" t="s">
        <v>5560</v>
      </c>
      <c r="E1373" s="27">
        <v>1</v>
      </c>
      <c r="F1373" s="27">
        <v>-1</v>
      </c>
      <c r="H1373" s="27">
        <v>51</v>
      </c>
      <c r="I1373" s="27" t="str">
        <f>IF(H1373="","",VLOOKUP(H1373,'#状态名词'!$A$2:$C$99,2))</f>
        <v>rageupper</v>
      </c>
      <c r="J1373" s="27" t="str">
        <f>IF(H1373="","",VLOOKUP(H1373,'#状态名词'!$A$2:$C$99,3))</f>
        <v>怒气上限</v>
      </c>
      <c r="K1373" s="26" t="s">
        <v>597</v>
      </c>
    </row>
    <row r="1374" spans="1:12">
      <c r="B1374" s="20" t="s">
        <v>84</v>
      </c>
      <c r="C1374" s="21"/>
      <c r="H1374" s="27">
        <v>52</v>
      </c>
      <c r="I1374" s="27" t="str">
        <f>IF(H1374="","",VLOOKUP(H1374,'#状态名词'!$A$2:$C$99,2))</f>
        <v>energyupper</v>
      </c>
      <c r="J1374" s="27" t="str">
        <f>IF(H1374="","",VLOOKUP(H1374,'#状态名词'!$A$2:$C$99,3))</f>
        <v>能量上限</v>
      </c>
      <c r="K1374" s="26" t="s">
        <v>597</v>
      </c>
    </row>
    <row r="1375" spans="1:12" ht="12.75" customHeight="1">
      <c r="B1375" s="20" t="s">
        <v>84</v>
      </c>
      <c r="C1375" s="21"/>
      <c r="H1375" s="27">
        <v>53</v>
      </c>
      <c r="I1375" s="27" t="str">
        <f>IF(H1375="","",VLOOKUP(H1375,'#状态名词'!$A$2:$C$99,2))</f>
        <v>manaupper</v>
      </c>
      <c r="J1375" s="27" t="str">
        <f>IF(H1375="","",VLOOKUP(H1375,'#状态名词'!$A$2:$C$99,3))</f>
        <v>法力上限</v>
      </c>
      <c r="K1375" s="26" t="s">
        <v>597</v>
      </c>
    </row>
    <row r="1376" spans="1:12">
      <c r="A1376" s="27">
        <v>40906</v>
      </c>
      <c r="B1376" s="20" t="s">
        <v>540</v>
      </c>
      <c r="C1376" s="21" t="s">
        <v>4697</v>
      </c>
      <c r="E1376" s="27">
        <v>-1</v>
      </c>
      <c r="F1376" s="27">
        <v>0</v>
      </c>
      <c r="H1376" s="27">
        <v>19</v>
      </c>
      <c r="I1376" s="27" t="str">
        <f>IF(H1376="","",VLOOKUP(H1376,'#状态名词'!$A$2:$C$99,2))</f>
        <v>rating</v>
      </c>
      <c r="J1376" s="27" t="str">
        <f>IF(H1376="","",VLOOKUP(H1376,'#状态名词'!$A$2:$C$99,3))</f>
        <v>暴击+</v>
      </c>
      <c r="K1376" s="26" t="s">
        <v>5522</v>
      </c>
    </row>
    <row r="1377" spans="1:12">
      <c r="B1377" s="20" t="s">
        <v>84</v>
      </c>
      <c r="C1377" s="21"/>
      <c r="H1377" s="27">
        <v>20</v>
      </c>
      <c r="I1377" s="27" t="str">
        <f>IF(H1377="","",VLOOKUP(H1377,'#状态名词'!$A$2:$C$99,2))</f>
        <v>ratingdamage</v>
      </c>
      <c r="J1377" s="27" t="str">
        <f>IF(H1377="","",VLOOKUP(H1377,'#状态名词'!$A$2:$C$99,3))</f>
        <v>暴伤+</v>
      </c>
      <c r="K1377" s="26" t="s">
        <v>5517</v>
      </c>
    </row>
    <row r="1378" spans="1:12">
      <c r="A1378" s="27">
        <v>40907</v>
      </c>
      <c r="B1378" s="20" t="s">
        <v>541</v>
      </c>
      <c r="C1378" s="20" t="s">
        <v>4698</v>
      </c>
      <c r="E1378" s="27">
        <v>1</v>
      </c>
      <c r="F1378" s="27">
        <v>-1</v>
      </c>
      <c r="H1378" s="27">
        <v>19</v>
      </c>
      <c r="I1378" s="27" t="str">
        <f>IF(H1378="","",VLOOKUP(H1378,'#状态名词'!$A$2:$C$99,2))</f>
        <v>rating</v>
      </c>
      <c r="J1378" s="27" t="str">
        <f>IF(H1378="","",VLOOKUP(H1378,'#状态名词'!$A$2:$C$99,3))</f>
        <v>暴击+</v>
      </c>
      <c r="K1378" s="26" t="s">
        <v>5465</v>
      </c>
    </row>
    <row r="1379" spans="1:12">
      <c r="B1379" s="20" t="s">
        <v>84</v>
      </c>
      <c r="C1379" s="20"/>
      <c r="H1379" s="27">
        <v>20</v>
      </c>
      <c r="I1379" s="27" t="str">
        <f>IF(H1379="","",VLOOKUP(H1379,'#状态名词'!$A$2:$C$99,2))</f>
        <v>ratingdamage</v>
      </c>
      <c r="J1379" s="27" t="str">
        <f>IF(H1379="","",VLOOKUP(H1379,'#状态名词'!$A$2:$C$99,3))</f>
        <v>暴伤+</v>
      </c>
      <c r="K1379" s="26" t="s">
        <v>5493</v>
      </c>
    </row>
    <row r="1380" spans="1:12">
      <c r="A1380" s="27">
        <v>40908</v>
      </c>
      <c r="B1380" s="20" t="s">
        <v>542</v>
      </c>
      <c r="C1380" s="21" t="s">
        <v>5561</v>
      </c>
      <c r="E1380" s="27">
        <v>1</v>
      </c>
      <c r="F1380" s="27">
        <v>-1</v>
      </c>
      <c r="H1380" s="27">
        <v>1</v>
      </c>
      <c r="I1380" s="27" t="str">
        <f>IF(H1380="","",VLOOKUP(H1380,'#状态名词'!$A$2:$C$99,2))</f>
        <v>skilldama</v>
      </c>
      <c r="J1380" s="27" t="str">
        <f>IF(H1380="","",VLOOKUP(H1380,'#状态名词'!$A$2:$C$99,3))</f>
        <v>技能伤害和治疗效果提升B类</v>
      </c>
      <c r="K1380" s="26" t="s">
        <v>5531</v>
      </c>
      <c r="L1380" s="27">
        <v>40905</v>
      </c>
    </row>
    <row r="1381" spans="1:12" ht="27">
      <c r="A1381" s="27">
        <v>40910</v>
      </c>
      <c r="B1381" s="20" t="s">
        <v>544</v>
      </c>
      <c r="C1381" s="21" t="s">
        <v>5562</v>
      </c>
      <c r="E1381" s="27">
        <v>1</v>
      </c>
      <c r="F1381" s="27">
        <v>0</v>
      </c>
      <c r="H1381" s="27">
        <v>23</v>
      </c>
      <c r="I1381" s="27" t="str">
        <f>IF(H1381="","",VLOOKUP(H1381,'#状态名词'!$A$2:$C$99,2))</f>
        <v>steal</v>
      </c>
      <c r="J1381" s="27" t="str">
        <f>IF(H1381="","",VLOOKUP(H1381,'#状态名词'!$A$2:$C$99,3))</f>
        <v>生命偷取</v>
      </c>
      <c r="K1381" s="26" t="s">
        <v>5563</v>
      </c>
    </row>
    <row r="1382" spans="1:12">
      <c r="B1382" s="20" t="s">
        <v>84</v>
      </c>
      <c r="C1382" s="21"/>
      <c r="H1382" s="27">
        <v>20</v>
      </c>
      <c r="I1382" s="27" t="str">
        <f>IF(H1382="","",VLOOKUP(H1382,'#状态名词'!$A$2:$C$99,2))</f>
        <v>ratingdamage</v>
      </c>
      <c r="J1382" s="27" t="str">
        <f>IF(H1382="","",VLOOKUP(H1382,'#状态名词'!$A$2:$C$99,3))</f>
        <v>暴伤+</v>
      </c>
      <c r="K1382" s="26" t="s">
        <v>5563</v>
      </c>
    </row>
    <row r="1383" spans="1:12">
      <c r="A1383" s="27">
        <v>40911</v>
      </c>
      <c r="B1383" s="20" t="s">
        <v>545</v>
      </c>
      <c r="C1383" s="21" t="s">
        <v>4701</v>
      </c>
      <c r="E1383" s="27">
        <v>1</v>
      </c>
      <c r="F1383" s="27">
        <v>-1</v>
      </c>
      <c r="H1383" s="27">
        <v>42</v>
      </c>
      <c r="I1383" s="27" t="str">
        <f>IF(H1383="","",VLOOKUP(H1383,'#状态名词'!$A$2:$C$99,2))</f>
        <v>turn_heal</v>
      </c>
      <c r="J1383" s="27" t="str">
        <f>IF(H1383="","",VLOOKUP(H1383,'#状态名词'!$A$2:$C$99,3))</f>
        <v>回合回复</v>
      </c>
      <c r="K1383" s="26" t="s">
        <v>5564</v>
      </c>
    </row>
    <row r="1384" spans="1:12">
      <c r="B1384" s="20" t="s">
        <v>84</v>
      </c>
      <c r="C1384" s="21"/>
      <c r="H1384" s="27">
        <v>25</v>
      </c>
      <c r="I1384" s="27" t="str">
        <f>IF(H1384="","",VLOOKUP(H1384,'#状态名词'!$A$2:$C$99,2))</f>
        <v>duochong</v>
      </c>
      <c r="J1384" s="27" t="str">
        <f>IF(H1384="","",VLOOKUP(H1384,'#状态名词'!$A$2:$C$99,3))</f>
        <v>多重施法</v>
      </c>
      <c r="K1384" s="26" t="s">
        <v>5440</v>
      </c>
    </row>
    <row r="1385" spans="1:12">
      <c r="A1385" s="27">
        <v>40912</v>
      </c>
      <c r="B1385" s="20" t="s">
        <v>546</v>
      </c>
      <c r="C1385" s="21" t="s">
        <v>5565</v>
      </c>
      <c r="E1385" s="27">
        <v>1</v>
      </c>
      <c r="F1385" s="27">
        <v>-1</v>
      </c>
      <c r="H1385" s="27">
        <v>61</v>
      </c>
      <c r="I1385" s="27" t="str">
        <f>IF(H1385="","",VLOOKUP(H1385,'#状态名词'!$A$2:$C$99,2))</f>
        <v>team_ad</v>
      </c>
      <c r="J1385" s="27" t="str">
        <f>IF(H1385="","",VLOOKUP(H1385,'#状态名词'!$A$2:$C$99,3))</f>
        <v>队伍AD</v>
      </c>
      <c r="K1385" s="26" t="s">
        <v>5440</v>
      </c>
    </row>
    <row r="1386" spans="1:12">
      <c r="B1386" s="20" t="s">
        <v>84</v>
      </c>
      <c r="C1386" s="21"/>
      <c r="H1386" s="27">
        <v>62</v>
      </c>
      <c r="I1386" s="27" t="str">
        <f>IF(H1386="","",VLOOKUP(H1386,'#状态名词'!$A$2:$C$99,2))</f>
        <v>team_ap</v>
      </c>
      <c r="J1386" s="27" t="str">
        <f>IF(H1386="","",VLOOKUP(H1386,'#状态名词'!$A$2:$C$99,3))</f>
        <v>队伍AP</v>
      </c>
      <c r="K1386" s="26" t="s">
        <v>5440</v>
      </c>
    </row>
    <row r="1387" spans="1:12" ht="27">
      <c r="A1387" s="27">
        <v>40913</v>
      </c>
      <c r="B1387" s="20" t="s">
        <v>547</v>
      </c>
      <c r="C1387" s="21" t="s">
        <v>5566</v>
      </c>
      <c r="E1387" s="27">
        <v>1</v>
      </c>
      <c r="F1387" s="27">
        <v>0</v>
      </c>
      <c r="H1387" s="27">
        <v>24</v>
      </c>
      <c r="I1387" s="27" t="str">
        <f>IF(H1387="","",VLOOKUP(H1387,'#状态名词'!$A$2:$C$99,2))</f>
        <v>heal</v>
      </c>
      <c r="J1387" s="27" t="str">
        <f>IF(H1387="","",VLOOKUP(H1387,'#状态名词'!$A$2:$C$99,3))</f>
        <v>治疗效果+</v>
      </c>
      <c r="K1387" s="26" t="s">
        <v>5567</v>
      </c>
    </row>
    <row r="1388" spans="1:12">
      <c r="B1388" s="20" t="s">
        <v>84</v>
      </c>
      <c r="C1388" s="21"/>
      <c r="H1388" s="27">
        <v>20</v>
      </c>
      <c r="I1388" s="27" t="str">
        <f>IF(H1388="","",VLOOKUP(H1388,'#状态名词'!$A$2:$C$99,2))</f>
        <v>ratingdamage</v>
      </c>
      <c r="J1388" s="27" t="str">
        <f>IF(H1388="","",VLOOKUP(H1388,'#状态名词'!$A$2:$C$99,3))</f>
        <v>暴伤+</v>
      </c>
      <c r="K1388" s="26" t="s">
        <v>5567</v>
      </c>
    </row>
    <row r="1389" spans="1:12">
      <c r="A1389" s="27">
        <v>40914</v>
      </c>
      <c r="B1389" s="20" t="s">
        <v>548</v>
      </c>
      <c r="C1389" s="21" t="s">
        <v>5568</v>
      </c>
      <c r="E1389" s="27">
        <v>-1</v>
      </c>
      <c r="F1389" s="27">
        <v>0</v>
      </c>
      <c r="H1389" s="27">
        <v>46</v>
      </c>
      <c r="I1389" s="27" t="str">
        <f>IF(H1389="","",VLOOKUP(H1389,'#状态名词'!$A$2:$C$99,2))</f>
        <v>energyup</v>
      </c>
      <c r="J1389" s="27" t="str">
        <f>IF(H1389="","",VLOOKUP(H1389,'#状态名词'!$A$2:$C$99,3))</f>
        <v>行动回能量</v>
      </c>
      <c r="K1389" s="26">
        <v>5</v>
      </c>
      <c r="L1389" s="27">
        <v>100</v>
      </c>
    </row>
    <row r="1390" spans="1:12">
      <c r="B1390" s="20" t="s">
        <v>84</v>
      </c>
      <c r="C1390" s="21"/>
      <c r="H1390" s="27">
        <v>47</v>
      </c>
      <c r="I1390" s="27" t="str">
        <f>IF(H1390="","",VLOOKUP(H1390,'#状态名词'!$A$2:$C$99,2))</f>
        <v>manaup</v>
      </c>
      <c r="J1390" s="27" t="str">
        <f>IF(H1390="","",VLOOKUP(H1390,'#状态名词'!$A$2:$C$99,3))</f>
        <v>行动回法力</v>
      </c>
      <c r="K1390" s="26">
        <v>5</v>
      </c>
      <c r="L1390" s="27">
        <v>100</v>
      </c>
    </row>
    <row r="1391" spans="1:12">
      <c r="A1391" s="27">
        <v>40915</v>
      </c>
      <c r="B1391" s="20" t="s">
        <v>553</v>
      </c>
      <c r="C1391" s="21" t="s">
        <v>4704</v>
      </c>
      <c r="E1391" s="27">
        <v>1</v>
      </c>
      <c r="F1391" s="27">
        <v>-1</v>
      </c>
      <c r="G1391" s="27">
        <v>40915</v>
      </c>
      <c r="H1391" s="27">
        <v>63</v>
      </c>
      <c r="I1391" s="27" t="str">
        <f>IF(H1391="","",VLOOKUP(H1391,'#状态名词'!$A$2:$C$99,2))</f>
        <v>comboup</v>
      </c>
      <c r="J1391" s="27" t="str">
        <f>IF(H1391="","",VLOOKUP(H1391,'#状态名词'!$A$2:$C$99,3))</f>
        <v>连锁技能强化</v>
      </c>
      <c r="K1391" s="13" t="s">
        <v>8030</v>
      </c>
    </row>
    <row r="1392" spans="1:12">
      <c r="A1392" s="27">
        <v>40916</v>
      </c>
      <c r="B1392" s="20" t="s">
        <v>554</v>
      </c>
      <c r="C1392" s="21" t="s">
        <v>4705</v>
      </c>
      <c r="E1392" s="27">
        <v>1</v>
      </c>
      <c r="F1392" s="27">
        <v>-1</v>
      </c>
      <c r="G1392" s="27">
        <v>40916</v>
      </c>
      <c r="I1392" s="27" t="str">
        <f>IF(H1392="","",VLOOKUP(H1392,'#状态名词'!$A$2:$C$99,2))</f>
        <v/>
      </c>
      <c r="J1392" s="27" t="str">
        <f>IF(H1392="","",VLOOKUP(H1392,'#状态名词'!$A$2:$C$99,3))</f>
        <v/>
      </c>
    </row>
    <row r="1393" spans="1:11">
      <c r="A1393" s="27">
        <v>40917</v>
      </c>
      <c r="B1393" s="20" t="s">
        <v>555</v>
      </c>
      <c r="C1393" s="21" t="s">
        <v>4706</v>
      </c>
      <c r="E1393" s="27">
        <v>1</v>
      </c>
      <c r="F1393" s="27">
        <v>-1</v>
      </c>
      <c r="G1393" s="27">
        <v>40917</v>
      </c>
      <c r="I1393" s="27" t="str">
        <f>IF(H1393="","",VLOOKUP(H1393,'#状态名词'!$A$2:$C$99,2))</f>
        <v/>
      </c>
      <c r="J1393" s="27" t="str">
        <f>IF(H1393="","",VLOOKUP(H1393,'#状态名词'!$A$2:$C$99,3))</f>
        <v/>
      </c>
    </row>
    <row r="1394" spans="1:11">
      <c r="A1394" s="27">
        <v>40918</v>
      </c>
      <c r="B1394" s="20" t="s">
        <v>557</v>
      </c>
      <c r="C1394" s="21" t="s">
        <v>4707</v>
      </c>
      <c r="E1394" s="27">
        <v>1</v>
      </c>
      <c r="F1394" s="27">
        <v>-1</v>
      </c>
      <c r="G1394" s="27">
        <v>40918</v>
      </c>
      <c r="I1394" s="27" t="str">
        <f>IF(H1394="","",VLOOKUP(H1394,'#状态名词'!$A$2:$C$99,2))</f>
        <v/>
      </c>
      <c r="J1394" s="27" t="str">
        <f>IF(H1394="","",VLOOKUP(H1394,'#状态名词'!$A$2:$C$99,3))</f>
        <v/>
      </c>
    </row>
    <row r="1395" spans="1:11">
      <c r="A1395" s="27">
        <v>41001</v>
      </c>
      <c r="B1395" s="20" t="s">
        <v>558</v>
      </c>
      <c r="C1395" s="21" t="s">
        <v>5569</v>
      </c>
      <c r="E1395" s="27">
        <v>1</v>
      </c>
      <c r="F1395" s="27">
        <v>-1</v>
      </c>
      <c r="H1395" s="27">
        <v>13</v>
      </c>
      <c r="I1395" s="27" t="str">
        <f>IF(H1395="","",VLOOKUP(H1395,'#状态名词'!$A$2:$C$99,2))</f>
        <v>arm</v>
      </c>
      <c r="J1395" s="27" t="str">
        <f>IF(H1395="","",VLOOKUP(H1395,'#状态名词'!$A$2:$C$99,3))</f>
        <v>ARM+</v>
      </c>
      <c r="K1395" s="26" t="s">
        <v>5438</v>
      </c>
    </row>
    <row r="1396" spans="1:11">
      <c r="A1396" s="27">
        <v>41002</v>
      </c>
      <c r="B1396" s="20" t="s">
        <v>559</v>
      </c>
      <c r="C1396" s="20" t="s">
        <v>5487</v>
      </c>
      <c r="E1396" s="27">
        <v>1</v>
      </c>
      <c r="F1396" s="27">
        <v>-1</v>
      </c>
      <c r="H1396" s="27">
        <v>15</v>
      </c>
      <c r="I1396" s="27" t="str">
        <f>IF(H1396="","",VLOOKUP(H1396,'#状态名词'!$A$2:$C$99,2))</f>
        <v>mr</v>
      </c>
      <c r="J1396" s="27" t="str">
        <f>IF(H1396="","",VLOOKUP(H1396,'#状态名词'!$A$2:$C$99,3))</f>
        <v>MR+</v>
      </c>
      <c r="K1396" s="26" t="s">
        <v>5438</v>
      </c>
    </row>
    <row r="1397" spans="1:11">
      <c r="A1397" s="27">
        <v>41003</v>
      </c>
      <c r="B1397" s="20" t="s">
        <v>560</v>
      </c>
      <c r="C1397" s="20" t="s">
        <v>2116</v>
      </c>
      <c r="E1397" s="27">
        <v>1</v>
      </c>
      <c r="F1397" s="27">
        <v>-1</v>
      </c>
      <c r="H1397" s="27">
        <v>65</v>
      </c>
      <c r="I1397" s="27" t="str">
        <f>IF(H1397="","",VLOOKUP(H1397,'#状态名词'!$A$2:$C$99,2))</f>
        <v>str</v>
      </c>
      <c r="J1397" s="27" t="str">
        <f>IF(H1397="","",VLOOKUP(H1397,'#状态名词'!$A$2:$C$99,3))</f>
        <v>力量</v>
      </c>
      <c r="K1397" s="26" t="s">
        <v>5460</v>
      </c>
    </row>
    <row r="1398" spans="1:11">
      <c r="B1398" s="20" t="s">
        <v>84</v>
      </c>
      <c r="C1398" s="21"/>
      <c r="H1398" s="27">
        <v>67</v>
      </c>
      <c r="I1398" s="27" t="str">
        <f>IF(H1398="","",VLOOKUP(H1398,'#状态名词'!$A$2:$C$99,2))</f>
        <v>inte</v>
      </c>
      <c r="J1398" s="27" t="str">
        <f>IF(H1398="","",VLOOKUP(H1398,'#状态名词'!$A$2:$C$99,3))</f>
        <v>智力</v>
      </c>
      <c r="K1398" s="26" t="s">
        <v>5460</v>
      </c>
    </row>
    <row r="1399" spans="1:11">
      <c r="A1399" s="27">
        <v>41004</v>
      </c>
      <c r="B1399" s="20" t="s">
        <v>561</v>
      </c>
      <c r="C1399" s="21" t="s">
        <v>5570</v>
      </c>
      <c r="E1399" s="27">
        <v>1</v>
      </c>
      <c r="F1399" s="27">
        <v>-1</v>
      </c>
      <c r="H1399" s="27">
        <v>61</v>
      </c>
      <c r="I1399" s="27" t="str">
        <f>IF(H1399="","",VLOOKUP(H1399,'#状态名词'!$A$2:$C$99,2))</f>
        <v>team_ad</v>
      </c>
      <c r="J1399" s="27" t="str">
        <f>IF(H1399="","",VLOOKUP(H1399,'#状态名词'!$A$2:$C$99,3))</f>
        <v>队伍AD</v>
      </c>
      <c r="K1399" s="26" t="s">
        <v>5571</v>
      </c>
    </row>
    <row r="1400" spans="1:11">
      <c r="A1400" s="27">
        <v>41005</v>
      </c>
      <c r="B1400" s="27" t="s">
        <v>566</v>
      </c>
      <c r="C1400" s="27" t="s">
        <v>5572</v>
      </c>
      <c r="E1400" s="27">
        <v>1</v>
      </c>
      <c r="F1400" s="27">
        <v>-1</v>
      </c>
      <c r="H1400" s="27">
        <v>62</v>
      </c>
      <c r="I1400" s="27" t="str">
        <f>IF(H1400="","",VLOOKUP(H1400,'#状态名词'!$A$2:$C$99,2))</f>
        <v>team_ap</v>
      </c>
      <c r="J1400" s="27" t="str">
        <f>IF(H1400="","",VLOOKUP(H1400,'#状态名词'!$A$2:$C$99,3))</f>
        <v>队伍AP</v>
      </c>
      <c r="K1400" s="26" t="s">
        <v>5571</v>
      </c>
    </row>
    <row r="1401" spans="1:11">
      <c r="A1401" s="27">
        <v>41006</v>
      </c>
      <c r="B1401" s="27" t="s">
        <v>571</v>
      </c>
      <c r="C1401" s="27" t="s">
        <v>5450</v>
      </c>
      <c r="E1401" s="27">
        <v>1</v>
      </c>
      <c r="F1401" s="27">
        <v>-1</v>
      </c>
      <c r="H1401" s="27">
        <v>19</v>
      </c>
      <c r="I1401" s="27" t="str">
        <f>IF(H1401="","",VLOOKUP(H1401,'#状态名词'!$A$2:$C$99,2))</f>
        <v>rating</v>
      </c>
      <c r="J1401" s="27" t="str">
        <f>IF(H1401="","",VLOOKUP(H1401,'#状态名词'!$A$2:$C$99,3))</f>
        <v>暴击+</v>
      </c>
      <c r="K1401" s="26" t="s">
        <v>5428</v>
      </c>
    </row>
    <row r="1402" spans="1:11">
      <c r="A1402" s="27">
        <v>41007</v>
      </c>
      <c r="B1402" s="27" t="s">
        <v>572</v>
      </c>
      <c r="C1402" s="27" t="s">
        <v>5573</v>
      </c>
      <c r="E1402" s="27">
        <v>1</v>
      </c>
      <c r="F1402" s="27">
        <v>-1</v>
      </c>
      <c r="H1402" s="27">
        <v>19</v>
      </c>
      <c r="I1402" s="27" t="str">
        <f>IF(H1402="","",VLOOKUP(H1402,'#状态名词'!$A$2:$C$99,2))</f>
        <v>rating</v>
      </c>
      <c r="J1402" s="27" t="str">
        <f>IF(H1402="","",VLOOKUP(H1402,'#状态名词'!$A$2:$C$99,3))</f>
        <v>暴击+</v>
      </c>
      <c r="K1402" s="26" t="s">
        <v>5457</v>
      </c>
    </row>
    <row r="1403" spans="1:11">
      <c r="A1403" s="27">
        <v>41008</v>
      </c>
      <c r="B1403" s="27" t="s">
        <v>577</v>
      </c>
      <c r="C1403" s="27" t="s">
        <v>5574</v>
      </c>
      <c r="E1403" s="27">
        <v>1</v>
      </c>
      <c r="F1403" s="27">
        <v>-1</v>
      </c>
      <c r="H1403" s="27">
        <v>61</v>
      </c>
      <c r="I1403" s="27" t="str">
        <f>IF(H1403="","",VLOOKUP(H1403,'#状态名词'!$A$2:$C$99,2))</f>
        <v>team_ad</v>
      </c>
      <c r="J1403" s="27" t="str">
        <f>IF(H1403="","",VLOOKUP(H1403,'#状态名词'!$A$2:$C$99,3))</f>
        <v>队伍AD</v>
      </c>
      <c r="K1403" s="26" t="s">
        <v>5438</v>
      </c>
    </row>
    <row r="1404" spans="1:11">
      <c r="A1404" s="27">
        <v>41009</v>
      </c>
      <c r="B1404" s="27" t="s">
        <v>578</v>
      </c>
      <c r="C1404" s="27" t="s">
        <v>5575</v>
      </c>
      <c r="E1404" s="27">
        <v>1</v>
      </c>
      <c r="F1404" s="27">
        <v>-1</v>
      </c>
      <c r="H1404" s="27">
        <v>62</v>
      </c>
      <c r="I1404" s="27" t="str">
        <f>IF(H1404="","",VLOOKUP(H1404,'#状态名词'!$A$2:$C$99,2))</f>
        <v>team_ap</v>
      </c>
      <c r="J1404" s="27" t="str">
        <f>IF(H1404="","",VLOOKUP(H1404,'#状态名词'!$A$2:$C$99,3))</f>
        <v>队伍AP</v>
      </c>
      <c r="K1404" s="26" t="s">
        <v>5438</v>
      </c>
    </row>
    <row r="1405" spans="1:11">
      <c r="A1405" s="27">
        <v>41010</v>
      </c>
      <c r="B1405" s="27" t="s">
        <v>579</v>
      </c>
      <c r="C1405" s="27" t="s">
        <v>5576</v>
      </c>
      <c r="E1405" s="27">
        <v>1</v>
      </c>
      <c r="F1405" s="27">
        <v>-1</v>
      </c>
      <c r="H1405" s="27">
        <v>21</v>
      </c>
      <c r="I1405" s="27" t="str">
        <f>IF(H1405="","",VLOOKUP(H1405,'#状态名词'!$A$2:$C$99,2))</f>
        <v>speed</v>
      </c>
      <c r="J1405" s="27" t="str">
        <f>IF(H1405="","",VLOOKUP(H1405,'#状态名词'!$A$2:$C$99,3))</f>
        <v>速度+</v>
      </c>
      <c r="K1405" s="26" t="s">
        <v>5523</v>
      </c>
    </row>
    <row r="1406" spans="1:11">
      <c r="A1406" s="27">
        <v>41011</v>
      </c>
      <c r="B1406" s="27" t="s">
        <v>584</v>
      </c>
      <c r="C1406" s="27" t="s">
        <v>5577</v>
      </c>
      <c r="E1406" s="27">
        <v>1</v>
      </c>
      <c r="F1406" s="27">
        <v>-1</v>
      </c>
      <c r="H1406" s="27">
        <v>51</v>
      </c>
      <c r="I1406" s="27" t="str">
        <f>IF(H1406="","",VLOOKUP(H1406,'#状态名词'!$A$2:$C$99,2))</f>
        <v>rageupper</v>
      </c>
      <c r="J1406" s="27" t="str">
        <f>IF(H1406="","",VLOOKUP(H1406,'#状态名词'!$A$2:$C$99,3))</f>
        <v>怒气上限</v>
      </c>
      <c r="K1406" s="26" t="s">
        <v>597</v>
      </c>
    </row>
    <row r="1407" spans="1:11">
      <c r="B1407" s="27" t="s">
        <v>84</v>
      </c>
      <c r="H1407" s="27">
        <v>52</v>
      </c>
      <c r="I1407" s="27" t="str">
        <f>IF(H1407="","",VLOOKUP(H1407,'#状态名词'!$A$2:$C$99,2))</f>
        <v>energyupper</v>
      </c>
      <c r="J1407" s="27" t="str">
        <f>IF(H1407="","",VLOOKUP(H1407,'#状态名词'!$A$2:$C$99,3))</f>
        <v>能量上限</v>
      </c>
      <c r="K1407" s="26" t="s">
        <v>597</v>
      </c>
    </row>
    <row r="1408" spans="1:11">
      <c r="B1408" s="27" t="s">
        <v>84</v>
      </c>
      <c r="H1408" s="27">
        <v>53</v>
      </c>
      <c r="I1408" s="27" t="str">
        <f>IF(H1408="","",VLOOKUP(H1408,'#状态名词'!$A$2:$C$99,2))</f>
        <v>manaupper</v>
      </c>
      <c r="J1408" s="27" t="str">
        <f>IF(H1408="","",VLOOKUP(H1408,'#状态名词'!$A$2:$C$99,3))</f>
        <v>法力上限</v>
      </c>
      <c r="K1408" s="26" t="s">
        <v>597</v>
      </c>
    </row>
    <row r="1409" spans="1:12">
      <c r="A1409" s="27">
        <v>41013</v>
      </c>
      <c r="B1409" s="27" t="s">
        <v>586</v>
      </c>
      <c r="C1409" s="27" t="s">
        <v>5578</v>
      </c>
      <c r="E1409" s="27">
        <v>1</v>
      </c>
      <c r="F1409" s="27">
        <v>-1</v>
      </c>
      <c r="H1409" s="27">
        <v>23</v>
      </c>
      <c r="I1409" s="27" t="str">
        <f>IF(H1409="","",VLOOKUP(H1409,'#状态名词'!$A$2:$C$99,2))</f>
        <v>steal</v>
      </c>
      <c r="J1409" s="27" t="str">
        <f>IF(H1409="","",VLOOKUP(H1409,'#状态名词'!$A$2:$C$99,3))</f>
        <v>生命偷取</v>
      </c>
      <c r="K1409" s="26" t="s">
        <v>5457</v>
      </c>
    </row>
    <row r="1410" spans="1:12">
      <c r="A1410" s="27">
        <v>41014</v>
      </c>
      <c r="B1410" s="27" t="s">
        <v>591</v>
      </c>
      <c r="C1410" s="27" t="s">
        <v>2096</v>
      </c>
      <c r="E1410" s="27">
        <v>1</v>
      </c>
      <c r="F1410" s="27">
        <v>-1</v>
      </c>
      <c r="H1410" s="27">
        <v>54</v>
      </c>
      <c r="I1410" s="27" t="str">
        <f>IF(H1410="","",VLOOKUP(H1410,'#状态名词'!$A$2:$C$99,2))</f>
        <v>spi</v>
      </c>
      <c r="J1410" s="27" t="str">
        <f>IF(H1410="","",VLOOKUP(H1410,'#状态名词'!$A$2:$C$99,3))</f>
        <v>精神</v>
      </c>
      <c r="K1410" s="26" t="s">
        <v>5482</v>
      </c>
    </row>
    <row r="1411" spans="1:12">
      <c r="A1411" s="27">
        <v>41015</v>
      </c>
      <c r="B1411" s="27" t="s">
        <v>592</v>
      </c>
      <c r="C1411" s="27" t="s">
        <v>5579</v>
      </c>
      <c r="E1411" s="27">
        <v>1</v>
      </c>
      <c r="F1411" s="27">
        <v>-1</v>
      </c>
      <c r="H1411" s="27">
        <v>58</v>
      </c>
      <c r="I1411" s="27" t="str">
        <f>IF(H1411="","",VLOOKUP(H1411,'#状态名词'!$A$2:$C$99,2))</f>
        <v>vit</v>
      </c>
      <c r="J1411" s="27" t="str">
        <f>IF(H1411="","",VLOOKUP(H1411,'#状态名词'!$A$2:$C$99,3))</f>
        <v>体力</v>
      </c>
      <c r="K1411" s="26" t="s">
        <v>5477</v>
      </c>
    </row>
    <row r="1412" spans="1:12" ht="27">
      <c r="A1412" s="27">
        <v>41016</v>
      </c>
      <c r="B1412" s="27" t="s">
        <v>593</v>
      </c>
      <c r="C1412" s="21" t="s">
        <v>7124</v>
      </c>
      <c r="E1412" s="27">
        <v>1</v>
      </c>
      <c r="F1412" s="27">
        <v>3</v>
      </c>
      <c r="H1412" s="27">
        <v>2</v>
      </c>
      <c r="I1412" s="27" t="str">
        <f>IF(H1412="","",VLOOKUP(H1412,'#状态名词'!$A$2:$C$99,2))</f>
        <v>damaup</v>
      </c>
      <c r="J1412" s="27" t="str">
        <f>IF(H1412="","",VLOOKUP(H1412,'#状态名词'!$A$2:$C$99,3))</f>
        <v>伤害提升A类增伤</v>
      </c>
      <c r="K1412" s="26" t="s">
        <v>7126</v>
      </c>
    </row>
    <row r="1413" spans="1:12">
      <c r="B1413" s="27" t="s">
        <v>84</v>
      </c>
      <c r="C1413" s="21"/>
      <c r="H1413" s="27">
        <v>24</v>
      </c>
      <c r="I1413" s="27" t="str">
        <f>IF(H1413="","",VLOOKUP(H1413,'#状态名词'!$A$2:$C$99,2))</f>
        <v>heal</v>
      </c>
      <c r="J1413" s="27" t="str">
        <f>IF(H1413="","",VLOOKUP(H1413,'#状态名词'!$A$2:$C$99,3))</f>
        <v>治疗效果+</v>
      </c>
      <c r="K1413" s="26" t="s">
        <v>7125</v>
      </c>
    </row>
    <row r="1414" spans="1:12">
      <c r="A1414" s="27">
        <v>41017</v>
      </c>
      <c r="B1414" s="27" t="s">
        <v>594</v>
      </c>
      <c r="C1414" s="27" t="s">
        <v>5453</v>
      </c>
      <c r="E1414" s="27">
        <v>1</v>
      </c>
      <c r="F1414" s="27">
        <v>-1</v>
      </c>
      <c r="H1414" s="27">
        <v>20</v>
      </c>
      <c r="I1414" s="27" t="str">
        <f>IF(H1414="","",VLOOKUP(H1414,'#状态名词'!$A$2:$C$99,2))</f>
        <v>ratingdamage</v>
      </c>
      <c r="J1414" s="27" t="str">
        <f>IF(H1414="","",VLOOKUP(H1414,'#状态名词'!$A$2:$C$99,3))</f>
        <v>暴伤+</v>
      </c>
      <c r="K1414" s="26" t="s">
        <v>5454</v>
      </c>
    </row>
    <row r="1415" spans="1:12">
      <c r="A1415" s="27">
        <v>41018</v>
      </c>
      <c r="B1415" s="27" t="s">
        <v>595</v>
      </c>
      <c r="C1415" s="27" t="s">
        <v>5580</v>
      </c>
      <c r="E1415" s="27">
        <v>1</v>
      </c>
      <c r="F1415" s="27">
        <v>-1</v>
      </c>
      <c r="H1415" s="27">
        <v>1</v>
      </c>
      <c r="I1415" s="27" t="str">
        <f>IF(H1415="","",VLOOKUP(H1415,'#状态名词'!$A$2:$C$99,2))</f>
        <v>skilldama</v>
      </c>
      <c r="J1415" s="27" t="str">
        <f>IF(H1415="","",VLOOKUP(H1415,'#状态名词'!$A$2:$C$99,3))</f>
        <v>技能伤害和治疗效果提升B类</v>
      </c>
      <c r="K1415" s="26" t="s">
        <v>5581</v>
      </c>
      <c r="L1415" s="27">
        <v>41012</v>
      </c>
    </row>
    <row r="1416" spans="1:12">
      <c r="A1416" s="27">
        <v>41044</v>
      </c>
      <c r="B1416" s="27" t="s">
        <v>4715</v>
      </c>
      <c r="C1416" s="27" t="s">
        <v>5582</v>
      </c>
      <c r="E1416" s="27">
        <v>-1</v>
      </c>
      <c r="F1416" s="27">
        <v>-1</v>
      </c>
      <c r="G1416" s="27">
        <v>41044</v>
      </c>
      <c r="I1416" s="27" t="str">
        <f>IF(H1416="","",VLOOKUP(H1416,'#状态名词'!$A$2:$C$99,2))</f>
        <v/>
      </c>
      <c r="J1416" s="27" t="str">
        <f>IF(H1416="","",VLOOKUP(H1416,'#状态名词'!$A$2:$C$99,3))</f>
        <v/>
      </c>
    </row>
    <row r="1417" spans="1:12">
      <c r="A1417" s="27">
        <v>50001</v>
      </c>
      <c r="B1417" s="27" t="s">
        <v>4724</v>
      </c>
      <c r="C1417" s="27" t="s">
        <v>4725</v>
      </c>
      <c r="E1417" s="27">
        <v>-1</v>
      </c>
      <c r="F1417" s="27">
        <v>-1</v>
      </c>
      <c r="H1417" s="27">
        <v>44</v>
      </c>
      <c r="I1417" s="27" t="str">
        <f>IF(H1417="","",VLOOKUP(H1417,'#状态名词'!$A$2:$C$99,2))</f>
        <v>dotup</v>
      </c>
      <c r="J1417" s="27" t="str">
        <f>IF(H1417="","",VLOOKUP(H1417,'#状态名词'!$A$2:$C$99,3))</f>
        <v>持续伤害强化</v>
      </c>
      <c r="K1417" s="26" t="s">
        <v>5583</v>
      </c>
    </row>
    <row r="1418" spans="1:12">
      <c r="A1418" s="27">
        <v>50002</v>
      </c>
      <c r="B1418" s="27" t="s">
        <v>4769</v>
      </c>
      <c r="C1418" s="27" t="s">
        <v>4770</v>
      </c>
      <c r="E1418" s="27">
        <v>-1</v>
      </c>
      <c r="F1418" s="27">
        <v>-1</v>
      </c>
      <c r="H1418" s="27">
        <v>13</v>
      </c>
      <c r="I1418" s="27" t="str">
        <f>IF(H1418="","",VLOOKUP(H1418,'#状态名词'!$A$2:$C$99,2))</f>
        <v>arm</v>
      </c>
      <c r="J1418" s="27" t="str">
        <f>IF(H1418="","",VLOOKUP(H1418,'#状态名词'!$A$2:$C$99,3))</f>
        <v>ARM+</v>
      </c>
      <c r="K1418" s="26" t="s">
        <v>5584</v>
      </c>
    </row>
    <row r="1419" spans="1:12">
      <c r="A1419" s="27">
        <v>50003</v>
      </c>
      <c r="B1419" s="27" t="s">
        <v>4771</v>
      </c>
      <c r="C1419" s="27" t="s">
        <v>4772</v>
      </c>
      <c r="E1419" s="27">
        <v>-1</v>
      </c>
      <c r="F1419" s="27">
        <v>-1</v>
      </c>
      <c r="H1419" s="27">
        <v>15</v>
      </c>
      <c r="I1419" s="27" t="str">
        <f>IF(H1419="","",VLOOKUP(H1419,'#状态名词'!$A$2:$C$99,2))</f>
        <v>mr</v>
      </c>
      <c r="J1419" s="27" t="str">
        <f>IF(H1419="","",VLOOKUP(H1419,'#状态名词'!$A$2:$C$99,3))</f>
        <v>MR+</v>
      </c>
      <c r="K1419" s="26" t="s">
        <v>5584</v>
      </c>
    </row>
    <row r="1420" spans="1:12">
      <c r="A1420" s="27">
        <v>50004</v>
      </c>
      <c r="B1420" s="27" t="s">
        <v>4732</v>
      </c>
      <c r="C1420" s="27" t="s">
        <v>4733</v>
      </c>
      <c r="E1420" s="27">
        <v>-1</v>
      </c>
      <c r="F1420" s="27">
        <v>-1</v>
      </c>
      <c r="H1420" s="27">
        <v>23</v>
      </c>
      <c r="I1420" s="27" t="str">
        <f>IF(H1420="","",VLOOKUP(H1420,'#状态名词'!$A$2:$C$99,2))</f>
        <v>steal</v>
      </c>
      <c r="J1420" s="27" t="str">
        <f>IF(H1420="","",VLOOKUP(H1420,'#状态名词'!$A$2:$C$99,3))</f>
        <v>生命偷取</v>
      </c>
      <c r="K1420" s="26" t="s">
        <v>5585</v>
      </c>
    </row>
    <row r="1421" spans="1:12">
      <c r="A1421" s="27">
        <v>50005</v>
      </c>
      <c r="B1421" s="27" t="s">
        <v>4734</v>
      </c>
      <c r="C1421" s="27" t="s">
        <v>4735</v>
      </c>
      <c r="E1421" s="27">
        <v>-1</v>
      </c>
      <c r="F1421" s="27">
        <v>-1</v>
      </c>
      <c r="H1421" s="27">
        <v>23</v>
      </c>
      <c r="I1421" s="27" t="str">
        <f>IF(H1421="","",VLOOKUP(H1421,'#状态名词'!$A$2:$C$99,2))</f>
        <v>steal</v>
      </c>
      <c r="J1421" s="27" t="str">
        <f>IF(H1421="","",VLOOKUP(H1421,'#状态名词'!$A$2:$C$99,3))</f>
        <v>生命偷取</v>
      </c>
      <c r="K1421" s="26" t="s">
        <v>5523</v>
      </c>
    </row>
    <row r="1422" spans="1:12">
      <c r="A1422" s="27">
        <v>50006</v>
      </c>
      <c r="B1422" s="27">
        <v>0</v>
      </c>
      <c r="C1422" s="27" t="s">
        <v>4735</v>
      </c>
      <c r="E1422" s="27">
        <v>-1</v>
      </c>
      <c r="F1422" s="27">
        <v>-1</v>
      </c>
      <c r="H1422" s="27">
        <v>23</v>
      </c>
      <c r="I1422" s="27" t="str">
        <f>IF(H1422="","",VLOOKUP(H1422,'#状态名词'!$A$2:$C$99,2))</f>
        <v>steal</v>
      </c>
      <c r="J1422" s="27" t="str">
        <f>IF(H1422="","",VLOOKUP(H1422,'#状态名词'!$A$2:$C$99,3))</f>
        <v>生命偷取</v>
      </c>
      <c r="K1422" s="26" t="s">
        <v>5586</v>
      </c>
    </row>
    <row r="1423" spans="1:12">
      <c r="A1423" s="27">
        <v>50007</v>
      </c>
      <c r="B1423" s="27" t="s">
        <v>4739</v>
      </c>
      <c r="C1423" s="27" t="s">
        <v>4740</v>
      </c>
      <c r="E1423" s="27">
        <v>-1</v>
      </c>
      <c r="F1423" s="27">
        <v>-1</v>
      </c>
      <c r="H1423" s="27">
        <v>26</v>
      </c>
      <c r="I1423" s="27" t="str">
        <f>IF(H1423="","",VLOOKUP(H1423,'#状态名词'!$A$2:$C$99,2))</f>
        <v>fireup</v>
      </c>
      <c r="J1423" s="27" t="str">
        <f>IF(H1423="","",VLOOKUP(H1423,'#状态名词'!$A$2:$C$99,3))</f>
        <v>火属性强化</v>
      </c>
      <c r="K1423" s="26" t="s">
        <v>5571</v>
      </c>
    </row>
    <row r="1424" spans="1:12">
      <c r="A1424" s="27">
        <v>50008</v>
      </c>
      <c r="B1424" s="27" t="s">
        <v>4741</v>
      </c>
      <c r="C1424" s="27" t="s">
        <v>4742</v>
      </c>
      <c r="E1424" s="27">
        <v>-1</v>
      </c>
      <c r="F1424" s="27">
        <v>-1</v>
      </c>
      <c r="H1424" s="27">
        <v>27</v>
      </c>
      <c r="I1424" s="27" t="str">
        <f>IF(H1424="","",VLOOKUP(H1424,'#状态名词'!$A$2:$C$99,2))</f>
        <v>iceup</v>
      </c>
      <c r="J1424" s="27" t="str">
        <f>IF(H1424="","",VLOOKUP(H1424,'#状态名词'!$A$2:$C$99,3))</f>
        <v>冰属性强化</v>
      </c>
      <c r="K1424" s="26" t="s">
        <v>5571</v>
      </c>
    </row>
    <row r="1425" spans="1:11">
      <c r="A1425" s="27">
        <v>50009</v>
      </c>
      <c r="B1425" s="27" t="s">
        <v>4743</v>
      </c>
      <c r="C1425" s="27" t="s">
        <v>4744</v>
      </c>
      <c r="E1425" s="27">
        <v>-1</v>
      </c>
      <c r="F1425" s="27">
        <v>-1</v>
      </c>
      <c r="H1425" s="27">
        <v>28</v>
      </c>
      <c r="I1425" s="27" t="str">
        <f>IF(H1425="","",VLOOKUP(H1425,'#状态名词'!$A$2:$C$99,2))</f>
        <v>lightup</v>
      </c>
      <c r="J1425" s="27" t="str">
        <f>IF(H1425="","",VLOOKUP(H1425,'#状态名词'!$A$2:$C$99,3))</f>
        <v>光属性强化</v>
      </c>
      <c r="K1425" s="26" t="s">
        <v>5571</v>
      </c>
    </row>
    <row r="1426" spans="1:11">
      <c r="A1426" s="27">
        <v>50010</v>
      </c>
      <c r="B1426" s="27" t="s">
        <v>4745</v>
      </c>
      <c r="C1426" s="27" t="s">
        <v>4746</v>
      </c>
      <c r="E1426" s="27">
        <v>-1</v>
      </c>
      <c r="F1426" s="27">
        <v>-1</v>
      </c>
      <c r="H1426" s="27">
        <v>29</v>
      </c>
      <c r="I1426" s="27" t="str">
        <f>IF(H1426="","",VLOOKUP(H1426,'#状态名词'!$A$2:$C$99,2))</f>
        <v>darkup</v>
      </c>
      <c r="J1426" s="27" t="str">
        <f>IF(H1426="","",VLOOKUP(H1426,'#状态名词'!$A$2:$C$99,3))</f>
        <v>暗属性强化</v>
      </c>
      <c r="K1426" s="26" t="s">
        <v>5571</v>
      </c>
    </row>
    <row r="1427" spans="1:11">
      <c r="A1427" s="27">
        <v>50011</v>
      </c>
      <c r="B1427" s="27" t="s">
        <v>4747</v>
      </c>
      <c r="C1427" s="27" t="s">
        <v>825</v>
      </c>
      <c r="E1427" s="27">
        <v>1</v>
      </c>
      <c r="F1427" s="27">
        <v>-1</v>
      </c>
      <c r="H1427" s="27">
        <v>31</v>
      </c>
      <c r="I1427" s="27" t="str">
        <f>IF(H1427="","",VLOOKUP(H1427,'#状态名词'!$A$2:$C$99,2))</f>
        <v>refire</v>
      </c>
      <c r="J1427" s="27" t="str">
        <f>IF(H1427="","",VLOOKUP(H1427,'#状态名词'!$A$2:$C$99,3))</f>
        <v>火属性抗性</v>
      </c>
      <c r="K1427" s="26" t="s">
        <v>7032</v>
      </c>
    </row>
    <row r="1428" spans="1:11">
      <c r="A1428" s="27">
        <v>50012</v>
      </c>
      <c r="B1428" s="20" t="s">
        <v>4748</v>
      </c>
      <c r="C1428" s="20" t="s">
        <v>826</v>
      </c>
      <c r="E1428" s="27">
        <v>1</v>
      </c>
      <c r="F1428" s="27">
        <v>-1</v>
      </c>
      <c r="H1428" s="27">
        <v>32</v>
      </c>
      <c r="I1428" s="27" t="str">
        <f>IF(H1428="","",VLOOKUP(H1428,'#状态名词'!$A$2:$C$99,2))</f>
        <v>reice</v>
      </c>
      <c r="J1428" s="27" t="str">
        <f>IF(H1428="","",VLOOKUP(H1428,'#状态名词'!$A$2:$C$99,3))</f>
        <v>冰属性抗性</v>
      </c>
      <c r="K1428" s="26" t="s">
        <v>7032</v>
      </c>
    </row>
    <row r="1429" spans="1:11">
      <c r="A1429" s="27">
        <v>50013</v>
      </c>
      <c r="B1429" s="20" t="s">
        <v>4749</v>
      </c>
      <c r="C1429" s="20" t="s">
        <v>827</v>
      </c>
      <c r="E1429" s="27">
        <v>1</v>
      </c>
      <c r="F1429" s="27">
        <v>-1</v>
      </c>
      <c r="H1429" s="27">
        <v>33</v>
      </c>
      <c r="I1429" s="27" t="str">
        <f>IF(H1429="","",VLOOKUP(H1429,'#状态名词'!$A$2:$C$99,2))</f>
        <v>relight</v>
      </c>
      <c r="J1429" s="27" t="str">
        <f>IF(H1429="","",VLOOKUP(H1429,'#状态名词'!$A$2:$C$99,3))</f>
        <v>光属性抗性</v>
      </c>
      <c r="K1429" s="26" t="s">
        <v>7032</v>
      </c>
    </row>
    <row r="1430" spans="1:11">
      <c r="A1430" s="27">
        <v>50014</v>
      </c>
      <c r="B1430" s="20" t="s">
        <v>4750</v>
      </c>
      <c r="C1430" s="20" t="s">
        <v>828</v>
      </c>
      <c r="E1430" s="27">
        <v>1</v>
      </c>
      <c r="F1430" s="27">
        <v>-1</v>
      </c>
      <c r="H1430" s="27">
        <v>34</v>
      </c>
      <c r="I1430" s="27" t="str">
        <f>IF(H1430="","",VLOOKUP(H1430,'#状态名词'!$A$2:$C$99,2))</f>
        <v>redark</v>
      </c>
      <c r="J1430" s="27" t="str">
        <f>IF(H1430="","",VLOOKUP(H1430,'#状态名词'!$A$2:$C$99,3))</f>
        <v>暗属性抗性</v>
      </c>
      <c r="K1430" s="26" t="s">
        <v>7032</v>
      </c>
    </row>
    <row r="1431" spans="1:11">
      <c r="A1431" s="27">
        <v>50015</v>
      </c>
      <c r="B1431" s="20" t="s">
        <v>4751</v>
      </c>
      <c r="C1431" s="20" t="s">
        <v>4752</v>
      </c>
      <c r="E1431" s="27">
        <v>-1</v>
      </c>
      <c r="F1431" s="27">
        <v>-1</v>
      </c>
      <c r="H1431" s="27">
        <v>31</v>
      </c>
      <c r="I1431" s="27" t="str">
        <f>IF(H1431="","",VLOOKUP(H1431,'#状态名词'!$A$2:$C$99,2))</f>
        <v>refire</v>
      </c>
      <c r="J1431" s="27" t="str">
        <f>IF(H1431="","",VLOOKUP(H1431,'#状态名词'!$A$2:$C$99,3))</f>
        <v>火属性抗性</v>
      </c>
      <c r="K1431" s="26" t="s">
        <v>7033</v>
      </c>
    </row>
    <row r="1432" spans="1:11">
      <c r="A1432" s="27">
        <v>50016</v>
      </c>
      <c r="B1432" s="20" t="s">
        <v>4753</v>
      </c>
      <c r="C1432" s="20" t="s">
        <v>4754</v>
      </c>
      <c r="E1432" s="27">
        <v>-1</v>
      </c>
      <c r="F1432" s="27">
        <v>-1</v>
      </c>
      <c r="H1432" s="27">
        <v>32</v>
      </c>
      <c r="I1432" s="27" t="str">
        <f>IF(H1432="","",VLOOKUP(H1432,'#状态名词'!$A$2:$C$99,2))</f>
        <v>reice</v>
      </c>
      <c r="J1432" s="27" t="str">
        <f>IF(H1432="","",VLOOKUP(H1432,'#状态名词'!$A$2:$C$99,3))</f>
        <v>冰属性抗性</v>
      </c>
      <c r="K1432" s="26" t="s">
        <v>7033</v>
      </c>
    </row>
    <row r="1433" spans="1:11">
      <c r="A1433" s="27">
        <v>50017</v>
      </c>
      <c r="B1433" s="20" t="s">
        <v>4755</v>
      </c>
      <c r="C1433" s="20" t="s">
        <v>4756</v>
      </c>
      <c r="E1433" s="27">
        <v>-1</v>
      </c>
      <c r="F1433" s="27">
        <v>-1</v>
      </c>
      <c r="H1433" s="27">
        <v>33</v>
      </c>
      <c r="I1433" s="27" t="str">
        <f>IF(H1433="","",VLOOKUP(H1433,'#状态名词'!$A$2:$C$99,2))</f>
        <v>relight</v>
      </c>
      <c r="J1433" s="27" t="str">
        <f>IF(H1433="","",VLOOKUP(H1433,'#状态名词'!$A$2:$C$99,3))</f>
        <v>光属性抗性</v>
      </c>
      <c r="K1433" s="26" t="s">
        <v>7033</v>
      </c>
    </row>
    <row r="1434" spans="1:11">
      <c r="A1434" s="27">
        <v>50018</v>
      </c>
      <c r="B1434" s="27" t="s">
        <v>4757</v>
      </c>
      <c r="C1434" s="27" t="s">
        <v>4758</v>
      </c>
      <c r="E1434" s="27">
        <v>-1</v>
      </c>
      <c r="F1434" s="27">
        <v>-1</v>
      </c>
      <c r="H1434" s="27">
        <v>34</v>
      </c>
      <c r="I1434" s="27" t="str">
        <f>IF(H1434="","",VLOOKUP(H1434,'#状态名词'!$A$2:$C$99,2))</f>
        <v>redark</v>
      </c>
      <c r="J1434" s="27" t="str">
        <f>IF(H1434="","",VLOOKUP(H1434,'#状态名词'!$A$2:$C$99,3))</f>
        <v>暗属性抗性</v>
      </c>
      <c r="K1434" s="26" t="s">
        <v>7033</v>
      </c>
    </row>
    <row r="1435" spans="1:11">
      <c r="A1435" s="27">
        <v>50019</v>
      </c>
      <c r="B1435" s="27" t="s">
        <v>4763</v>
      </c>
      <c r="C1435" s="27" t="s">
        <v>4764</v>
      </c>
      <c r="E1435" s="27">
        <v>1</v>
      </c>
      <c r="F1435" s="27">
        <v>-1</v>
      </c>
      <c r="H1435" s="27">
        <v>46</v>
      </c>
      <c r="I1435" s="27" t="str">
        <f>IF(H1435="","",VLOOKUP(H1435,'#状态名词'!$A$2:$C$99,2))</f>
        <v>energyup</v>
      </c>
      <c r="J1435" s="27" t="str">
        <f>IF(H1435="","",VLOOKUP(H1435,'#状态名词'!$A$2:$C$99,3))</f>
        <v>行动回能量</v>
      </c>
      <c r="K1435" s="26" t="s">
        <v>5587</v>
      </c>
    </row>
    <row r="1436" spans="1:11">
      <c r="A1436" s="27">
        <v>50020</v>
      </c>
      <c r="B1436" s="27" t="s">
        <v>4766</v>
      </c>
      <c r="C1436" s="27" t="s">
        <v>4767</v>
      </c>
      <c r="E1436" s="27">
        <v>-1</v>
      </c>
      <c r="F1436" s="27">
        <v>-1</v>
      </c>
      <c r="H1436" s="27">
        <v>58</v>
      </c>
      <c r="I1436" s="27" t="str">
        <f>IF(H1436="","",VLOOKUP(H1436,'#状态名词'!$A$2:$C$99,2))</f>
        <v>vit</v>
      </c>
      <c r="J1436" s="27" t="str">
        <f>IF(H1436="","",VLOOKUP(H1436,'#状态名词'!$A$2:$C$99,3))</f>
        <v>体力</v>
      </c>
      <c r="K1436" s="26" t="s">
        <v>5523</v>
      </c>
    </row>
    <row r="1437" spans="1:11">
      <c r="A1437" s="27">
        <v>50021</v>
      </c>
      <c r="B1437" s="27" t="s">
        <v>4768</v>
      </c>
      <c r="C1437" s="27" t="s">
        <v>2067</v>
      </c>
      <c r="E1437" s="27">
        <v>-1</v>
      </c>
      <c r="F1437" s="27">
        <v>-1</v>
      </c>
      <c r="H1437" s="27">
        <v>54</v>
      </c>
      <c r="I1437" s="27" t="str">
        <f>IF(H1437="","",VLOOKUP(H1437,'#状态名词'!$A$2:$C$99,2))</f>
        <v>spi</v>
      </c>
      <c r="J1437" s="27" t="str">
        <f>IF(H1437="","",VLOOKUP(H1437,'#状态名词'!$A$2:$C$99,3))</f>
        <v>精神</v>
      </c>
      <c r="K1437" s="26" t="s">
        <v>5523</v>
      </c>
    </row>
    <row r="1438" spans="1:11">
      <c r="A1438" s="27">
        <v>50022</v>
      </c>
      <c r="B1438" s="27" t="s">
        <v>424</v>
      </c>
      <c r="C1438" s="27" t="s">
        <v>2068</v>
      </c>
      <c r="E1438" s="27">
        <v>-1</v>
      </c>
      <c r="F1438" s="27">
        <v>-1</v>
      </c>
      <c r="H1438" s="27">
        <v>65</v>
      </c>
      <c r="I1438" s="27" t="str">
        <f>IF(H1438="","",VLOOKUP(H1438,'#状态名词'!$A$2:$C$99,2))</f>
        <v>str</v>
      </c>
      <c r="J1438" s="27" t="str">
        <f>IF(H1438="","",VLOOKUP(H1438,'#状态名词'!$A$2:$C$99,3))</f>
        <v>力量</v>
      </c>
      <c r="K1438" s="26" t="s">
        <v>5523</v>
      </c>
    </row>
    <row r="1439" spans="1:11">
      <c r="B1439" s="27" t="s">
        <v>84</v>
      </c>
      <c r="H1439" s="27">
        <v>67</v>
      </c>
      <c r="I1439" s="27" t="str">
        <f>IF(H1439="","",VLOOKUP(H1439,'#状态名词'!$A$2:$C$99,2))</f>
        <v>inte</v>
      </c>
      <c r="J1439" s="27" t="str">
        <f>IF(H1439="","",VLOOKUP(H1439,'#状态名词'!$A$2:$C$99,3))</f>
        <v>智力</v>
      </c>
      <c r="K1439" s="26" t="s">
        <v>5523</v>
      </c>
    </row>
    <row r="1440" spans="1:11">
      <c r="A1440" s="27">
        <v>50023</v>
      </c>
      <c r="B1440" s="27" t="s">
        <v>448</v>
      </c>
      <c r="C1440" s="27" t="s">
        <v>4773</v>
      </c>
      <c r="E1440" s="27">
        <v>-1</v>
      </c>
      <c r="F1440" s="27">
        <v>-1</v>
      </c>
      <c r="H1440" s="27">
        <v>24</v>
      </c>
      <c r="I1440" s="27" t="str">
        <f>IF(H1440="","",VLOOKUP(H1440,'#状态名词'!$A$2:$C$99,2))</f>
        <v>heal</v>
      </c>
      <c r="J1440" s="27" t="str">
        <f>IF(H1440="","",VLOOKUP(H1440,'#状态名词'!$A$2:$C$99,3))</f>
        <v>治疗效果+</v>
      </c>
      <c r="K1440" s="26" t="s">
        <v>5585</v>
      </c>
    </row>
    <row r="1441" spans="1:11">
      <c r="A1441" s="27">
        <v>50024</v>
      </c>
      <c r="B1441" s="27" t="s">
        <v>4774</v>
      </c>
      <c r="C1441" s="27" t="s">
        <v>7035</v>
      </c>
      <c r="E1441" s="27">
        <v>5</v>
      </c>
      <c r="F1441" s="27">
        <v>-1</v>
      </c>
      <c r="H1441" s="27">
        <v>21</v>
      </c>
      <c r="I1441" s="27" t="str">
        <f>IF(H1441="","",VLOOKUP(H1441,'#状态名词'!$A$2:$C$99,2))</f>
        <v>speed</v>
      </c>
      <c r="J1441" s="27" t="str">
        <f>IF(H1441="","",VLOOKUP(H1441,'#状态名词'!$A$2:$C$99,3))</f>
        <v>速度+</v>
      </c>
      <c r="K1441" s="26" t="s">
        <v>7036</v>
      </c>
    </row>
    <row r="1442" spans="1:11">
      <c r="A1442" s="27">
        <v>50025</v>
      </c>
      <c r="B1442" s="27" t="s">
        <v>3793</v>
      </c>
      <c r="C1442" s="27" t="s">
        <v>4775</v>
      </c>
      <c r="E1442" s="27">
        <v>-1</v>
      </c>
      <c r="F1442" s="27">
        <v>-1</v>
      </c>
      <c r="H1442" s="27">
        <v>19</v>
      </c>
      <c r="I1442" s="27" t="str">
        <f>IF(H1442="","",VLOOKUP(H1442,'#状态名词'!$A$2:$C$99,2))</f>
        <v>rating</v>
      </c>
      <c r="J1442" s="27" t="str">
        <f>IF(H1442="","",VLOOKUP(H1442,'#状态名词'!$A$2:$C$99,3))</f>
        <v>暴击+</v>
      </c>
      <c r="K1442" s="26" t="s">
        <v>5588</v>
      </c>
    </row>
    <row r="1443" spans="1:11">
      <c r="A1443" s="27">
        <v>50026</v>
      </c>
      <c r="B1443" s="27" t="s">
        <v>829</v>
      </c>
      <c r="C1443" s="27" t="s">
        <v>2069</v>
      </c>
      <c r="E1443" s="27">
        <v>-1</v>
      </c>
      <c r="F1443" s="27">
        <v>-1</v>
      </c>
      <c r="H1443" s="27">
        <v>54</v>
      </c>
      <c r="I1443" s="27" t="str">
        <f>IF(H1443="","",VLOOKUP(H1443,'#状态名词'!$A$2:$C$99,2))</f>
        <v>spi</v>
      </c>
      <c r="J1443" s="27" t="str">
        <f>IF(H1443="","",VLOOKUP(H1443,'#状态名词'!$A$2:$C$99,3))</f>
        <v>精神</v>
      </c>
      <c r="K1443" s="26" t="s">
        <v>5589</v>
      </c>
    </row>
    <row r="1444" spans="1:11">
      <c r="A1444" s="27">
        <v>50027</v>
      </c>
      <c r="B1444" s="27" t="s">
        <v>4787</v>
      </c>
      <c r="C1444" s="27" t="s">
        <v>5590</v>
      </c>
      <c r="E1444" s="27">
        <v>-1</v>
      </c>
      <c r="F1444" s="27">
        <v>-1</v>
      </c>
      <c r="H1444" s="27">
        <v>13</v>
      </c>
      <c r="I1444" s="27" t="str">
        <f>IF(H1444="","",VLOOKUP(H1444,'#状态名词'!$A$2:$C$99,2))</f>
        <v>arm</v>
      </c>
      <c r="J1444" s="27" t="str">
        <f>IF(H1444="","",VLOOKUP(H1444,'#状态名词'!$A$2:$C$99,3))</f>
        <v>ARM+</v>
      </c>
      <c r="K1444" s="26" t="s">
        <v>5591</v>
      </c>
    </row>
    <row r="1445" spans="1:11">
      <c r="A1445" s="27">
        <v>50028</v>
      </c>
      <c r="B1445" s="27" t="s">
        <v>4068</v>
      </c>
      <c r="C1445" s="27" t="s">
        <v>4806</v>
      </c>
      <c r="E1445" s="27">
        <v>-1</v>
      </c>
      <c r="F1445" s="27">
        <v>-1</v>
      </c>
      <c r="H1445" s="27">
        <v>52</v>
      </c>
      <c r="I1445" s="27" t="str">
        <f>IF(H1445="","",VLOOKUP(H1445,'#状态名词'!$A$2:$C$99,2))</f>
        <v>energyupper</v>
      </c>
      <c r="J1445" s="27" t="str">
        <f>IF(H1445="","",VLOOKUP(H1445,'#状态名词'!$A$2:$C$99,3))</f>
        <v>能量上限</v>
      </c>
      <c r="K1445" s="26" t="s">
        <v>5457</v>
      </c>
    </row>
    <row r="1446" spans="1:11">
      <c r="A1446" s="27">
        <v>50029</v>
      </c>
      <c r="B1446" s="27" t="s">
        <v>4807</v>
      </c>
      <c r="C1446" s="27" t="s">
        <v>4808</v>
      </c>
      <c r="E1446" s="27">
        <v>1</v>
      </c>
      <c r="F1446" s="27">
        <v>-1</v>
      </c>
      <c r="H1446" s="27">
        <v>46</v>
      </c>
      <c r="I1446" s="27" t="str">
        <f>IF(H1446="","",VLOOKUP(H1446,'#状态名词'!$A$2:$C$99,2))</f>
        <v>energyup</v>
      </c>
      <c r="J1446" s="27" t="str">
        <f>IF(H1446="","",VLOOKUP(H1446,'#状态名词'!$A$2:$C$99,3))</f>
        <v>行动回能量</v>
      </c>
      <c r="K1446" s="26" t="s">
        <v>530</v>
      </c>
    </row>
    <row r="1447" spans="1:11">
      <c r="A1447" s="27">
        <v>50030</v>
      </c>
      <c r="B1447" s="27" t="s">
        <v>4841</v>
      </c>
      <c r="C1447" s="27" t="s">
        <v>4842</v>
      </c>
      <c r="E1447" s="27">
        <v>-1</v>
      </c>
      <c r="F1447" s="27">
        <v>-1</v>
      </c>
      <c r="H1447" s="27">
        <v>13</v>
      </c>
      <c r="I1447" s="27" t="str">
        <f>IF(H1447="","",VLOOKUP(H1447,'#状态名词'!$A$2:$C$99,2))</f>
        <v>arm</v>
      </c>
      <c r="J1447" s="27" t="str">
        <f>IF(H1447="","",VLOOKUP(H1447,'#状态名词'!$A$2:$C$99,3))</f>
        <v>ARM+</v>
      </c>
      <c r="K1447" s="26" t="s">
        <v>5592</v>
      </c>
    </row>
    <row r="1448" spans="1:11">
      <c r="A1448" s="27">
        <v>50031</v>
      </c>
      <c r="B1448" s="27" t="s">
        <v>4843</v>
      </c>
      <c r="C1448" s="27" t="s">
        <v>4844</v>
      </c>
      <c r="E1448" s="27">
        <v>-1</v>
      </c>
      <c r="F1448" s="27">
        <v>-1</v>
      </c>
      <c r="H1448" s="27">
        <v>15</v>
      </c>
      <c r="I1448" s="27" t="str">
        <f>IF(H1448="","",VLOOKUP(H1448,'#状态名词'!$A$2:$C$99,2))</f>
        <v>mr</v>
      </c>
      <c r="J1448" s="27" t="str">
        <f>IF(H1448="","",VLOOKUP(H1448,'#状态名词'!$A$2:$C$99,3))</f>
        <v>MR+</v>
      </c>
      <c r="K1448" s="26" t="s">
        <v>5592</v>
      </c>
    </row>
    <row r="1449" spans="1:11">
      <c r="A1449" s="27">
        <v>50032</v>
      </c>
      <c r="B1449" s="27" t="s">
        <v>4845</v>
      </c>
      <c r="C1449" s="27" t="s">
        <v>5593</v>
      </c>
      <c r="E1449" s="27">
        <v>-1</v>
      </c>
      <c r="F1449" s="27">
        <v>-1</v>
      </c>
      <c r="H1449" s="27">
        <v>34</v>
      </c>
      <c r="I1449" s="27" t="str">
        <f>IF(H1449="","",VLOOKUP(H1449,'#状态名词'!$A$2:$C$99,2))</f>
        <v>redark</v>
      </c>
      <c r="J1449" s="27" t="str">
        <f>IF(H1449="","",VLOOKUP(H1449,'#状态名词'!$A$2:$C$99,3))</f>
        <v>暗属性抗性</v>
      </c>
      <c r="K1449" s="26" t="s">
        <v>5331</v>
      </c>
    </row>
    <row r="1450" spans="1:11">
      <c r="A1450" s="27">
        <v>50033</v>
      </c>
      <c r="B1450" s="27" t="s">
        <v>4777</v>
      </c>
      <c r="C1450" s="27" t="s">
        <v>4778</v>
      </c>
      <c r="E1450" s="27">
        <v>-1</v>
      </c>
      <c r="F1450" s="27">
        <v>-1</v>
      </c>
      <c r="H1450" s="27">
        <v>25</v>
      </c>
      <c r="I1450" s="27" t="str">
        <f>IF(H1450="","",VLOOKUP(H1450,'#状态名词'!$A$2:$C$99,2))</f>
        <v>duochong</v>
      </c>
      <c r="J1450" s="27" t="str">
        <f>IF(H1450="","",VLOOKUP(H1450,'#状态名词'!$A$2:$C$99,3))</f>
        <v>多重施法</v>
      </c>
      <c r="K1450" s="26" t="s">
        <v>5571</v>
      </c>
    </row>
    <row r="1451" spans="1:11">
      <c r="A1451" s="27">
        <v>50034</v>
      </c>
      <c r="B1451" s="27" t="s">
        <v>405</v>
      </c>
      <c r="C1451" s="27" t="s">
        <v>4776</v>
      </c>
      <c r="E1451" s="27">
        <v>-1</v>
      </c>
      <c r="F1451" s="27">
        <v>-1</v>
      </c>
      <c r="H1451" s="27">
        <v>20</v>
      </c>
      <c r="I1451" s="27" t="str">
        <f>IF(H1451="","",VLOOKUP(H1451,'#状态名词'!$A$2:$C$99,2))</f>
        <v>ratingdamage</v>
      </c>
      <c r="J1451" s="27" t="str">
        <f>IF(H1451="","",VLOOKUP(H1451,'#状态名词'!$A$2:$C$99,3))</f>
        <v>暴伤+</v>
      </c>
      <c r="K1451" s="26" t="s">
        <v>4380</v>
      </c>
    </row>
    <row r="1452" spans="1:11">
      <c r="A1452" s="27">
        <v>50035</v>
      </c>
      <c r="B1452" s="27" t="s">
        <v>4862</v>
      </c>
      <c r="C1452" s="27" t="s">
        <v>4863</v>
      </c>
      <c r="E1452" s="27">
        <v>1</v>
      </c>
      <c r="F1452" s="27">
        <v>0</v>
      </c>
      <c r="H1452" s="27">
        <v>36</v>
      </c>
      <c r="I1452" s="27" t="str">
        <f>IF(H1452="","",VLOOKUP(H1452,'#状态名词'!$A$2:$C$99,2))</f>
        <v>atk_damage</v>
      </c>
      <c r="J1452" s="27" t="str">
        <f>IF(H1452="","",VLOOKUP(H1452,'#状态名词'!$A$2:$C$99,3))</f>
        <v>攻击附加伤害</v>
      </c>
      <c r="K1452" s="26" t="s">
        <v>5594</v>
      </c>
    </row>
    <row r="1453" spans="1:11">
      <c r="A1453" s="27">
        <v>50036</v>
      </c>
      <c r="B1453" s="27" t="s">
        <v>4728</v>
      </c>
      <c r="E1453" s="27">
        <v>1</v>
      </c>
      <c r="F1453" s="27">
        <v>0</v>
      </c>
      <c r="H1453" s="27">
        <v>23</v>
      </c>
      <c r="I1453" s="27" t="str">
        <f>IF(H1453="","",VLOOKUP(H1453,'#状态名词'!$A$2:$C$99,2))</f>
        <v>steal</v>
      </c>
      <c r="J1453" s="27" t="str">
        <f>IF(H1453="","",VLOOKUP(H1453,'#状态名词'!$A$2:$C$99,3))</f>
        <v>生命偷取</v>
      </c>
      <c r="K1453" s="26">
        <v>5000</v>
      </c>
    </row>
    <row r="1454" spans="1:11">
      <c r="A1454" s="27">
        <v>50037</v>
      </c>
      <c r="B1454" s="27" t="s">
        <v>4865</v>
      </c>
      <c r="C1454" s="27" t="s">
        <v>4866</v>
      </c>
      <c r="E1454" s="27">
        <v>-1</v>
      </c>
      <c r="F1454" s="27">
        <v>-1</v>
      </c>
      <c r="H1454" s="27">
        <v>60</v>
      </c>
      <c r="I1454" s="27" t="str">
        <f>IF(H1454="","",VLOOKUP(H1454,'#状态名词'!$A$2:$C$99,2))</f>
        <v>health</v>
      </c>
      <c r="J1454" s="27" t="str">
        <f>IF(H1454="","",VLOOKUP(H1454,'#状态名词'!$A$2:$C$99,3))</f>
        <v>固定血量</v>
      </c>
      <c r="K1454" s="26" t="s">
        <v>5595</v>
      </c>
    </row>
    <row r="1455" spans="1:11">
      <c r="A1455" s="27">
        <v>50038</v>
      </c>
      <c r="B1455" s="27" t="s">
        <v>4867</v>
      </c>
      <c r="C1455" s="27" t="s">
        <v>4868</v>
      </c>
      <c r="E1455" s="27">
        <v>-1</v>
      </c>
      <c r="F1455" s="27">
        <v>0</v>
      </c>
      <c r="H1455" s="27">
        <v>42</v>
      </c>
      <c r="I1455" s="27" t="str">
        <f>IF(H1455="","",VLOOKUP(H1455,'#状态名词'!$A$2:$C$99,2))</f>
        <v>turn_heal</v>
      </c>
      <c r="J1455" s="27" t="str">
        <f>IF(H1455="","",VLOOKUP(H1455,'#状态名词'!$A$2:$C$99,3))</f>
        <v>回合回复</v>
      </c>
      <c r="K1455" s="26" t="s">
        <v>5596</v>
      </c>
    </row>
    <row r="1456" spans="1:11">
      <c r="A1456" s="27">
        <v>50039</v>
      </c>
      <c r="B1456" s="27" t="s">
        <v>4873</v>
      </c>
      <c r="C1456" s="27" t="s">
        <v>4874</v>
      </c>
      <c r="E1456" s="27">
        <v>-1</v>
      </c>
      <c r="F1456" s="27">
        <v>0</v>
      </c>
      <c r="H1456" s="27">
        <v>47</v>
      </c>
      <c r="I1456" s="27" t="str">
        <f>IF(H1456="","",VLOOKUP(H1456,'#状态名词'!$A$2:$C$99,2))</f>
        <v>manaup</v>
      </c>
      <c r="J1456" s="27" t="str">
        <f>IF(H1456="","",VLOOKUP(H1456,'#状态名词'!$A$2:$C$99,3))</f>
        <v>行动回法力</v>
      </c>
      <c r="K1456" s="26" t="s">
        <v>5426</v>
      </c>
    </row>
    <row r="1457" spans="1:11">
      <c r="A1457" s="27">
        <v>50040</v>
      </c>
      <c r="B1457" s="27" t="s">
        <v>4879</v>
      </c>
      <c r="C1457" s="27" t="s">
        <v>4880</v>
      </c>
      <c r="E1457" s="27">
        <v>-1</v>
      </c>
      <c r="F1457" s="27">
        <v>-1</v>
      </c>
      <c r="H1457" s="27">
        <v>61</v>
      </c>
      <c r="I1457" s="27" t="str">
        <f>IF(H1457="","",VLOOKUP(H1457,'#状态名词'!$A$2:$C$99,2))</f>
        <v>team_ad</v>
      </c>
      <c r="J1457" s="27" t="str">
        <f>IF(H1457="","",VLOOKUP(H1457,'#状态名词'!$A$2:$C$99,3))</f>
        <v>队伍AD</v>
      </c>
      <c r="K1457" s="26" t="s">
        <v>5523</v>
      </c>
    </row>
    <row r="1458" spans="1:11">
      <c r="A1458" s="27">
        <v>50041</v>
      </c>
      <c r="B1458" s="27" t="s">
        <v>4883</v>
      </c>
      <c r="C1458" s="27" t="s">
        <v>4884</v>
      </c>
      <c r="E1458" s="27">
        <v>1</v>
      </c>
      <c r="F1458" s="27">
        <v>-1</v>
      </c>
      <c r="H1458" s="27">
        <v>35</v>
      </c>
      <c r="I1458" s="27" t="str">
        <f>IF(H1458="","",VLOOKUP(H1458,'#状态名词'!$A$2:$C$99,2))</f>
        <v>reelement</v>
      </c>
      <c r="J1458" s="27" t="str">
        <f>IF(H1458="","",VLOOKUP(H1458,'#状态名词'!$A$2:$C$99,3))</f>
        <v>全属性抗性</v>
      </c>
      <c r="K1458" s="26" t="s">
        <v>5467</v>
      </c>
    </row>
    <row r="1459" spans="1:11">
      <c r="A1459" s="27">
        <v>50042</v>
      </c>
      <c r="B1459" s="27" t="s">
        <v>4891</v>
      </c>
      <c r="C1459" s="27" t="s">
        <v>4892</v>
      </c>
      <c r="E1459" s="27">
        <v>1</v>
      </c>
      <c r="F1459" s="27">
        <v>0</v>
      </c>
      <c r="H1459" s="27">
        <v>36</v>
      </c>
      <c r="I1459" s="27" t="str">
        <f>IF(H1459="","",VLOOKUP(H1459,'#状态名词'!$A$2:$C$99,2))</f>
        <v>atk_damage</v>
      </c>
      <c r="J1459" s="27" t="str">
        <f>IF(H1459="","",VLOOKUP(H1459,'#状态名词'!$A$2:$C$99,3))</f>
        <v>攻击附加伤害</v>
      </c>
      <c r="K1459" s="26" t="s">
        <v>5240</v>
      </c>
    </row>
    <row r="1460" spans="1:11">
      <c r="A1460" s="27">
        <v>50043</v>
      </c>
      <c r="B1460" s="27" t="s">
        <v>4893</v>
      </c>
      <c r="E1460" s="27">
        <v>1</v>
      </c>
      <c r="F1460" s="27">
        <v>0</v>
      </c>
      <c r="H1460" s="27">
        <v>39</v>
      </c>
      <c r="I1460" s="27" t="str">
        <f>IF(H1460="","",VLOOKUP(H1460,'#状态名词'!$A$2:$C$99,2))</f>
        <v>action_heal</v>
      </c>
      <c r="J1460" s="27" t="str">
        <f>IF(H1460="","",VLOOKUP(H1460,'#状态名词'!$A$2:$C$99,3))</f>
        <v>行动时治疗</v>
      </c>
      <c r="K1460" s="26" t="s">
        <v>1381</v>
      </c>
    </row>
    <row r="1461" spans="1:11">
      <c r="A1461" s="27">
        <v>50044</v>
      </c>
      <c r="B1461" s="27" t="s">
        <v>4795</v>
      </c>
      <c r="C1461" s="27" t="s">
        <v>4796</v>
      </c>
      <c r="E1461" s="27">
        <v>-1</v>
      </c>
      <c r="F1461" s="27">
        <v>-1</v>
      </c>
      <c r="H1461" s="27">
        <v>13</v>
      </c>
      <c r="I1461" s="27" t="str">
        <f>IF(H1461="","",VLOOKUP(H1461,'#状态名词'!$A$2:$C$99,2))</f>
        <v>arm</v>
      </c>
      <c r="J1461" s="27" t="str">
        <f>IF(H1461="","",VLOOKUP(H1461,'#状态名词'!$A$2:$C$99,3))</f>
        <v>ARM+</v>
      </c>
      <c r="K1461" s="26" t="s">
        <v>5597</v>
      </c>
    </row>
    <row r="1462" spans="1:11">
      <c r="A1462" s="27">
        <v>50045</v>
      </c>
      <c r="B1462" s="27" t="s">
        <v>4307</v>
      </c>
      <c r="C1462" s="27" t="s">
        <v>4895</v>
      </c>
      <c r="E1462" s="27">
        <v>-1</v>
      </c>
      <c r="F1462" s="27">
        <v>-1</v>
      </c>
      <c r="H1462" s="27">
        <v>13</v>
      </c>
      <c r="I1462" s="27" t="str">
        <f>IF(H1462="","",VLOOKUP(H1462,'#状态名词'!$A$2:$C$99,2))</f>
        <v>arm</v>
      </c>
      <c r="J1462" s="27" t="str">
        <f>IF(H1462="","",VLOOKUP(H1462,'#状态名词'!$A$2:$C$99,3))</f>
        <v>ARM+</v>
      </c>
      <c r="K1462" s="26" t="s">
        <v>5533</v>
      </c>
    </row>
    <row r="1463" spans="1:11">
      <c r="A1463" s="27">
        <v>50046</v>
      </c>
      <c r="B1463" s="27" t="s">
        <v>4896</v>
      </c>
      <c r="C1463" s="27" t="s">
        <v>4897</v>
      </c>
      <c r="E1463" s="27">
        <v>-1</v>
      </c>
      <c r="F1463" s="27">
        <v>-1</v>
      </c>
      <c r="H1463" s="27">
        <v>21</v>
      </c>
      <c r="I1463" s="27" t="str">
        <f>IF(H1463="","",VLOOKUP(H1463,'#状态名词'!$A$2:$C$99,2))</f>
        <v>speed</v>
      </c>
      <c r="J1463" s="27" t="str">
        <f>IF(H1463="","",VLOOKUP(H1463,'#状态名词'!$A$2:$C$99,3))</f>
        <v>速度+</v>
      </c>
      <c r="K1463" s="26" t="s">
        <v>5571</v>
      </c>
    </row>
    <row r="1464" spans="1:11">
      <c r="A1464" s="27">
        <v>50047</v>
      </c>
      <c r="B1464" s="27" t="s">
        <v>4900</v>
      </c>
      <c r="C1464" s="27" t="s">
        <v>2101</v>
      </c>
      <c r="E1464" s="27">
        <v>1</v>
      </c>
      <c r="F1464" s="27">
        <v>1</v>
      </c>
      <c r="H1464" s="27">
        <v>54</v>
      </c>
      <c r="I1464" s="27" t="str">
        <f>IF(H1464="","",VLOOKUP(H1464,'#状态名词'!$A$2:$C$99,2))</f>
        <v>spi</v>
      </c>
      <c r="J1464" s="27" t="str">
        <f>IF(H1464="","",VLOOKUP(H1464,'#状态名词'!$A$2:$C$99,3))</f>
        <v>精神</v>
      </c>
      <c r="K1464" s="26" t="s">
        <v>5598</v>
      </c>
    </row>
    <row r="1465" spans="1:11">
      <c r="A1465" s="27">
        <v>50048</v>
      </c>
      <c r="B1465" s="27" t="s">
        <v>4915</v>
      </c>
      <c r="C1465" s="27" t="s">
        <v>1629</v>
      </c>
      <c r="E1465" s="27">
        <v>-1</v>
      </c>
      <c r="F1465" s="27">
        <v>-1</v>
      </c>
      <c r="H1465" s="27">
        <v>20</v>
      </c>
      <c r="I1465" s="27" t="str">
        <f>IF(H1465="","",VLOOKUP(H1465,'#状态名词'!$A$2:$C$99,2))</f>
        <v>ratingdamage</v>
      </c>
      <c r="J1465" s="27" t="str">
        <f>IF(H1465="","",VLOOKUP(H1465,'#状态名词'!$A$2:$C$99,3))</f>
        <v>暴伤+</v>
      </c>
      <c r="K1465" s="26" t="s">
        <v>5523</v>
      </c>
    </row>
    <row r="1466" spans="1:11">
      <c r="A1466" s="27">
        <v>50049</v>
      </c>
      <c r="B1466" s="27" t="s">
        <v>4923</v>
      </c>
      <c r="C1466" s="27" t="s">
        <v>4924</v>
      </c>
      <c r="E1466" s="27">
        <v>1</v>
      </c>
      <c r="F1466" s="27">
        <v>1</v>
      </c>
      <c r="H1466" s="27">
        <v>42</v>
      </c>
      <c r="I1466" s="27" t="str">
        <f>IF(H1466="","",VLOOKUP(H1466,'#状态名词'!$A$2:$C$99,2))</f>
        <v>turn_heal</v>
      </c>
      <c r="J1466" s="27" t="str">
        <f>IF(H1466="","",VLOOKUP(H1466,'#状态名词'!$A$2:$C$99,3))</f>
        <v>回合回复</v>
      </c>
      <c r="K1466" s="26" t="s">
        <v>5599</v>
      </c>
    </row>
    <row r="1467" spans="1:11">
      <c r="A1467" s="27">
        <v>50050</v>
      </c>
      <c r="B1467" s="27" t="s">
        <v>4371</v>
      </c>
      <c r="C1467" s="27" t="s">
        <v>5600</v>
      </c>
      <c r="E1467" s="27">
        <v>-1</v>
      </c>
      <c r="F1467" s="27">
        <v>0</v>
      </c>
      <c r="H1467" s="27">
        <v>39</v>
      </c>
      <c r="I1467" s="27" t="str">
        <f>IF(H1467="","",VLOOKUP(H1467,'#状态名词'!$A$2:$C$99,2))</f>
        <v>action_heal</v>
      </c>
      <c r="J1467" s="27" t="str">
        <f>IF(H1467="","",VLOOKUP(H1467,'#状态名词'!$A$2:$C$99,3))</f>
        <v>行动时治疗</v>
      </c>
      <c r="K1467" s="26" t="s">
        <v>5601</v>
      </c>
    </row>
    <row r="1468" spans="1:11">
      <c r="A1468" s="27">
        <v>50051</v>
      </c>
      <c r="B1468" s="27" t="s">
        <v>4371</v>
      </c>
      <c r="C1468" s="27" t="s">
        <v>1630</v>
      </c>
      <c r="E1468" s="27">
        <v>-1</v>
      </c>
      <c r="F1468" s="27">
        <v>-1</v>
      </c>
      <c r="H1468" s="27">
        <v>21</v>
      </c>
      <c r="I1468" s="27" t="str">
        <f>IF(H1468="","",VLOOKUP(H1468,'#状态名词'!$A$2:$C$99,2))</f>
        <v>speed</v>
      </c>
      <c r="J1468" s="27" t="str">
        <f>IF(H1468="","",VLOOKUP(H1468,'#状态名词'!$A$2:$C$99,3))</f>
        <v>速度+</v>
      </c>
      <c r="K1468" s="26" t="s">
        <v>5522</v>
      </c>
    </row>
    <row r="1469" spans="1:11">
      <c r="A1469" s="27">
        <v>50052</v>
      </c>
      <c r="B1469" s="27" t="s">
        <v>4797</v>
      </c>
      <c r="C1469" s="27" t="s">
        <v>4798</v>
      </c>
      <c r="E1469" s="27">
        <v>-1</v>
      </c>
      <c r="F1469" s="27">
        <v>-1</v>
      </c>
      <c r="H1469" s="27">
        <v>15</v>
      </c>
      <c r="I1469" s="27" t="str">
        <f>IF(H1469="","",VLOOKUP(H1469,'#状态名词'!$A$2:$C$99,2))</f>
        <v>mr</v>
      </c>
      <c r="J1469" s="27" t="str">
        <f>IF(H1469="","",VLOOKUP(H1469,'#状态名词'!$A$2:$C$99,3))</f>
        <v>MR+</v>
      </c>
      <c r="K1469" s="26" t="s">
        <v>5597</v>
      </c>
    </row>
    <row r="1470" spans="1:11">
      <c r="A1470" s="27">
        <v>50053</v>
      </c>
      <c r="B1470" s="27" t="s">
        <v>4799</v>
      </c>
      <c r="C1470" s="27" t="s">
        <v>4800</v>
      </c>
      <c r="E1470" s="27">
        <v>-1</v>
      </c>
      <c r="F1470" s="27">
        <v>-1</v>
      </c>
      <c r="H1470" s="27">
        <v>58</v>
      </c>
      <c r="I1470" s="27" t="str">
        <f>IF(H1470="","",VLOOKUP(H1470,'#状态名词'!$A$2:$C$99,2))</f>
        <v>vit</v>
      </c>
      <c r="J1470" s="27" t="str">
        <f>IF(H1470="","",VLOOKUP(H1470,'#状态名词'!$A$2:$C$99,3))</f>
        <v>体力</v>
      </c>
      <c r="K1470" s="26" t="s">
        <v>5586</v>
      </c>
    </row>
    <row r="1471" spans="1:11">
      <c r="A1471" s="27">
        <v>50054</v>
      </c>
      <c r="B1471" s="27" t="s">
        <v>4801</v>
      </c>
      <c r="C1471" s="27" t="s">
        <v>2070</v>
      </c>
      <c r="E1471" s="27">
        <v>-1</v>
      </c>
      <c r="F1471" s="27">
        <v>-1</v>
      </c>
      <c r="H1471" s="27">
        <v>65</v>
      </c>
      <c r="I1471" s="27" t="str">
        <f>IF(H1471="","",VLOOKUP(H1471,'#状态名词'!$A$2:$C$99,2))</f>
        <v>str</v>
      </c>
      <c r="J1471" s="27" t="str">
        <f>IF(H1471="","",VLOOKUP(H1471,'#状态名词'!$A$2:$C$99,3))</f>
        <v>力量</v>
      </c>
      <c r="K1471" s="26" t="s">
        <v>5586</v>
      </c>
    </row>
    <row r="1472" spans="1:11">
      <c r="B1472" s="27" t="s">
        <v>84</v>
      </c>
      <c r="H1472" s="27">
        <v>67</v>
      </c>
      <c r="I1472" s="27" t="str">
        <f>IF(H1472="","",VLOOKUP(H1472,'#状态名词'!$A$2:$C$99,2))</f>
        <v>inte</v>
      </c>
      <c r="J1472" s="27" t="str">
        <f>IF(H1472="","",VLOOKUP(H1472,'#状态名词'!$A$2:$C$99,3))</f>
        <v>智力</v>
      </c>
      <c r="K1472" s="26" t="s">
        <v>5586</v>
      </c>
    </row>
    <row r="1473" spans="1:12">
      <c r="A1473" s="27">
        <v>50055</v>
      </c>
      <c r="B1473" s="27" t="s">
        <v>4928</v>
      </c>
      <c r="C1473" s="27" t="s">
        <v>4929</v>
      </c>
      <c r="E1473" s="27">
        <v>1</v>
      </c>
      <c r="F1473" s="27">
        <v>0</v>
      </c>
      <c r="H1473" s="27">
        <v>33</v>
      </c>
      <c r="I1473" s="27" t="str">
        <f>IF(H1473="","",VLOOKUP(H1473,'#状态名词'!$A$2:$C$99,2))</f>
        <v>relight</v>
      </c>
      <c r="J1473" s="27" t="str">
        <f>IF(H1473="","",VLOOKUP(H1473,'#状态名词'!$A$2:$C$99,3))</f>
        <v>光属性抗性</v>
      </c>
      <c r="K1473" s="26" t="s">
        <v>5602</v>
      </c>
    </row>
    <row r="1474" spans="1:12">
      <c r="A1474" s="27">
        <v>50056</v>
      </c>
      <c r="B1474" s="27" t="s">
        <v>4930</v>
      </c>
      <c r="C1474" s="27" t="s">
        <v>4931</v>
      </c>
      <c r="E1474" s="27">
        <v>-1</v>
      </c>
      <c r="F1474" s="27">
        <v>0</v>
      </c>
      <c r="H1474" s="27">
        <v>39</v>
      </c>
      <c r="I1474" s="27" t="str">
        <f>IF(H1474="","",VLOOKUP(H1474,'#状态名词'!$A$2:$C$99,2))</f>
        <v>action_heal</v>
      </c>
      <c r="J1474" s="27" t="str">
        <f>IF(H1474="","",VLOOKUP(H1474,'#状态名词'!$A$2:$C$99,3))</f>
        <v>行动时治疗</v>
      </c>
      <c r="K1474" s="26" t="s">
        <v>5603</v>
      </c>
    </row>
    <row r="1475" spans="1:12">
      <c r="A1475" s="27">
        <v>50057</v>
      </c>
      <c r="B1475" s="27" t="s">
        <v>4946</v>
      </c>
      <c r="C1475" s="27" t="s">
        <v>4947</v>
      </c>
      <c r="E1475" s="27">
        <v>-1</v>
      </c>
      <c r="F1475" s="27">
        <v>-1</v>
      </c>
      <c r="H1475" s="27">
        <v>21</v>
      </c>
      <c r="I1475" s="27" t="str">
        <f>IF(H1475="","",VLOOKUP(H1475,'#状态名词'!$A$2:$C$99,2))</f>
        <v>speed</v>
      </c>
      <c r="J1475" s="27" t="str">
        <f>IF(H1475="","",VLOOKUP(H1475,'#状态名词'!$A$2:$C$99,3))</f>
        <v>速度+</v>
      </c>
      <c r="K1475" s="26" t="s">
        <v>5475</v>
      </c>
    </row>
    <row r="1476" spans="1:12">
      <c r="A1476" s="27">
        <v>50058</v>
      </c>
      <c r="B1476" s="27" t="s">
        <v>4948</v>
      </c>
      <c r="C1476" s="27" t="s">
        <v>4949</v>
      </c>
      <c r="E1476" s="27">
        <v>-1</v>
      </c>
      <c r="F1476" s="27">
        <v>-1</v>
      </c>
      <c r="H1476" s="27">
        <v>17</v>
      </c>
      <c r="I1476" s="27" t="str">
        <f>IF(H1476="","",VLOOKUP(H1476,'#状态名词'!$A$2:$C$99,2))</f>
        <v>adi</v>
      </c>
      <c r="J1476" s="27" t="str">
        <f>IF(H1476="","",VLOOKUP(H1476,'#状态名词'!$A$2:$C$99,3))</f>
        <v>物穿</v>
      </c>
      <c r="K1476" s="26" t="s">
        <v>5457</v>
      </c>
    </row>
    <row r="1477" spans="1:12">
      <c r="A1477" s="27">
        <v>50059</v>
      </c>
      <c r="B1477" s="27" t="s">
        <v>4953</v>
      </c>
      <c r="C1477" s="27" t="s">
        <v>4954</v>
      </c>
      <c r="E1477" s="27">
        <v>-1</v>
      </c>
      <c r="F1477" s="27">
        <v>-1</v>
      </c>
      <c r="H1477" s="27">
        <v>50</v>
      </c>
      <c r="I1477" s="27" t="str">
        <f>IF(H1477="","",VLOOKUP(H1477,'#状态名词'!$A$2:$C$99,2))</f>
        <v>manataken</v>
      </c>
      <c r="J1477" s="27" t="str">
        <f>IF(H1477="","",VLOOKUP(H1477,'#状态名词'!$A$2:$C$99,3))</f>
        <v>行动消耗对方法力</v>
      </c>
      <c r="K1477" s="26">
        <v>25</v>
      </c>
      <c r="L1477" s="27">
        <v>100</v>
      </c>
    </row>
    <row r="1478" spans="1:12">
      <c r="A1478" s="27">
        <v>50060</v>
      </c>
      <c r="B1478" s="27" t="s">
        <v>4955</v>
      </c>
      <c r="C1478" s="27" t="s">
        <v>4956</v>
      </c>
      <c r="E1478" s="27">
        <v>-1</v>
      </c>
      <c r="F1478" s="27">
        <v>-1</v>
      </c>
      <c r="H1478" s="27">
        <v>53</v>
      </c>
      <c r="I1478" s="27" t="str">
        <f>IF(H1478="","",VLOOKUP(H1478,'#状态名词'!$A$2:$C$99,2))</f>
        <v>manaupper</v>
      </c>
      <c r="J1478" s="27" t="str">
        <f>IF(H1478="","",VLOOKUP(H1478,'#状态名词'!$A$2:$C$99,3))</f>
        <v>法力上限</v>
      </c>
      <c r="K1478" s="26" t="s">
        <v>5457</v>
      </c>
    </row>
    <row r="1479" spans="1:12">
      <c r="A1479" s="27">
        <v>50061</v>
      </c>
      <c r="B1479" s="27" t="s">
        <v>4959</v>
      </c>
      <c r="C1479" s="27" t="s">
        <v>4960</v>
      </c>
      <c r="E1479" s="27">
        <v>-1</v>
      </c>
      <c r="F1479" s="27">
        <v>-1</v>
      </c>
      <c r="H1479" s="27">
        <v>13</v>
      </c>
      <c r="I1479" s="27" t="str">
        <f>IF(H1479="","",VLOOKUP(H1479,'#状态名词'!$A$2:$C$99,2))</f>
        <v>arm</v>
      </c>
      <c r="J1479" s="27" t="str">
        <f>IF(H1479="","",VLOOKUP(H1479,'#状态名词'!$A$2:$C$99,3))</f>
        <v>ARM+</v>
      </c>
      <c r="K1479" s="26" t="s">
        <v>5604</v>
      </c>
    </row>
    <row r="1480" spans="1:12">
      <c r="B1480" s="27" t="s">
        <v>84</v>
      </c>
      <c r="E1480" s="27">
        <v>-1</v>
      </c>
      <c r="F1480" s="27">
        <v>-1</v>
      </c>
      <c r="H1480" s="27">
        <v>15</v>
      </c>
      <c r="I1480" s="27" t="str">
        <f>IF(H1480="","",VLOOKUP(H1480,'#状态名词'!$A$2:$C$99,2))</f>
        <v>mr</v>
      </c>
      <c r="J1480" s="27" t="str">
        <f>IF(H1480="","",VLOOKUP(H1480,'#状态名词'!$A$2:$C$99,3))</f>
        <v>MR+</v>
      </c>
      <c r="K1480" s="26" t="s">
        <v>5604</v>
      </c>
    </row>
    <row r="1481" spans="1:12">
      <c r="A1481" s="27">
        <v>50062</v>
      </c>
      <c r="B1481" s="27" t="s">
        <v>4392</v>
      </c>
      <c r="C1481" s="27" t="s">
        <v>5605</v>
      </c>
      <c r="E1481" s="27">
        <v>-1</v>
      </c>
      <c r="F1481" s="27">
        <v>0</v>
      </c>
      <c r="H1481" s="27">
        <v>39</v>
      </c>
      <c r="I1481" s="27" t="str">
        <f>IF(H1481="","",VLOOKUP(H1481,'#状态名词'!$A$2:$C$99,2))</f>
        <v>action_heal</v>
      </c>
      <c r="J1481" s="27" t="str">
        <f>IF(H1481="","",VLOOKUP(H1481,'#状态名词'!$A$2:$C$99,3))</f>
        <v>行动时治疗</v>
      </c>
      <c r="K1481" s="26" t="s">
        <v>5606</v>
      </c>
    </row>
    <row r="1482" spans="1:12">
      <c r="A1482" s="27">
        <v>50063</v>
      </c>
      <c r="B1482" s="27" t="s">
        <v>4392</v>
      </c>
      <c r="C1482" s="27" t="s">
        <v>2117</v>
      </c>
      <c r="E1482" s="27">
        <v>-1</v>
      </c>
      <c r="F1482" s="27">
        <v>-1</v>
      </c>
      <c r="H1482" s="27">
        <v>65</v>
      </c>
      <c r="I1482" s="27" t="str">
        <f>IF(H1482="","",VLOOKUP(H1482,'#状态名词'!$A$2:$C$99,2))</f>
        <v>str</v>
      </c>
      <c r="J1482" s="27" t="str">
        <f>IF(H1482="","",VLOOKUP(H1482,'#状态名词'!$A$2:$C$99,3))</f>
        <v>力量</v>
      </c>
      <c r="K1482" s="26" t="s">
        <v>5607</v>
      </c>
    </row>
    <row r="1483" spans="1:12">
      <c r="B1483" s="27" t="s">
        <v>84</v>
      </c>
      <c r="H1483" s="27">
        <v>67</v>
      </c>
      <c r="I1483" s="27" t="str">
        <f>IF(H1483="","",VLOOKUP(H1483,'#状态名词'!$A$2:$C$99,2))</f>
        <v>inte</v>
      </c>
      <c r="J1483" s="27" t="str">
        <f>IF(H1483="","",VLOOKUP(H1483,'#状态名词'!$A$2:$C$99,3))</f>
        <v>智力</v>
      </c>
      <c r="K1483" s="26" t="s">
        <v>5607</v>
      </c>
    </row>
    <row r="1484" spans="1:12">
      <c r="A1484" s="27">
        <v>50064</v>
      </c>
      <c r="B1484" s="27" t="s">
        <v>4969</v>
      </c>
      <c r="C1484" s="27" t="s">
        <v>4970</v>
      </c>
      <c r="E1484" s="27">
        <v>-1</v>
      </c>
      <c r="F1484" s="27">
        <v>-1</v>
      </c>
      <c r="H1484" s="27">
        <v>21</v>
      </c>
      <c r="I1484" s="27" t="str">
        <f>IF(H1484="","",VLOOKUP(H1484,'#状态名词'!$A$2:$C$99,2))</f>
        <v>speed</v>
      </c>
      <c r="J1484" s="27" t="str">
        <f>IF(H1484="","",VLOOKUP(H1484,'#状态名词'!$A$2:$C$99,3))</f>
        <v>速度+</v>
      </c>
      <c r="K1484" s="26" t="s">
        <v>5591</v>
      </c>
    </row>
    <row r="1485" spans="1:12">
      <c r="A1485" s="27">
        <v>50065</v>
      </c>
      <c r="B1485" s="27" t="s">
        <v>4973</v>
      </c>
      <c r="C1485" s="27" t="s">
        <v>5608</v>
      </c>
      <c r="E1485" s="27">
        <v>-1</v>
      </c>
      <c r="F1485" s="27">
        <v>0</v>
      </c>
      <c r="H1485" s="27">
        <v>39</v>
      </c>
      <c r="I1485" s="27" t="str">
        <f>IF(H1485="","",VLOOKUP(H1485,'#状态名词'!$A$2:$C$99,2))</f>
        <v>action_heal</v>
      </c>
      <c r="J1485" s="27" t="str">
        <f>IF(H1485="","",VLOOKUP(H1485,'#状态名词'!$A$2:$C$99,3))</f>
        <v>行动时治疗</v>
      </c>
      <c r="K1485" s="26" t="s">
        <v>5609</v>
      </c>
    </row>
    <row r="1486" spans="1:12">
      <c r="A1486" s="27">
        <v>50066</v>
      </c>
      <c r="B1486" s="27" t="s">
        <v>4976</v>
      </c>
      <c r="C1486" s="27" t="s">
        <v>2118</v>
      </c>
      <c r="E1486" s="27">
        <v>-1</v>
      </c>
      <c r="F1486" s="27">
        <v>0</v>
      </c>
      <c r="H1486" s="27">
        <v>65</v>
      </c>
      <c r="I1486" s="27" t="str">
        <f>IF(H1486="","",VLOOKUP(H1486,'#状态名词'!$A$2:$C$99,2))</f>
        <v>str</v>
      </c>
      <c r="J1486" s="27" t="str">
        <f>IF(H1486="","",VLOOKUP(H1486,'#状态名词'!$A$2:$C$99,3))</f>
        <v>力量</v>
      </c>
      <c r="K1486" s="26" t="s">
        <v>5610</v>
      </c>
    </row>
    <row r="1487" spans="1:12">
      <c r="B1487" s="27" t="s">
        <v>84</v>
      </c>
      <c r="C1487" s="21"/>
      <c r="H1487" s="27">
        <v>67</v>
      </c>
      <c r="I1487" s="27" t="str">
        <f>IF(H1487="","",VLOOKUP(H1487,'#状态名词'!$A$2:$C$99,2))</f>
        <v>inte</v>
      </c>
      <c r="J1487" s="27" t="str">
        <f>IF(H1487="","",VLOOKUP(H1487,'#状态名词'!$A$2:$C$99,3))</f>
        <v>智力</v>
      </c>
      <c r="K1487" s="26" t="s">
        <v>5610</v>
      </c>
    </row>
    <row r="1488" spans="1:12">
      <c r="A1488" s="27">
        <v>50067</v>
      </c>
      <c r="B1488" s="27" t="s">
        <v>4976</v>
      </c>
      <c r="C1488" s="21" t="s">
        <v>2102</v>
      </c>
      <c r="E1488" s="27">
        <v>-1</v>
      </c>
      <c r="F1488" s="27">
        <v>0</v>
      </c>
      <c r="H1488" s="27">
        <v>54</v>
      </c>
      <c r="I1488" s="27" t="str">
        <f>IF(H1488="","",VLOOKUP(H1488,'#状态名词'!$A$2:$C$99,2))</f>
        <v>spi</v>
      </c>
      <c r="J1488" s="27" t="str">
        <f>IF(H1488="","",VLOOKUP(H1488,'#状态名词'!$A$2:$C$99,3))</f>
        <v>精神</v>
      </c>
      <c r="K1488" s="26" t="s">
        <v>5610</v>
      </c>
    </row>
    <row r="1489" spans="1:12">
      <c r="A1489" s="27">
        <v>50068</v>
      </c>
      <c r="B1489" s="27" t="s">
        <v>4977</v>
      </c>
      <c r="C1489" s="27" t="s">
        <v>4978</v>
      </c>
      <c r="E1489" s="27">
        <v>-1</v>
      </c>
      <c r="F1489" s="27">
        <v>-1</v>
      </c>
      <c r="H1489" s="27">
        <v>20</v>
      </c>
      <c r="I1489" s="27" t="str">
        <f>IF(H1489="","",VLOOKUP(H1489,'#状态名词'!$A$2:$C$99,2))</f>
        <v>ratingdamage</v>
      </c>
      <c r="J1489" s="27" t="str">
        <f>IF(H1489="","",VLOOKUP(H1489,'#状态名词'!$A$2:$C$99,3))</f>
        <v>暴伤+</v>
      </c>
      <c r="K1489" s="26" t="s">
        <v>5611</v>
      </c>
    </row>
    <row r="1490" spans="1:12">
      <c r="A1490" s="27">
        <v>50069</v>
      </c>
      <c r="B1490" s="27" t="s">
        <v>4979</v>
      </c>
      <c r="C1490" s="27" t="s">
        <v>5612</v>
      </c>
      <c r="E1490" s="27">
        <v>-1</v>
      </c>
      <c r="F1490" s="27">
        <v>-1</v>
      </c>
      <c r="H1490" s="27">
        <v>61</v>
      </c>
      <c r="I1490" s="27" t="str">
        <f>IF(H1490="","",VLOOKUP(H1490,'#状态名词'!$A$2:$C$99,2))</f>
        <v>team_ad</v>
      </c>
      <c r="J1490" s="27" t="str">
        <f>IF(H1490="","",VLOOKUP(H1490,'#状态名词'!$A$2:$C$99,3))</f>
        <v>队伍AD</v>
      </c>
      <c r="K1490" s="26" t="s">
        <v>5457</v>
      </c>
    </row>
    <row r="1491" spans="1:12">
      <c r="A1491" s="27">
        <v>50070</v>
      </c>
      <c r="B1491" s="27" t="s">
        <v>4981</v>
      </c>
      <c r="C1491" s="27" t="s">
        <v>4982</v>
      </c>
      <c r="E1491" s="27">
        <v>-1</v>
      </c>
      <c r="F1491" s="27">
        <v>-1</v>
      </c>
      <c r="H1491" s="27">
        <v>45</v>
      </c>
      <c r="I1491" s="27" t="str">
        <f>IF(H1491="","",VLOOKUP(H1491,'#状态名词'!$A$2:$C$99,2))</f>
        <v>rageup</v>
      </c>
      <c r="J1491" s="27" t="str">
        <f>IF(H1491="","",VLOOKUP(H1491,'#状态名词'!$A$2:$C$99,3))</f>
        <v>行动回怒气</v>
      </c>
      <c r="K1491" s="26">
        <v>10</v>
      </c>
      <c r="L1491" s="27">
        <v>100</v>
      </c>
    </row>
    <row r="1492" spans="1:12">
      <c r="A1492" s="27">
        <v>50071</v>
      </c>
      <c r="B1492" s="27" t="s">
        <v>4985</v>
      </c>
      <c r="C1492" s="27" t="s">
        <v>4986</v>
      </c>
      <c r="E1492" s="27">
        <v>-1</v>
      </c>
      <c r="F1492" s="27">
        <v>-1</v>
      </c>
      <c r="H1492" s="27">
        <v>49</v>
      </c>
      <c r="I1492" s="27" t="str">
        <f>IF(H1492="","",VLOOKUP(H1492,'#状态名词'!$A$2:$C$99,2))</f>
        <v>energytaken</v>
      </c>
      <c r="J1492" s="27" t="str">
        <f>IF(H1492="","",VLOOKUP(H1492,'#状态名词'!$A$2:$C$99,3))</f>
        <v>行动消耗对方能量</v>
      </c>
      <c r="K1492" s="26">
        <v>20</v>
      </c>
      <c r="L1492" s="27">
        <v>100</v>
      </c>
    </row>
    <row r="1493" spans="1:12">
      <c r="A1493" s="27">
        <v>50072</v>
      </c>
      <c r="B1493" s="27" t="s">
        <v>4987</v>
      </c>
      <c r="C1493" s="27" t="s">
        <v>5613</v>
      </c>
      <c r="E1493" s="27">
        <v>-1</v>
      </c>
      <c r="F1493" s="27">
        <v>0</v>
      </c>
      <c r="H1493" s="27">
        <v>39</v>
      </c>
      <c r="I1493" s="27" t="str">
        <f>IF(H1493="","",VLOOKUP(H1493,'#状态名词'!$A$2:$C$99,2))</f>
        <v>action_heal</v>
      </c>
      <c r="J1493" s="27" t="str">
        <f>IF(H1493="","",VLOOKUP(H1493,'#状态名词'!$A$2:$C$99,3))</f>
        <v>行动时治疗</v>
      </c>
      <c r="K1493" s="26" t="s">
        <v>5614</v>
      </c>
    </row>
    <row r="1494" spans="1:12">
      <c r="A1494" s="27">
        <v>50073</v>
      </c>
      <c r="B1494" s="27" t="s">
        <v>4993</v>
      </c>
      <c r="C1494" s="27" t="s">
        <v>4994</v>
      </c>
      <c r="E1494" s="27">
        <v>-1</v>
      </c>
      <c r="F1494" s="27">
        <v>-1</v>
      </c>
      <c r="H1494" s="27">
        <v>13</v>
      </c>
      <c r="I1494" s="27" t="str">
        <f>IF(H1494="","",VLOOKUP(H1494,'#状态名词'!$A$2:$C$99,2))</f>
        <v>arm</v>
      </c>
      <c r="J1494" s="27" t="str">
        <f>IF(H1494="","",VLOOKUP(H1494,'#状态名词'!$A$2:$C$99,3))</f>
        <v>ARM+</v>
      </c>
      <c r="K1494" s="26" t="s">
        <v>5615</v>
      </c>
    </row>
    <row r="1495" spans="1:12">
      <c r="B1495" s="27" t="s">
        <v>84</v>
      </c>
      <c r="E1495" s="27">
        <v>-1</v>
      </c>
      <c r="F1495" s="27">
        <v>-1</v>
      </c>
      <c r="H1495" s="27">
        <v>15</v>
      </c>
      <c r="I1495" s="27" t="str">
        <f>IF(H1495="","",VLOOKUP(H1495,'#状态名词'!$A$2:$C$99,2))</f>
        <v>mr</v>
      </c>
      <c r="J1495" s="27" t="str">
        <f>IF(H1495="","",VLOOKUP(H1495,'#状态名词'!$A$2:$C$99,3))</f>
        <v>MR+</v>
      </c>
      <c r="K1495" s="26" t="s">
        <v>5615</v>
      </c>
    </row>
    <row r="1496" spans="1:12">
      <c r="A1496" s="27">
        <v>50074</v>
      </c>
      <c r="B1496" s="27" t="s">
        <v>4999</v>
      </c>
      <c r="C1496" s="27" t="s">
        <v>5000</v>
      </c>
      <c r="E1496" s="27">
        <v>-1</v>
      </c>
      <c r="F1496" s="27">
        <v>0</v>
      </c>
      <c r="H1496" s="27">
        <v>36</v>
      </c>
      <c r="I1496" s="27" t="str">
        <f>IF(H1496="","",VLOOKUP(H1496,'#状态名词'!$A$2:$C$99,2))</f>
        <v>atk_damage</v>
      </c>
      <c r="J1496" s="27" t="str">
        <f>IF(H1496="","",VLOOKUP(H1496,'#状态名词'!$A$2:$C$99,3))</f>
        <v>攻击附加伤害</v>
      </c>
      <c r="K1496" s="26" t="s">
        <v>5616</v>
      </c>
    </row>
    <row r="1497" spans="1:12">
      <c r="A1497" s="27">
        <v>50075</v>
      </c>
      <c r="B1497" s="27" t="s">
        <v>5001</v>
      </c>
      <c r="C1497" s="27" t="s">
        <v>2119</v>
      </c>
      <c r="E1497" s="27">
        <v>-1</v>
      </c>
      <c r="F1497" s="27">
        <v>3</v>
      </c>
      <c r="H1497" s="27">
        <v>23</v>
      </c>
      <c r="I1497" s="27" t="str">
        <f>IF(H1497="","",VLOOKUP(H1497,'#状态名词'!$A$2:$C$99,2))</f>
        <v>steal</v>
      </c>
      <c r="J1497" s="27" t="str">
        <f>IF(H1497="","",VLOOKUP(H1497,'#状态名词'!$A$2:$C$99,3))</f>
        <v>生命偷取</v>
      </c>
      <c r="K1497" s="26">
        <v>5000</v>
      </c>
    </row>
    <row r="1498" spans="1:12">
      <c r="B1498" s="27" t="s">
        <v>84</v>
      </c>
      <c r="E1498" s="27">
        <v>-1</v>
      </c>
      <c r="F1498" s="27">
        <v>3</v>
      </c>
      <c r="H1498" s="27">
        <v>65</v>
      </c>
      <c r="I1498" s="27" t="str">
        <f>IF(H1498="","",VLOOKUP(H1498,'#状态名词'!$A$2:$C$99,2))</f>
        <v>str</v>
      </c>
      <c r="J1498" s="27" t="str">
        <f>IF(H1498="","",VLOOKUP(H1498,'#状态名词'!$A$2:$C$99,3))</f>
        <v>力量</v>
      </c>
      <c r="K1498" s="26" t="s">
        <v>5475</v>
      </c>
    </row>
    <row r="1499" spans="1:12">
      <c r="B1499" s="27" t="s">
        <v>84</v>
      </c>
      <c r="H1499" s="27">
        <v>67</v>
      </c>
      <c r="I1499" s="27" t="str">
        <f>IF(H1499="","",VLOOKUP(H1499,'#状态名词'!$A$2:$C$99,2))</f>
        <v>inte</v>
      </c>
      <c r="J1499" s="27" t="str">
        <f>IF(H1499="","",VLOOKUP(H1499,'#状态名词'!$A$2:$C$99,3))</f>
        <v>智力</v>
      </c>
      <c r="K1499" s="26" t="s">
        <v>5475</v>
      </c>
    </row>
    <row r="1500" spans="1:12">
      <c r="A1500" s="27">
        <v>50076</v>
      </c>
      <c r="B1500" s="27" t="s">
        <v>5002</v>
      </c>
      <c r="C1500" s="27" t="s">
        <v>5617</v>
      </c>
      <c r="E1500" s="27">
        <v>-1</v>
      </c>
      <c r="F1500" s="27">
        <v>-1</v>
      </c>
      <c r="H1500" s="27">
        <v>24</v>
      </c>
      <c r="I1500" s="27" t="str">
        <f>IF(H1500="","",VLOOKUP(H1500,'#状态名词'!$A$2:$C$99,2))</f>
        <v>heal</v>
      </c>
      <c r="J1500" s="27" t="str">
        <f>IF(H1500="","",VLOOKUP(H1500,'#状态名词'!$A$2:$C$99,3))</f>
        <v>治疗效果+</v>
      </c>
      <c r="K1500" s="26" t="s">
        <v>5523</v>
      </c>
    </row>
    <row r="1501" spans="1:12">
      <c r="A1501" s="27">
        <v>50077</v>
      </c>
      <c r="B1501" s="27" t="s">
        <v>5002</v>
      </c>
      <c r="C1501" s="27" t="s">
        <v>5618</v>
      </c>
      <c r="E1501" s="27">
        <v>-1</v>
      </c>
      <c r="F1501" s="27">
        <v>-1</v>
      </c>
      <c r="H1501" s="27">
        <v>24</v>
      </c>
      <c r="I1501" s="27" t="str">
        <f>IF(H1501="","",VLOOKUP(H1501,'#状态名词'!$A$2:$C$99,2))</f>
        <v>heal</v>
      </c>
      <c r="J1501" s="27" t="str">
        <f>IF(H1501="","",VLOOKUP(H1501,'#状态名词'!$A$2:$C$99,3))</f>
        <v>治疗效果+</v>
      </c>
      <c r="K1501" s="26" t="s">
        <v>5586</v>
      </c>
    </row>
    <row r="1502" spans="1:12">
      <c r="A1502" s="27">
        <v>50078</v>
      </c>
      <c r="B1502" s="27" t="s">
        <v>4827</v>
      </c>
      <c r="C1502" s="27" t="s">
        <v>5619</v>
      </c>
      <c r="E1502" s="27">
        <v>-1</v>
      </c>
      <c r="F1502" s="27">
        <v>0</v>
      </c>
      <c r="H1502" s="27">
        <v>36</v>
      </c>
      <c r="I1502" s="27" t="str">
        <f>IF(H1502="","",VLOOKUP(H1502,'#状态名词'!$A$2:$C$99,2))</f>
        <v>atk_damage</v>
      </c>
      <c r="J1502" s="27" t="str">
        <f>IF(H1502="","",VLOOKUP(H1502,'#状态名词'!$A$2:$C$99,3))</f>
        <v>攻击附加伤害</v>
      </c>
      <c r="K1502" s="26" t="s">
        <v>5620</v>
      </c>
    </row>
    <row r="1503" spans="1:12">
      <c r="A1503" s="27">
        <v>50079</v>
      </c>
      <c r="B1503" s="27" t="s">
        <v>5005</v>
      </c>
      <c r="C1503" s="27" t="s">
        <v>5006</v>
      </c>
      <c r="E1503" s="27">
        <v>-1</v>
      </c>
      <c r="F1503" s="27">
        <v>0</v>
      </c>
      <c r="H1503" s="27">
        <v>36</v>
      </c>
      <c r="I1503" s="27" t="str">
        <f>IF(H1503="","",VLOOKUP(H1503,'#状态名词'!$A$2:$C$99,2))</f>
        <v>atk_damage</v>
      </c>
      <c r="J1503" s="27" t="str">
        <f>IF(H1503="","",VLOOKUP(H1503,'#状态名词'!$A$2:$C$99,3))</f>
        <v>攻击附加伤害</v>
      </c>
      <c r="K1503" s="26" t="s">
        <v>5621</v>
      </c>
    </row>
    <row r="1504" spans="1:12">
      <c r="A1504" s="20">
        <v>50181</v>
      </c>
      <c r="B1504" s="20" t="s">
        <v>7450</v>
      </c>
      <c r="C1504" s="21" t="s">
        <v>7206</v>
      </c>
      <c r="E1504" s="27">
        <v>-1</v>
      </c>
      <c r="F1504" s="27">
        <v>-1</v>
      </c>
      <c r="H1504" s="27">
        <v>24</v>
      </c>
      <c r="I1504" s="27" t="str">
        <f>IF(H1504="","",VLOOKUP(H1504,'#状态名词'!$A$2:$C$99,2))</f>
        <v>heal</v>
      </c>
      <c r="J1504" s="27" t="str">
        <f>IF(H1504="","",VLOOKUP(H1504,'#状态名词'!$A$2:$C$99,3))</f>
        <v>治疗效果+</v>
      </c>
      <c r="K1504" s="26" t="s">
        <v>6444</v>
      </c>
    </row>
    <row r="1505" spans="1:12">
      <c r="A1505" s="20">
        <v>50182</v>
      </c>
      <c r="B1505" s="20" t="s">
        <v>7451</v>
      </c>
      <c r="C1505" s="21" t="s">
        <v>7207</v>
      </c>
      <c r="E1505" s="27">
        <v>-1</v>
      </c>
      <c r="F1505" s="27">
        <v>-1</v>
      </c>
      <c r="H1505" s="27">
        <v>35</v>
      </c>
      <c r="I1505" s="27" t="str">
        <f>IF(H1505="","",VLOOKUP(H1505,'#状态名词'!$A$2:$C$99,2))</f>
        <v>reelement</v>
      </c>
      <c r="J1505" s="27" t="str">
        <f>IF(H1505="","",VLOOKUP(H1505,'#状态名词'!$A$2:$C$99,3))</f>
        <v>全属性抗性</v>
      </c>
      <c r="K1505" s="26" t="s">
        <v>7786</v>
      </c>
    </row>
    <row r="1506" spans="1:12">
      <c r="A1506" s="20">
        <v>50183</v>
      </c>
      <c r="B1506" s="20" t="s">
        <v>7452</v>
      </c>
      <c r="C1506" s="21" t="s">
        <v>7212</v>
      </c>
      <c r="E1506" s="27">
        <v>1</v>
      </c>
      <c r="F1506" s="27">
        <v>-1</v>
      </c>
      <c r="H1506" s="27">
        <v>21</v>
      </c>
      <c r="I1506" s="27" t="str">
        <f>IF(H1506="","",VLOOKUP(H1506,'#状态名词'!$A$2:$C$99,2))</f>
        <v>speed</v>
      </c>
      <c r="J1506" s="27" t="str">
        <f>IF(H1506="","",VLOOKUP(H1506,'#状态名词'!$A$2:$C$99,3))</f>
        <v>速度+</v>
      </c>
      <c r="K1506" s="26" t="s">
        <v>7214</v>
      </c>
    </row>
    <row r="1507" spans="1:12">
      <c r="A1507" s="20">
        <v>50184</v>
      </c>
      <c r="B1507" s="20" t="s">
        <v>7453</v>
      </c>
      <c r="C1507" s="21" t="s">
        <v>7213</v>
      </c>
      <c r="E1507" s="27">
        <v>1</v>
      </c>
      <c r="F1507" s="27">
        <v>-1</v>
      </c>
      <c r="H1507" s="27">
        <v>35</v>
      </c>
      <c r="I1507" s="27" t="str">
        <f>IF(H1507="","",VLOOKUP(H1507,'#状态名词'!$A$2:$C$99,2))</f>
        <v>reelement</v>
      </c>
      <c r="J1507" s="27" t="str">
        <f>IF(H1507="","",VLOOKUP(H1507,'#状态名词'!$A$2:$C$99,3))</f>
        <v>全属性抗性</v>
      </c>
      <c r="K1507" s="26" t="s">
        <v>7215</v>
      </c>
    </row>
    <row r="1508" spans="1:12">
      <c r="A1508" s="20">
        <v>50185</v>
      </c>
      <c r="B1508" s="20" t="s">
        <v>7622</v>
      </c>
      <c r="C1508" s="21" t="s">
        <v>7623</v>
      </c>
      <c r="E1508" s="27">
        <v>-1</v>
      </c>
      <c r="F1508" s="27">
        <v>-1</v>
      </c>
      <c r="H1508" s="27">
        <v>35</v>
      </c>
      <c r="I1508" s="27" t="str">
        <f>IF(H1508="","",VLOOKUP(H1508,'#状态名词'!$A$2:$C$99,2))</f>
        <v>reelement</v>
      </c>
      <c r="J1508" s="27" t="str">
        <f>IF(H1508="","",VLOOKUP(H1508,'#状态名词'!$A$2:$C$99,3))</f>
        <v>全属性抗性</v>
      </c>
      <c r="K1508" s="26" t="s">
        <v>7624</v>
      </c>
    </row>
    <row r="1509" spans="1:12">
      <c r="A1509" s="20"/>
      <c r="B1509" s="20"/>
      <c r="C1509" s="21"/>
      <c r="H1509" s="27">
        <v>23</v>
      </c>
      <c r="I1509" s="27" t="str">
        <f>IF(H1509="","",VLOOKUP(H1509,'#状态名词'!$A$2:$C$99,2))</f>
        <v>steal</v>
      </c>
      <c r="J1509" s="27" t="str">
        <f>IF(H1509="","",VLOOKUP(H1509,'#状态名词'!$A$2:$C$99,3))</f>
        <v>生命偷取</v>
      </c>
      <c r="K1509" s="26" t="s">
        <v>7783</v>
      </c>
    </row>
    <row r="1510" spans="1:12">
      <c r="A1510" s="31">
        <v>50186</v>
      </c>
      <c r="B1510" s="31" t="s">
        <v>7729</v>
      </c>
      <c r="C1510" s="21" t="s">
        <v>7730</v>
      </c>
      <c r="E1510" s="27">
        <v>1</v>
      </c>
      <c r="F1510" s="27">
        <v>-1</v>
      </c>
      <c r="H1510" s="27">
        <v>42</v>
      </c>
      <c r="I1510" s="27" t="str">
        <f>IF(H1510="","",VLOOKUP(H1510,'#状态名词'!$A$2:$C$99,2))</f>
        <v>turn_heal</v>
      </c>
      <c r="J1510" s="27" t="str">
        <f>IF(H1510="","",VLOOKUP(H1510,'#状态名词'!$A$2:$C$99,3))</f>
        <v>回合回复</v>
      </c>
      <c r="K1510" s="26" t="s">
        <v>7731</v>
      </c>
    </row>
    <row r="1511" spans="1:12">
      <c r="A1511" s="20">
        <v>50187</v>
      </c>
      <c r="B1511" s="20" t="s">
        <v>7608</v>
      </c>
      <c r="C1511" s="21" t="s">
        <v>7625</v>
      </c>
      <c r="E1511" s="27">
        <v>-1</v>
      </c>
      <c r="F1511" s="27">
        <v>-1</v>
      </c>
      <c r="H1511" s="27">
        <v>24</v>
      </c>
      <c r="I1511" s="27" t="str">
        <f>IF(H1511="","",VLOOKUP(H1511,'#状态名词'!$A$2:$C$99,2))</f>
        <v>heal</v>
      </c>
      <c r="J1511" s="27" t="str">
        <f>IF(H1511="","",VLOOKUP(H1511,'#状态名词'!$A$2:$C$99,3))</f>
        <v>治疗效果+</v>
      </c>
      <c r="K1511" s="26" t="s">
        <v>7626</v>
      </c>
    </row>
    <row r="1512" spans="1:12">
      <c r="A1512" s="20">
        <v>50188</v>
      </c>
      <c r="B1512" s="20" t="s">
        <v>7627</v>
      </c>
      <c r="C1512" s="21" t="s">
        <v>7616</v>
      </c>
      <c r="E1512" s="27">
        <v>-1</v>
      </c>
      <c r="F1512" s="27">
        <v>-1</v>
      </c>
      <c r="H1512" s="27">
        <v>24</v>
      </c>
      <c r="I1512" s="27" t="str">
        <f>IF(H1512="","",VLOOKUP(H1512,'#状态名词'!$A$2:$C$99,2))</f>
        <v>heal</v>
      </c>
      <c r="J1512" s="27" t="str">
        <f>IF(H1512="","",VLOOKUP(H1512,'#状态名词'!$A$2:$C$99,3))</f>
        <v>治疗效果+</v>
      </c>
      <c r="K1512" s="26" t="s">
        <v>7628</v>
      </c>
    </row>
    <row r="1513" spans="1:12">
      <c r="A1513" s="31">
        <v>50189</v>
      </c>
      <c r="B1513" s="31" t="s">
        <v>7732</v>
      </c>
      <c r="C1513" s="21" t="s">
        <v>7789</v>
      </c>
      <c r="E1513" s="27">
        <v>-1</v>
      </c>
      <c r="F1513" s="27">
        <v>-1</v>
      </c>
      <c r="H1513" s="27">
        <v>21</v>
      </c>
      <c r="I1513" s="27" t="str">
        <f>IF(H1513="","",VLOOKUP(H1513,'#状态名词'!$A$2:$C$99,2))</f>
        <v>speed</v>
      </c>
      <c r="J1513" s="27" t="str">
        <f>IF(H1513="","",VLOOKUP(H1513,'#状态名词'!$A$2:$C$99,3))</f>
        <v>速度+</v>
      </c>
      <c r="K1513" s="26" t="s">
        <v>6457</v>
      </c>
    </row>
    <row r="1514" spans="1:12">
      <c r="A1514" s="31">
        <v>50190</v>
      </c>
      <c r="B1514" s="31" t="s">
        <v>7733</v>
      </c>
      <c r="C1514" s="21" t="s">
        <v>7792</v>
      </c>
      <c r="E1514" s="27">
        <v>-1</v>
      </c>
      <c r="F1514" s="27">
        <v>-1</v>
      </c>
      <c r="H1514" s="27">
        <v>21</v>
      </c>
      <c r="I1514" s="27" t="str">
        <f>IF(H1514="","",VLOOKUP(H1514,'#状态名词'!$A$2:$C$99,2))</f>
        <v>speed</v>
      </c>
      <c r="J1514" s="27" t="str">
        <f>IF(H1514="","",VLOOKUP(H1514,'#状态名词'!$A$2:$C$99,3))</f>
        <v>速度+</v>
      </c>
      <c r="K1514" s="26" t="s">
        <v>7157</v>
      </c>
    </row>
    <row r="1515" spans="1:12">
      <c r="A1515" s="31"/>
      <c r="B1515" s="31"/>
      <c r="C1515" s="21"/>
      <c r="H1515" s="27">
        <v>1</v>
      </c>
      <c r="I1515" s="27" t="str">
        <f>IF(H1515="","",VLOOKUP(H1515,'#状态名词'!$A$2:$C$99,2))</f>
        <v>skilldama</v>
      </c>
      <c r="J1515" s="27" t="str">
        <f>IF(H1515="","",VLOOKUP(H1515,'#状态名词'!$A$2:$C$99,3))</f>
        <v>技能伤害和治疗效果提升B类</v>
      </c>
      <c r="K1515" s="26" t="s">
        <v>7791</v>
      </c>
      <c r="L1515" s="27">
        <v>50190</v>
      </c>
    </row>
    <row r="1516" spans="1:12">
      <c r="A1516" s="20">
        <v>50191</v>
      </c>
      <c r="B1516" s="20" t="s">
        <v>7617</v>
      </c>
      <c r="C1516" s="21" t="s">
        <v>7629</v>
      </c>
      <c r="E1516" s="27">
        <v>-1</v>
      </c>
      <c r="F1516" s="27">
        <v>-1</v>
      </c>
      <c r="H1516" s="27">
        <v>26</v>
      </c>
      <c r="I1516" s="27" t="str">
        <f>IF(H1516="","",VLOOKUP(H1516,'#状态名词'!$A$2:$C$99,2))</f>
        <v>fireup</v>
      </c>
      <c r="J1516" s="27" t="str">
        <f>IF(H1516="","",VLOOKUP(H1516,'#状态名词'!$A$2:$C$99,3))</f>
        <v>火属性强化</v>
      </c>
      <c r="K1516" s="26" t="s">
        <v>7630</v>
      </c>
    </row>
    <row r="1517" spans="1:12">
      <c r="A1517" s="20">
        <v>50192</v>
      </c>
      <c r="B1517" s="20" t="s">
        <v>7631</v>
      </c>
      <c r="C1517" s="21" t="s">
        <v>7632</v>
      </c>
      <c r="E1517" s="27">
        <v>-1</v>
      </c>
      <c r="F1517" s="27">
        <v>0</v>
      </c>
      <c r="H1517" s="27">
        <v>36</v>
      </c>
      <c r="I1517" s="27" t="str">
        <f>IF(H1517="","",VLOOKUP(H1517,'#状态名词'!$A$2:$C$99,2))</f>
        <v>atk_damage</v>
      </c>
      <c r="J1517" s="27" t="str">
        <f>IF(H1517="","",VLOOKUP(H1517,'#状态名词'!$A$2:$C$99,3))</f>
        <v>攻击附加伤害</v>
      </c>
      <c r="K1517" s="26" t="s">
        <v>7633</v>
      </c>
    </row>
    <row r="1518" spans="1:12">
      <c r="A1518" s="20">
        <v>50199</v>
      </c>
      <c r="B1518" s="20" t="s">
        <v>7634</v>
      </c>
      <c r="C1518" s="21" t="s">
        <v>7734</v>
      </c>
      <c r="E1518" s="27">
        <v>-1</v>
      </c>
      <c r="F1518" s="27">
        <v>1</v>
      </c>
      <c r="H1518" s="27">
        <v>31</v>
      </c>
      <c r="I1518" s="27" t="str">
        <f>IF(H1518="","",VLOOKUP(H1518,'#状态名词'!$A$2:$C$99,2))</f>
        <v>refire</v>
      </c>
      <c r="J1518" s="27" t="str">
        <f>IF(H1518="","",VLOOKUP(H1518,'#状态名词'!$A$2:$C$99,3))</f>
        <v>火属性抗性</v>
      </c>
      <c r="K1518" s="26" t="s">
        <v>7635</v>
      </c>
    </row>
    <row r="1519" spans="1:12">
      <c r="B1519" s="20"/>
      <c r="C1519" s="21"/>
      <c r="E1519" s="27">
        <v>-1</v>
      </c>
      <c r="F1519" s="27">
        <v>1</v>
      </c>
      <c r="H1519" s="27">
        <v>32</v>
      </c>
      <c r="I1519" s="27" t="str">
        <f>IF(H1519="","",VLOOKUP(H1519,'#状态名词'!$A$2:$C$99,2))</f>
        <v>reice</v>
      </c>
      <c r="J1519" s="27" t="str">
        <f>IF(H1519="","",VLOOKUP(H1519,'#状态名词'!$A$2:$C$99,3))</f>
        <v>冰属性抗性</v>
      </c>
      <c r="K1519" s="26" t="s">
        <v>7636</v>
      </c>
    </row>
    <row r="1520" spans="1:12">
      <c r="B1520" s="20"/>
      <c r="C1520" s="21"/>
      <c r="E1520" s="27">
        <v>-1</v>
      </c>
      <c r="F1520" s="27">
        <v>1</v>
      </c>
      <c r="H1520" s="27">
        <v>34</v>
      </c>
      <c r="I1520" s="27" t="str">
        <f>IF(H1520="","",VLOOKUP(H1520,'#状态名词'!$A$2:$C$99,2))</f>
        <v>redark</v>
      </c>
      <c r="J1520" s="27" t="str">
        <f>IF(H1520="","",VLOOKUP(H1520,'#状态名词'!$A$2:$C$99,3))</f>
        <v>暗属性抗性</v>
      </c>
      <c r="K1520" s="26" t="s">
        <v>7637</v>
      </c>
    </row>
    <row r="1521" spans="1:12">
      <c r="A1521" s="20">
        <v>50200</v>
      </c>
      <c r="B1521" s="20" t="s">
        <v>7612</v>
      </c>
      <c r="C1521" s="21" t="s">
        <v>7735</v>
      </c>
      <c r="E1521" s="27">
        <v>-1</v>
      </c>
      <c r="F1521" s="27">
        <v>1</v>
      </c>
      <c r="H1521" s="27">
        <v>31</v>
      </c>
      <c r="I1521" s="27" t="str">
        <f>IF(H1521="","",VLOOKUP(H1521,'#状态名词'!$A$2:$C$99,2))</f>
        <v>refire</v>
      </c>
      <c r="J1521" s="27" t="str">
        <f>IF(H1521="","",VLOOKUP(H1521,'#状态名词'!$A$2:$C$99,3))</f>
        <v>火属性抗性</v>
      </c>
      <c r="K1521" s="26" t="s">
        <v>7636</v>
      </c>
    </row>
    <row r="1522" spans="1:12">
      <c r="B1522" s="20"/>
      <c r="C1522" s="21"/>
      <c r="E1522" s="27">
        <v>-1</v>
      </c>
      <c r="F1522" s="27">
        <v>1</v>
      </c>
      <c r="H1522" s="27">
        <v>33</v>
      </c>
      <c r="I1522" s="27" t="str">
        <f>IF(H1522="","",VLOOKUP(H1522,'#状态名词'!$A$2:$C$99,2))</f>
        <v>relight</v>
      </c>
      <c r="J1522" s="27" t="str">
        <f>IF(H1522="","",VLOOKUP(H1522,'#状态名词'!$A$2:$C$99,3))</f>
        <v>光属性抗性</v>
      </c>
      <c r="K1522" s="26" t="s">
        <v>7635</v>
      </c>
    </row>
    <row r="1523" spans="1:12">
      <c r="B1523" s="20"/>
      <c r="C1523" s="21"/>
      <c r="E1523" s="27">
        <v>-1</v>
      </c>
      <c r="F1523" s="27">
        <v>1</v>
      </c>
      <c r="H1523" s="27">
        <v>34</v>
      </c>
      <c r="I1523" s="27" t="str">
        <f>IF(H1523="","",VLOOKUP(H1523,'#状态名词'!$A$2:$C$99,2))</f>
        <v>redark</v>
      </c>
      <c r="J1523" s="27" t="str">
        <f>IF(H1523="","",VLOOKUP(H1523,'#状态名词'!$A$2:$C$99,3))</f>
        <v>暗属性抗性</v>
      </c>
      <c r="K1523" s="26" t="s">
        <v>7638</v>
      </c>
    </row>
    <row r="1524" spans="1:12">
      <c r="A1524" s="20">
        <v>50201</v>
      </c>
      <c r="B1524" s="20" t="s">
        <v>7639</v>
      </c>
      <c r="C1524" s="21" t="s">
        <v>7736</v>
      </c>
      <c r="E1524" s="27">
        <v>-1</v>
      </c>
      <c r="F1524" s="27">
        <v>1</v>
      </c>
      <c r="H1524" s="27">
        <v>31</v>
      </c>
      <c r="I1524" s="27" t="str">
        <f>IF(H1524="","",VLOOKUP(H1524,'#状态名词'!$A$2:$C$99,2))</f>
        <v>refire</v>
      </c>
      <c r="J1524" s="27" t="str">
        <f>IF(H1524="","",VLOOKUP(H1524,'#状态名词'!$A$2:$C$99,3))</f>
        <v>火属性抗性</v>
      </c>
      <c r="K1524" s="26" t="s">
        <v>7636</v>
      </c>
    </row>
    <row r="1525" spans="1:12">
      <c r="B1525" s="20"/>
      <c r="C1525" s="21"/>
      <c r="E1525" s="27">
        <v>-1</v>
      </c>
      <c r="F1525" s="27">
        <v>1</v>
      </c>
      <c r="H1525" s="27">
        <v>32</v>
      </c>
      <c r="I1525" s="27" t="str">
        <f>IF(H1525="","",VLOOKUP(H1525,'#状态名词'!$A$2:$C$99,2))</f>
        <v>reice</v>
      </c>
      <c r="J1525" s="27" t="str">
        <f>IF(H1525="","",VLOOKUP(H1525,'#状态名词'!$A$2:$C$99,3))</f>
        <v>冰属性抗性</v>
      </c>
      <c r="K1525" s="26" t="s">
        <v>7635</v>
      </c>
    </row>
    <row r="1526" spans="1:12">
      <c r="E1526" s="27">
        <v>-1</v>
      </c>
      <c r="F1526" s="27">
        <v>1</v>
      </c>
      <c r="H1526" s="27">
        <v>33</v>
      </c>
      <c r="I1526" s="27" t="str">
        <f>IF(H1526="","",VLOOKUP(H1526,'#状态名词'!$A$2:$C$99,2))</f>
        <v>relight</v>
      </c>
      <c r="J1526" s="27" t="str">
        <f>IF(H1526="","",VLOOKUP(H1526,'#状态名词'!$A$2:$C$99,3))</f>
        <v>光属性抗性</v>
      </c>
      <c r="K1526" s="26" t="s">
        <v>7638</v>
      </c>
    </row>
    <row r="1527" spans="1:12">
      <c r="A1527" s="20">
        <v>50202</v>
      </c>
      <c r="B1527" s="20" t="s">
        <v>7640</v>
      </c>
      <c r="E1527" s="27">
        <v>-1</v>
      </c>
      <c r="F1527" s="27">
        <v>1</v>
      </c>
      <c r="H1527" s="27">
        <v>32</v>
      </c>
      <c r="I1527" s="27" t="str">
        <f>IF(H1527="","",VLOOKUP(H1527,'#状态名词'!$A$2:$C$99,2))</f>
        <v>reice</v>
      </c>
      <c r="J1527" s="27" t="str">
        <f>IF(H1527="","",VLOOKUP(H1527,'#状态名词'!$A$2:$C$99,3))</f>
        <v>冰属性抗性</v>
      </c>
      <c r="K1527" s="26" t="s">
        <v>7635</v>
      </c>
    </row>
    <row r="1528" spans="1:12">
      <c r="E1528" s="27">
        <v>-1</v>
      </c>
      <c r="F1528" s="27">
        <v>1</v>
      </c>
      <c r="H1528" s="27">
        <v>33</v>
      </c>
      <c r="I1528" s="27" t="str">
        <f>IF(H1528="","",VLOOKUP(H1528,'#状态名词'!$A$2:$C$99,2))</f>
        <v>relight</v>
      </c>
      <c r="J1528" s="27" t="str">
        <f>IF(H1528="","",VLOOKUP(H1528,'#状态名词'!$A$2:$C$99,3))</f>
        <v>光属性抗性</v>
      </c>
      <c r="K1528" s="26" t="s">
        <v>7635</v>
      </c>
    </row>
    <row r="1529" spans="1:12">
      <c r="E1529" s="27">
        <v>-1</v>
      </c>
      <c r="F1529" s="27">
        <v>1</v>
      </c>
      <c r="H1529" s="27">
        <v>34</v>
      </c>
      <c r="I1529" s="27" t="str">
        <f>IF(H1529="","",VLOOKUP(H1529,'#状态名词'!$A$2:$C$99,2))</f>
        <v>redark</v>
      </c>
      <c r="J1529" s="27" t="str">
        <f>IF(H1529="","",VLOOKUP(H1529,'#状态名词'!$A$2:$C$99,3))</f>
        <v>暗属性抗性</v>
      </c>
      <c r="K1529" s="26" t="s">
        <v>7635</v>
      </c>
    </row>
    <row r="1530" spans="1:12">
      <c r="A1530" s="20">
        <v>50206</v>
      </c>
      <c r="B1530" s="20" t="s">
        <v>7890</v>
      </c>
      <c r="C1530" t="s">
        <v>7913</v>
      </c>
      <c r="E1530" s="27">
        <v>-1</v>
      </c>
      <c r="F1530" s="27">
        <v>-1</v>
      </c>
      <c r="H1530" s="27">
        <v>35</v>
      </c>
      <c r="I1530" s="27" t="str">
        <f>IF(H1530="","",VLOOKUP(H1530,'#状态名词'!$A$2:$C$99,2))</f>
        <v>reelement</v>
      </c>
      <c r="J1530" s="27" t="str">
        <f>IF(H1530="","",VLOOKUP(H1530,'#状态名词'!$A$2:$C$99,3))</f>
        <v>全属性抗性</v>
      </c>
      <c r="K1530" s="26" t="s">
        <v>7067</v>
      </c>
    </row>
    <row r="1531" spans="1:12">
      <c r="A1531" s="20"/>
      <c r="C1531"/>
      <c r="E1531" s="27">
        <v>-1</v>
      </c>
      <c r="F1531" s="27">
        <v>-1</v>
      </c>
      <c r="H1531" s="27">
        <v>27</v>
      </c>
      <c r="I1531" s="27" t="str">
        <f>IF(H1531="","",VLOOKUP(H1531,'#状态名词'!$A$2:$C$99,2))</f>
        <v>iceup</v>
      </c>
      <c r="J1531" s="27" t="str">
        <f>IF(H1531="","",VLOOKUP(H1531,'#状态名词'!$A$2:$C$99,3))</f>
        <v>冰属性强化</v>
      </c>
      <c r="K1531" s="26" t="s">
        <v>7899</v>
      </c>
    </row>
    <row r="1532" spans="1:12">
      <c r="A1532" s="20">
        <v>50207</v>
      </c>
      <c r="B1532" s="20" t="s">
        <v>7891</v>
      </c>
      <c r="C1532" t="s">
        <v>7900</v>
      </c>
      <c r="E1532" s="27">
        <v>-1</v>
      </c>
      <c r="F1532" s="27">
        <v>-1</v>
      </c>
      <c r="H1532" s="27">
        <v>13</v>
      </c>
      <c r="I1532" s="27" t="str">
        <f>IF(H1532="","",VLOOKUP(H1532,'#状态名词'!$A$2:$C$99,2))</f>
        <v>arm</v>
      </c>
      <c r="J1532" s="27" t="str">
        <f>IF(H1532="","",VLOOKUP(H1532,'#状态名词'!$A$2:$C$99,3))</f>
        <v>ARM+</v>
      </c>
      <c r="K1532" s="26" t="s">
        <v>7156</v>
      </c>
    </row>
    <row r="1533" spans="1:12">
      <c r="A1533" s="20">
        <v>50209</v>
      </c>
      <c r="B1533" t="s">
        <v>7895</v>
      </c>
      <c r="C1533" t="s">
        <v>7906</v>
      </c>
      <c r="E1533" s="27">
        <v>1</v>
      </c>
      <c r="F1533" s="27">
        <v>-1</v>
      </c>
      <c r="H1533" s="27">
        <v>43</v>
      </c>
      <c r="I1533" s="27" t="str">
        <f>IF(H1533="","",VLOOKUP(H1533,'#状态名词'!$A$2:$C$99,2))</f>
        <v>turn_damage</v>
      </c>
      <c r="J1533" s="27" t="str">
        <f>IF(H1533="","",VLOOKUP(H1533,'#状态名词'!$A$2:$C$99,3))</f>
        <v>回合伤害</v>
      </c>
      <c r="K1533" s="26" t="s">
        <v>7905</v>
      </c>
    </row>
    <row r="1534" spans="1:12">
      <c r="A1534" s="20">
        <v>50210</v>
      </c>
      <c r="B1534" t="s">
        <v>7896</v>
      </c>
      <c r="C1534" t="s">
        <v>7901</v>
      </c>
      <c r="E1534" s="27">
        <v>-1</v>
      </c>
      <c r="F1534" s="27">
        <v>-1</v>
      </c>
      <c r="H1534" s="27">
        <v>29</v>
      </c>
      <c r="I1534" s="27" t="str">
        <f>IF(H1534="","",VLOOKUP(H1534,'#状态名词'!$A$2:$C$99,2))</f>
        <v>darkup</v>
      </c>
      <c r="J1534" s="27" t="str">
        <f>IF(H1534="","",VLOOKUP(H1534,'#状态名词'!$A$2:$C$99,3))</f>
        <v>暗属性强化</v>
      </c>
      <c r="K1534" s="26" t="s">
        <v>6831</v>
      </c>
    </row>
    <row r="1535" spans="1:12">
      <c r="A1535" s="20">
        <v>50211</v>
      </c>
      <c r="B1535" t="s">
        <v>7902</v>
      </c>
      <c r="C1535" t="s">
        <v>7903</v>
      </c>
      <c r="E1535" s="27">
        <v>-1</v>
      </c>
      <c r="F1535" s="27">
        <v>-1</v>
      </c>
      <c r="H1535" s="27">
        <v>26</v>
      </c>
      <c r="I1535" s="27" t="str">
        <f>IF(H1535="","",VLOOKUP(H1535,'#状态名词'!$A$2:$C$99,2))</f>
        <v>fireup</v>
      </c>
      <c r="J1535" s="27" t="str">
        <f>IF(H1535="","",VLOOKUP(H1535,'#状态名词'!$A$2:$C$99,3))</f>
        <v>火属性强化</v>
      </c>
      <c r="K1535" s="26" t="s">
        <v>7904</v>
      </c>
    </row>
    <row r="1536" spans="1:12">
      <c r="A1536" s="20">
        <v>50212</v>
      </c>
      <c r="B1536" s="20" t="s">
        <v>7908</v>
      </c>
      <c r="C1536" s="21" t="s">
        <v>7909</v>
      </c>
      <c r="D1536" s="20"/>
      <c r="E1536" s="20">
        <v>-1</v>
      </c>
      <c r="F1536" s="20">
        <v>-1</v>
      </c>
      <c r="G1536" s="20"/>
      <c r="H1536" s="20">
        <v>2</v>
      </c>
      <c r="I1536" s="27" t="str">
        <f>IF(H1536="","",VLOOKUP(H1536,'#状态名词'!$A$2:$C$99,2))</f>
        <v>damaup</v>
      </c>
      <c r="J1536" s="27" t="str">
        <f>IF(H1536="","",VLOOKUP(H1536,'#状态名词'!$A$2:$C$99,3))</f>
        <v>伤害提升A类增伤</v>
      </c>
      <c r="K1536" s="20">
        <v>10</v>
      </c>
      <c r="L1536" s="20"/>
    </row>
    <row r="1537" spans="1:12">
      <c r="A1537" s="20">
        <v>50215</v>
      </c>
      <c r="B1537" s="20" t="s">
        <v>7945</v>
      </c>
      <c r="C1537" s="21" t="s">
        <v>7944</v>
      </c>
      <c r="D1537" s="20"/>
      <c r="E1537" s="20">
        <v>1</v>
      </c>
      <c r="F1537" s="20">
        <v>-1</v>
      </c>
      <c r="G1537" s="20"/>
      <c r="H1537" s="20">
        <v>43</v>
      </c>
      <c r="I1537" s="27" t="str">
        <f>IF(H1537="","",VLOOKUP(H1537,'#状态名词'!$A$2:$C$99,2))</f>
        <v>turn_damage</v>
      </c>
      <c r="J1537" s="27" t="str">
        <f>IF(H1537="","",VLOOKUP(H1537,'#状态名词'!$A$2:$C$99,3))</f>
        <v>回合伤害</v>
      </c>
      <c r="K1537" s="20" t="s">
        <v>7986</v>
      </c>
      <c r="L1537" s="20"/>
    </row>
    <row r="1538" spans="1:12">
      <c r="A1538" s="20">
        <v>50216</v>
      </c>
      <c r="B1538" s="20" t="s">
        <v>7946</v>
      </c>
      <c r="C1538" s="21" t="s">
        <v>7947</v>
      </c>
      <c r="D1538" s="20"/>
      <c r="E1538" s="20">
        <v>1</v>
      </c>
      <c r="F1538" s="20">
        <v>-1</v>
      </c>
      <c r="G1538" s="20"/>
      <c r="H1538" s="20">
        <v>2</v>
      </c>
      <c r="I1538" s="27" t="str">
        <f>IF(H1538="","",VLOOKUP(H1538,'#状态名词'!$A$2:$C$99,2))</f>
        <v>damaup</v>
      </c>
      <c r="J1538" s="27" t="str">
        <f>IF(H1538="","",VLOOKUP(H1538,'#状态名词'!$A$2:$C$99,3))</f>
        <v>伤害提升A类增伤</v>
      </c>
      <c r="K1538" s="20">
        <v>-65</v>
      </c>
      <c r="L1538" s="20"/>
    </row>
    <row r="1539" spans="1:12">
      <c r="A1539" s="20">
        <v>50219</v>
      </c>
      <c r="B1539" s="20" t="s">
        <v>7951</v>
      </c>
      <c r="C1539" s="21" t="s">
        <v>7952</v>
      </c>
      <c r="D1539" s="20"/>
      <c r="E1539" s="20">
        <v>-1</v>
      </c>
      <c r="F1539" s="20">
        <v>-1</v>
      </c>
      <c r="G1539" s="20"/>
      <c r="H1539" s="20">
        <v>24</v>
      </c>
      <c r="I1539" s="27" t="str">
        <f>IF(H1539="","",VLOOKUP(H1539,'#状态名词'!$A$2:$C$99,2))</f>
        <v>heal</v>
      </c>
      <c r="J1539" s="27" t="str">
        <f>IF(H1539="","",VLOOKUP(H1539,'#状态名词'!$A$2:$C$99,3))</f>
        <v>治疗效果+</v>
      </c>
      <c r="K1539" s="20">
        <v>500</v>
      </c>
      <c r="L1539" s="20"/>
    </row>
    <row r="1540" spans="1:12">
      <c r="A1540" s="20">
        <v>50221</v>
      </c>
      <c r="B1540" s="20" t="s">
        <v>7954</v>
      </c>
      <c r="C1540" t="s">
        <v>7957</v>
      </c>
      <c r="D1540" s="20"/>
      <c r="E1540" s="20">
        <v>1</v>
      </c>
      <c r="F1540" s="20">
        <v>0</v>
      </c>
      <c r="G1540" s="20"/>
      <c r="H1540" s="20">
        <v>37</v>
      </c>
      <c r="I1540" s="27" t="str">
        <f>IF(H1540="","",VLOOKUP(H1540,'#状态名词'!$A$2:$C$99,2))</f>
        <v>action_hurt</v>
      </c>
      <c r="J1540" s="27" t="str">
        <f>IF(H1540="","",VLOOKUP(H1540,'#状态名词'!$A$2:$C$99,3))</f>
        <v>行动时自身受到伤害</v>
      </c>
      <c r="K1540" s="20" t="s">
        <v>7983</v>
      </c>
      <c r="L1540" s="20"/>
    </row>
    <row r="1541" spans="1:12" ht="27">
      <c r="A1541" s="20">
        <v>50222</v>
      </c>
      <c r="B1541" s="20" t="s">
        <v>7958</v>
      </c>
      <c r="C1541" s="21" t="s">
        <v>7959</v>
      </c>
      <c r="D1541" s="20"/>
      <c r="E1541" s="20">
        <v>-1</v>
      </c>
      <c r="F1541" s="20">
        <v>-1</v>
      </c>
      <c r="G1541" s="20"/>
      <c r="H1541" s="20">
        <v>61</v>
      </c>
      <c r="I1541" s="27" t="str">
        <f>IF(H1541="","",VLOOKUP(H1541,'#状态名词'!$A$2:$C$99,2))</f>
        <v>team_ad</v>
      </c>
      <c r="J1541" s="27" t="str">
        <f>IF(H1541="","",VLOOKUP(H1541,'#状态名词'!$A$2:$C$99,3))</f>
        <v>队伍AD</v>
      </c>
      <c r="K1541" s="20">
        <v>-50</v>
      </c>
      <c r="L1541" s="20"/>
    </row>
    <row r="1542" spans="1:12">
      <c r="A1542" s="20"/>
      <c r="B1542" s="20"/>
      <c r="C1542" s="21"/>
      <c r="D1542" s="20"/>
      <c r="E1542" s="20">
        <v>-1</v>
      </c>
      <c r="F1542" s="20">
        <v>-1</v>
      </c>
      <c r="G1542" s="20"/>
      <c r="H1542" s="20">
        <v>62</v>
      </c>
      <c r="I1542" s="27" t="str">
        <f>IF(H1542="","",VLOOKUP(H1542,'#状态名词'!$A$2:$C$99,2))</f>
        <v>team_ap</v>
      </c>
      <c r="J1542" s="27" t="str">
        <f>IF(H1542="","",VLOOKUP(H1542,'#状态名词'!$A$2:$C$99,3))</f>
        <v>队伍AP</v>
      </c>
      <c r="K1542" s="20">
        <v>-50</v>
      </c>
      <c r="L1542" s="20"/>
    </row>
    <row r="1543" spans="1:12">
      <c r="A1543" s="20"/>
      <c r="B1543" s="20"/>
      <c r="C1543" s="21"/>
      <c r="D1543" s="20"/>
      <c r="E1543" s="20">
        <v>-1</v>
      </c>
      <c r="F1543" s="20">
        <v>-1</v>
      </c>
      <c r="G1543" s="20"/>
      <c r="H1543" s="20">
        <v>13</v>
      </c>
      <c r="I1543" s="27" t="str">
        <f>IF(H1543="","",VLOOKUP(H1543,'#状态名词'!$A$2:$C$99,2))</f>
        <v>arm</v>
      </c>
      <c r="J1543" s="27" t="str">
        <f>IF(H1543="","",VLOOKUP(H1543,'#状态名词'!$A$2:$C$99,3))</f>
        <v>ARM+</v>
      </c>
      <c r="K1543" s="20">
        <v>-100</v>
      </c>
      <c r="L1543" s="20"/>
    </row>
    <row r="1544" spans="1:12">
      <c r="A1544" s="20">
        <v>50224</v>
      </c>
      <c r="B1544" s="20" t="s">
        <v>7966</v>
      </c>
      <c r="C1544" s="20" t="s">
        <v>7967</v>
      </c>
      <c r="D1544" s="20"/>
      <c r="E1544" s="20">
        <v>-1</v>
      </c>
      <c r="F1544" s="20">
        <v>-1</v>
      </c>
      <c r="G1544" s="20"/>
      <c r="H1544" s="20">
        <v>65</v>
      </c>
      <c r="I1544" s="27" t="str">
        <f>IF(H1544="","",VLOOKUP(H1544,'#状态名词'!$A$2:$C$99,2))</f>
        <v>str</v>
      </c>
      <c r="J1544" s="27" t="str">
        <f>IF(H1544="","",VLOOKUP(H1544,'#状态名词'!$A$2:$C$99,3))</f>
        <v>力量</v>
      </c>
      <c r="K1544" s="20">
        <v>20</v>
      </c>
      <c r="L1544" s="20"/>
    </row>
    <row r="1545" spans="1:12">
      <c r="A1545" s="20"/>
      <c r="B1545" s="20"/>
      <c r="C1545" s="20"/>
      <c r="D1545" s="20"/>
      <c r="E1545" s="20">
        <v>-1</v>
      </c>
      <c r="F1545" s="20">
        <v>-1</v>
      </c>
      <c r="G1545" s="20"/>
      <c r="H1545" s="20">
        <v>67</v>
      </c>
      <c r="I1545" s="27" t="str">
        <f>IF(H1545="","",VLOOKUP(H1545,'#状态名词'!$A$2:$C$99,2))</f>
        <v>inte</v>
      </c>
      <c r="J1545" s="27" t="str">
        <f>IF(H1545="","",VLOOKUP(H1545,'#状态名词'!$A$2:$C$99,3))</f>
        <v>智力</v>
      </c>
      <c r="K1545" s="20">
        <v>20</v>
      </c>
      <c r="L1545" s="20"/>
    </row>
    <row r="1546" spans="1:12">
      <c r="A1546" s="20">
        <v>50225</v>
      </c>
      <c r="B1546" s="20" t="s">
        <v>7966</v>
      </c>
      <c r="C1546" s="20" t="s">
        <v>7967</v>
      </c>
      <c r="D1546" s="20"/>
      <c r="E1546" s="20">
        <v>-1</v>
      </c>
      <c r="F1546" s="20">
        <v>-1</v>
      </c>
      <c r="G1546" s="20"/>
      <c r="H1546" s="20">
        <v>65</v>
      </c>
      <c r="I1546" s="27" t="str">
        <f>IF(H1546="","",VLOOKUP(H1546,'#状态名词'!$A$2:$C$99,2))</f>
        <v>str</v>
      </c>
      <c r="J1546" s="27" t="str">
        <f>IF(H1546="","",VLOOKUP(H1546,'#状态名词'!$A$2:$C$99,3))</f>
        <v>力量</v>
      </c>
      <c r="K1546" s="20">
        <v>-20</v>
      </c>
      <c r="L1546" s="20"/>
    </row>
    <row r="1547" spans="1:12">
      <c r="A1547" s="20"/>
      <c r="B1547" s="20"/>
      <c r="C1547" s="20"/>
      <c r="D1547" s="20"/>
      <c r="E1547" s="20">
        <v>-1</v>
      </c>
      <c r="F1547" s="20">
        <v>-1</v>
      </c>
      <c r="G1547" s="20"/>
      <c r="H1547" s="20">
        <v>67</v>
      </c>
      <c r="I1547" s="27" t="str">
        <f>IF(H1547="","",VLOOKUP(H1547,'#状态名词'!$A$2:$C$99,2))</f>
        <v>inte</v>
      </c>
      <c r="J1547" s="27" t="str">
        <f>IF(H1547="","",VLOOKUP(H1547,'#状态名词'!$A$2:$C$99,3))</f>
        <v>智力</v>
      </c>
      <c r="K1547" s="20">
        <v>-20</v>
      </c>
      <c r="L1547" s="20"/>
    </row>
    <row r="1548" spans="1:12">
      <c r="A1548" s="20">
        <v>50226</v>
      </c>
      <c r="B1548" s="20" t="s">
        <v>7968</v>
      </c>
      <c r="C1548" s="21" t="s">
        <v>7969</v>
      </c>
      <c r="D1548" s="20"/>
      <c r="E1548" s="20">
        <v>1</v>
      </c>
      <c r="F1548" s="20">
        <v>0</v>
      </c>
      <c r="G1548" s="20"/>
      <c r="H1548" s="20">
        <v>36</v>
      </c>
      <c r="I1548" s="27" t="str">
        <f>IF(H1548="","",VLOOKUP(H1548,'#状态名词'!$A$2:$C$99,2))</f>
        <v>atk_damage</v>
      </c>
      <c r="J1548" s="27" t="str">
        <f>IF(H1548="","",VLOOKUP(H1548,'#状态名词'!$A$2:$C$99,3))</f>
        <v>攻击附加伤害</v>
      </c>
      <c r="K1548" s="20" t="s">
        <v>7984</v>
      </c>
      <c r="L1548" s="20"/>
    </row>
    <row r="1549" spans="1:12">
      <c r="A1549" s="20">
        <v>50227</v>
      </c>
      <c r="B1549" s="20" t="s">
        <v>7970</v>
      </c>
      <c r="C1549" s="21" t="s">
        <v>7971</v>
      </c>
      <c r="D1549" s="20"/>
      <c r="E1549" s="20">
        <v>-1</v>
      </c>
      <c r="F1549" s="20">
        <v>-1</v>
      </c>
      <c r="G1549" s="20"/>
      <c r="H1549" s="20">
        <v>2</v>
      </c>
      <c r="I1549" s="27" t="str">
        <f>IF(H1549="","",VLOOKUP(H1549,'#状态名词'!$A$2:$C$99,2))</f>
        <v>damaup</v>
      </c>
      <c r="J1549" s="27" t="str">
        <f>IF(H1549="","",VLOOKUP(H1549,'#状态名词'!$A$2:$C$99,3))</f>
        <v>伤害提升A类增伤</v>
      </c>
      <c r="K1549" s="20">
        <v>-5</v>
      </c>
      <c r="L1549" s="20"/>
    </row>
    <row r="1550" spans="1:12">
      <c r="A1550" s="20">
        <v>50229</v>
      </c>
      <c r="B1550" s="20" t="s">
        <v>7972</v>
      </c>
      <c r="C1550" s="21" t="s">
        <v>7975</v>
      </c>
      <c r="D1550" s="20"/>
      <c r="E1550" s="20">
        <v>-1</v>
      </c>
      <c r="F1550" s="20">
        <v>0</v>
      </c>
      <c r="G1550" s="20"/>
      <c r="H1550" s="20">
        <v>38</v>
      </c>
      <c r="I1550" s="27" t="str">
        <f>IF(H1550="","",VLOOKUP(H1550,'#状态名词'!$A$2:$C$99,2))</f>
        <v>hurt_damage</v>
      </c>
      <c r="J1550" s="27" t="str">
        <f>IF(H1550="","",VLOOKUP(H1550,'#状态名词'!$A$2:$C$99,3))</f>
        <v>被攻击造成伤害</v>
      </c>
      <c r="K1550" s="20" t="s">
        <v>7985</v>
      </c>
      <c r="L1550" s="20"/>
    </row>
    <row r="1551" spans="1:12">
      <c r="A1551" s="20">
        <v>50232</v>
      </c>
      <c r="B1551" s="20" t="s">
        <v>7989</v>
      </c>
      <c r="C1551" s="21" t="s">
        <v>7992</v>
      </c>
      <c r="D1551" s="20"/>
      <c r="E1551" s="20">
        <v>-1</v>
      </c>
      <c r="F1551" s="20">
        <v>-1</v>
      </c>
      <c r="G1551" s="20"/>
      <c r="H1551" s="20">
        <v>21</v>
      </c>
      <c r="I1551" s="27" t="str">
        <f>IF(H1551="","",VLOOKUP(H1551,'#状态名词'!$A$2:$C$99,2))</f>
        <v>speed</v>
      </c>
      <c r="J1551" s="27" t="str">
        <f>IF(H1551="","",VLOOKUP(H1551,'#状态名词'!$A$2:$C$99,3))</f>
        <v>速度+</v>
      </c>
      <c r="K1551" s="20">
        <v>-500</v>
      </c>
      <c r="L1551" s="20"/>
    </row>
    <row r="1552" spans="1:12">
      <c r="A1552" s="20">
        <v>50233</v>
      </c>
      <c r="B1552" s="20" t="s">
        <v>7993</v>
      </c>
      <c r="C1552" s="21" t="s">
        <v>8900</v>
      </c>
      <c r="D1552" s="20"/>
      <c r="E1552" s="20">
        <v>1</v>
      </c>
      <c r="F1552" s="20">
        <v>-1</v>
      </c>
      <c r="G1552" s="20"/>
      <c r="H1552" s="20">
        <v>27</v>
      </c>
      <c r="I1552" s="27" t="str">
        <f>IF(H1552="","",VLOOKUP(H1552,'#状态名词'!$A$2:$C$99,2))</f>
        <v>iceup</v>
      </c>
      <c r="J1552" s="27" t="str">
        <f>IF(H1552="","",VLOOKUP(H1552,'#状态名词'!$A$2:$C$99,3))</f>
        <v>冰属性强化</v>
      </c>
      <c r="K1552" s="20">
        <v>200</v>
      </c>
      <c r="L1552" s="20"/>
    </row>
    <row r="1553" spans="1:12">
      <c r="A1553" s="20"/>
      <c r="B1553" s="20"/>
      <c r="C1553" s="21"/>
      <c r="D1553" s="20"/>
      <c r="E1553" s="20">
        <v>1</v>
      </c>
      <c r="F1553" s="20">
        <v>-1</v>
      </c>
      <c r="G1553" s="20"/>
      <c r="H1553" s="20">
        <v>29</v>
      </c>
      <c r="I1553" s="27" t="str">
        <f>IF(H1553="","",VLOOKUP(H1553,'#状态名词'!$A$2:$C$99,2))</f>
        <v>darkup</v>
      </c>
      <c r="J1553" s="27" t="str">
        <f>IF(H1553="","",VLOOKUP(H1553,'#状态名词'!$A$2:$C$99,3))</f>
        <v>暗属性强化</v>
      </c>
      <c r="K1553" s="20">
        <v>200</v>
      </c>
      <c r="L1553" s="20"/>
    </row>
    <row r="1554" spans="1:12">
      <c r="A1554" s="20">
        <v>50231</v>
      </c>
      <c r="B1554" s="20" t="s">
        <v>8902</v>
      </c>
      <c r="C1554" s="21" t="s">
        <v>8901</v>
      </c>
      <c r="D1554" s="20"/>
      <c r="E1554" s="20">
        <v>1</v>
      </c>
      <c r="F1554" s="20">
        <v>-1</v>
      </c>
      <c r="G1554" s="20"/>
      <c r="H1554" s="20">
        <v>2</v>
      </c>
      <c r="I1554" s="27" t="str">
        <f>IF(H1554="","",VLOOKUP(H1554,'#状态名词'!$A$2:$C$99,2))</f>
        <v>damaup</v>
      </c>
      <c r="J1554" s="27" t="str">
        <f>IF(H1554="","",VLOOKUP(H1554,'#状态名词'!$A$2:$C$99,3))</f>
        <v>伤害提升A类增伤</v>
      </c>
      <c r="K1554" s="20">
        <v>-50</v>
      </c>
      <c r="L1554" s="20"/>
    </row>
    <row r="1555" spans="1:12">
      <c r="A1555" s="20">
        <v>50234</v>
      </c>
      <c r="B1555" s="20" t="s">
        <v>7994</v>
      </c>
      <c r="C1555" s="21" t="s">
        <v>8899</v>
      </c>
      <c r="D1555" s="20"/>
      <c r="E1555" s="20">
        <v>1</v>
      </c>
      <c r="F1555" s="20">
        <v>-1</v>
      </c>
      <c r="G1555" s="20"/>
      <c r="H1555" s="20">
        <v>70</v>
      </c>
      <c r="I1555" s="27" t="str">
        <f>IF(H1555="","",VLOOKUP(H1555,'#状态名词'!$A$2:$C$99,2))</f>
        <v>eva</v>
      </c>
      <c r="J1555" s="27" t="str">
        <f>IF(H1555="","",VLOOKUP(H1555,'#状态名词'!$A$2:$C$99,3))</f>
        <v>回避率</v>
      </c>
      <c r="K1555" s="20">
        <v>25</v>
      </c>
      <c r="L1555" s="20"/>
    </row>
    <row r="1556" spans="1:12">
      <c r="A1556" s="20"/>
      <c r="B1556" s="20"/>
      <c r="C1556" s="21"/>
      <c r="D1556" s="20"/>
      <c r="E1556" s="20">
        <v>1</v>
      </c>
      <c r="F1556" s="20">
        <v>-1</v>
      </c>
      <c r="G1556" s="20"/>
      <c r="H1556" s="20">
        <v>69</v>
      </c>
      <c r="I1556" s="27" t="str">
        <f>IF(H1556="","",VLOOKUP(H1556,'#状态名词'!$A$2:$C$99,2))</f>
        <v>hit</v>
      </c>
      <c r="J1556" s="27" t="str">
        <f>IF(H1556="","",VLOOKUP(H1556,'#状态名词'!$A$2:$C$99,3))</f>
        <v>命中率</v>
      </c>
      <c r="K1556" s="20">
        <v>200</v>
      </c>
      <c r="L1556" s="20"/>
    </row>
    <row r="1557" spans="1:12">
      <c r="A1557" s="20">
        <v>50235</v>
      </c>
      <c r="B1557" s="20" t="s">
        <v>7996</v>
      </c>
      <c r="C1557" s="21" t="s">
        <v>7995</v>
      </c>
      <c r="D1557" s="20"/>
      <c r="E1557" s="20">
        <v>1</v>
      </c>
      <c r="F1557" s="20">
        <v>-1</v>
      </c>
      <c r="G1557" s="20"/>
      <c r="H1557" s="20">
        <v>19</v>
      </c>
      <c r="I1557" s="27" t="str">
        <f>IF(H1557="","",VLOOKUP(H1557,'#状态名词'!$A$2:$C$99,2))</f>
        <v>rating</v>
      </c>
      <c r="J1557" s="27" t="str">
        <f>IF(H1557="","",VLOOKUP(H1557,'#状态名词'!$A$2:$C$99,3))</f>
        <v>暴击+</v>
      </c>
      <c r="K1557" s="20">
        <v>-3000</v>
      </c>
      <c r="L1557" s="20"/>
    </row>
    <row r="1558" spans="1:12">
      <c r="A1558" s="20">
        <v>50236</v>
      </c>
      <c r="B1558" s="20" t="s">
        <v>7997</v>
      </c>
      <c r="C1558" s="21" t="s">
        <v>7998</v>
      </c>
      <c r="D1558" s="20"/>
      <c r="E1558" s="20">
        <v>1</v>
      </c>
      <c r="F1558" s="20">
        <v>-1</v>
      </c>
      <c r="G1558" s="20"/>
      <c r="H1558" s="20">
        <v>44</v>
      </c>
      <c r="I1558" s="27" t="str">
        <f>IF(H1558="","",VLOOKUP(H1558,'#状态名词'!$A$2:$C$99,2))</f>
        <v>dotup</v>
      </c>
      <c r="J1558" s="27" t="str">
        <f>IF(H1558="","",VLOOKUP(H1558,'#状态名词'!$A$2:$C$99,3))</f>
        <v>持续伤害强化</v>
      </c>
      <c r="K1558" s="20">
        <v>60</v>
      </c>
      <c r="L1558" s="20"/>
    </row>
    <row r="1559" spans="1:12">
      <c r="A1559" s="20">
        <v>50240</v>
      </c>
      <c r="B1559" s="20" t="s">
        <v>8004</v>
      </c>
      <c r="C1559" s="21" t="s">
        <v>8005</v>
      </c>
      <c r="D1559" s="20"/>
      <c r="E1559" s="20">
        <v>-1</v>
      </c>
      <c r="F1559" s="20">
        <v>0</v>
      </c>
      <c r="G1559" s="20"/>
      <c r="H1559" s="20">
        <v>2</v>
      </c>
      <c r="I1559" s="27" t="str">
        <f>IF(H1559="","",VLOOKUP(H1559,'#状态名词'!$A$2:$C$99,2))</f>
        <v>damaup</v>
      </c>
      <c r="J1559" s="27" t="str">
        <f>IF(H1559="","",VLOOKUP(H1559,'#状态名词'!$A$2:$C$99,3))</f>
        <v>伤害提升A类增伤</v>
      </c>
      <c r="K1559" s="20">
        <v>-10</v>
      </c>
      <c r="L1559" s="20"/>
    </row>
    <row r="1560" spans="1:12">
      <c r="A1560" s="20">
        <v>50242</v>
      </c>
      <c r="B1560" s="20" t="s">
        <v>8891</v>
      </c>
      <c r="C1560" s="21" t="s">
        <v>8892</v>
      </c>
      <c r="D1560" s="20"/>
      <c r="E1560" s="20">
        <v>-1</v>
      </c>
      <c r="F1560" s="20">
        <v>-1</v>
      </c>
      <c r="G1560" s="20"/>
      <c r="H1560" s="20">
        <v>1</v>
      </c>
      <c r="I1560" s="27" t="str">
        <f>IF(H1560="","",VLOOKUP(H1560,'#状态名词'!$A$2:$C$99,2))</f>
        <v>skilldama</v>
      </c>
      <c r="J1560" s="27" t="str">
        <f>IF(H1560="","",VLOOKUP(H1560,'#状态名词'!$A$2:$C$99,3))</f>
        <v>技能伤害和治疗效果提升B类</v>
      </c>
      <c r="K1560" s="20">
        <v>300</v>
      </c>
      <c r="L1560" s="20">
        <v>50239</v>
      </c>
    </row>
    <row r="1561" spans="1:12">
      <c r="A1561" s="20">
        <v>50245</v>
      </c>
      <c r="B1561" s="20" t="s">
        <v>8976</v>
      </c>
      <c r="C1561" s="21" t="s">
        <v>8977</v>
      </c>
      <c r="D1561" s="20"/>
      <c r="E1561" s="20">
        <v>-1</v>
      </c>
      <c r="F1561" s="20">
        <v>-1</v>
      </c>
      <c r="G1561" s="20"/>
      <c r="H1561" s="20">
        <v>2</v>
      </c>
      <c r="I1561" s="27" t="str">
        <f>IF(H1561="","",VLOOKUP(H1561,'#状态名词'!$A$2:$C$99,2))</f>
        <v>damaup</v>
      </c>
      <c r="J1561" s="27" t="str">
        <f>IF(H1561="","",VLOOKUP(H1561,'#状态名词'!$A$2:$C$99,3))</f>
        <v>伤害提升A类增伤</v>
      </c>
      <c r="K1561" s="20" t="s">
        <v>8978</v>
      </c>
      <c r="L1561" s="20"/>
    </row>
    <row r="1562" spans="1:12">
      <c r="A1562" s="27">
        <v>50801</v>
      </c>
      <c r="B1562" s="20" t="s">
        <v>4307</v>
      </c>
      <c r="C1562" s="21" t="s">
        <v>5700</v>
      </c>
      <c r="E1562" s="27">
        <v>-1</v>
      </c>
      <c r="F1562" s="27">
        <v>-1</v>
      </c>
      <c r="H1562" s="27">
        <v>13</v>
      </c>
      <c r="I1562" s="27" t="str">
        <f>IF(H1562="","",VLOOKUP(H1562,'#状态名词'!$A$2:$C$99,2))</f>
        <v>arm</v>
      </c>
      <c r="J1562" s="27" t="str">
        <f>IF(H1562="","",VLOOKUP(H1562,'#状态名词'!$A$2:$C$99,3))</f>
        <v>ARM+</v>
      </c>
      <c r="K1562" s="26" t="s">
        <v>6444</v>
      </c>
    </row>
    <row r="1563" spans="1:12">
      <c r="A1563" s="27">
        <v>50802</v>
      </c>
      <c r="B1563" s="20" t="s">
        <v>7454</v>
      </c>
      <c r="C1563" s="21" t="s">
        <v>5702</v>
      </c>
      <c r="E1563" s="27">
        <v>-1</v>
      </c>
      <c r="F1563" s="27">
        <v>-1</v>
      </c>
      <c r="H1563" s="27">
        <v>15</v>
      </c>
      <c r="I1563" s="27" t="str">
        <f>IF(H1563="","",VLOOKUP(H1563,'#状态名词'!$A$2:$C$99,2))</f>
        <v>mr</v>
      </c>
      <c r="J1563" s="27" t="str">
        <f>IF(H1563="","",VLOOKUP(H1563,'#状态名词'!$A$2:$C$99,3))</f>
        <v>MR+</v>
      </c>
      <c r="K1563" s="26" t="s">
        <v>6444</v>
      </c>
    </row>
    <row r="1564" spans="1:12">
      <c r="A1564" s="27">
        <v>50803</v>
      </c>
      <c r="B1564" s="20" t="s">
        <v>7455</v>
      </c>
      <c r="C1564" s="21" t="s">
        <v>6443</v>
      </c>
      <c r="E1564" s="27">
        <v>-1</v>
      </c>
      <c r="F1564" s="27">
        <v>-1</v>
      </c>
      <c r="H1564" s="27">
        <v>54</v>
      </c>
      <c r="I1564" s="27" t="str">
        <f>IF(H1564="","",VLOOKUP(H1564,'#状态名词'!$A$2:$C$99,2))</f>
        <v>spi</v>
      </c>
      <c r="J1564" s="27" t="str">
        <f>IF(H1564="","",VLOOKUP(H1564,'#状态名词'!$A$2:$C$99,3))</f>
        <v>精神</v>
      </c>
      <c r="K1564" s="26" t="s">
        <v>6444</v>
      </c>
    </row>
    <row r="1565" spans="1:12">
      <c r="A1565" s="27">
        <v>50804</v>
      </c>
      <c r="B1565" s="20" t="s">
        <v>7456</v>
      </c>
      <c r="C1565" s="21" t="s">
        <v>5705</v>
      </c>
      <c r="E1565" s="27">
        <v>-1</v>
      </c>
      <c r="F1565" s="27">
        <v>-1</v>
      </c>
      <c r="H1565" s="27">
        <v>58</v>
      </c>
      <c r="I1565" s="27" t="str">
        <f>IF(H1565="","",VLOOKUP(H1565,'#状态名词'!$A$2:$C$99,2))</f>
        <v>vit</v>
      </c>
      <c r="J1565" s="27" t="str">
        <f>IF(H1565="","",VLOOKUP(H1565,'#状态名词'!$A$2:$C$99,3))</f>
        <v>体力</v>
      </c>
      <c r="K1565" s="26" t="s">
        <v>6444</v>
      </c>
    </row>
    <row r="1566" spans="1:12">
      <c r="A1566" s="27">
        <v>50805</v>
      </c>
      <c r="B1566" s="20" t="s">
        <v>7457</v>
      </c>
      <c r="C1566" s="21" t="s">
        <v>5707</v>
      </c>
      <c r="E1566" s="27">
        <v>-1</v>
      </c>
      <c r="F1566" s="27">
        <v>-1</v>
      </c>
      <c r="H1566" s="27">
        <v>19</v>
      </c>
      <c r="I1566" s="27" t="str">
        <f>IF(H1566="","",VLOOKUP(H1566,'#状态名词'!$A$2:$C$99,2))</f>
        <v>rating</v>
      </c>
      <c r="J1566" s="27" t="str">
        <f>IF(H1566="","",VLOOKUP(H1566,'#状态名词'!$A$2:$C$99,3))</f>
        <v>暴击+</v>
      </c>
      <c r="K1566" s="26" t="s">
        <v>6444</v>
      </c>
    </row>
    <row r="1567" spans="1:12">
      <c r="A1567" s="27">
        <v>50806</v>
      </c>
      <c r="B1567" s="20" t="s">
        <v>7458</v>
      </c>
      <c r="C1567" s="21" t="s">
        <v>5709</v>
      </c>
      <c r="E1567" s="27">
        <v>-1</v>
      </c>
      <c r="F1567" s="27">
        <v>-1</v>
      </c>
      <c r="H1567" s="27">
        <v>24</v>
      </c>
      <c r="I1567" s="27" t="str">
        <f>IF(H1567="","",VLOOKUP(H1567,'#状态名词'!$A$2:$C$99,2))</f>
        <v>heal</v>
      </c>
      <c r="J1567" s="27" t="str">
        <f>IF(H1567="","",VLOOKUP(H1567,'#状态名词'!$A$2:$C$99,3))</f>
        <v>治疗效果+</v>
      </c>
      <c r="K1567" s="26" t="s">
        <v>6444</v>
      </c>
    </row>
    <row r="1568" spans="1:12">
      <c r="A1568" s="27">
        <v>51001</v>
      </c>
      <c r="B1568" s="27" t="s">
        <v>5012</v>
      </c>
      <c r="C1568" s="27" t="s">
        <v>5013</v>
      </c>
      <c r="E1568" s="27">
        <v>-1</v>
      </c>
      <c r="F1568" s="27">
        <v>-1</v>
      </c>
      <c r="H1568" s="27">
        <v>15</v>
      </c>
      <c r="I1568" s="27" t="str">
        <f>IF(H1568="","",VLOOKUP(H1568,'#状态名词'!$A$2:$C$99,2))</f>
        <v>mr</v>
      </c>
      <c r="J1568" s="27" t="str">
        <f>IF(H1568="","",VLOOKUP(H1568,'#状态名词'!$A$2:$C$99,3))</f>
        <v>MR+</v>
      </c>
      <c r="K1568" s="26">
        <v>-30</v>
      </c>
    </row>
    <row r="1569" spans="1:11">
      <c r="A1569" s="27">
        <v>51002</v>
      </c>
      <c r="B1569" s="27" t="s">
        <v>5020</v>
      </c>
      <c r="C1569" s="27" t="s">
        <v>2077</v>
      </c>
      <c r="E1569" s="27">
        <v>-1</v>
      </c>
      <c r="F1569" s="27">
        <v>0</v>
      </c>
      <c r="H1569" s="27">
        <v>65</v>
      </c>
      <c r="I1569" s="27" t="str">
        <f>IF(H1569="","",VLOOKUP(H1569,'#状态名词'!$A$2:$C$99,2))</f>
        <v>str</v>
      </c>
      <c r="J1569" s="27" t="str">
        <f>IF(H1569="","",VLOOKUP(H1569,'#状态名词'!$A$2:$C$99,3))</f>
        <v>力量</v>
      </c>
      <c r="K1569" s="26">
        <v>300</v>
      </c>
    </row>
    <row r="1570" spans="1:11">
      <c r="B1570" s="27" t="s">
        <v>84</v>
      </c>
      <c r="H1570" s="27">
        <v>67</v>
      </c>
      <c r="I1570" s="27" t="str">
        <f>IF(H1570="","",VLOOKUP(H1570,'#状态名词'!$A$2:$C$99,2))</f>
        <v>inte</v>
      </c>
      <c r="J1570" s="27" t="str">
        <f>IF(H1570="","",VLOOKUP(H1570,'#状态名词'!$A$2:$C$99,3))</f>
        <v>智力</v>
      </c>
      <c r="K1570" s="26">
        <v>300</v>
      </c>
    </row>
    <row r="1571" spans="1:11">
      <c r="B1571" s="27" t="s">
        <v>84</v>
      </c>
      <c r="E1571" s="27">
        <v>-1</v>
      </c>
      <c r="F1571" s="27">
        <v>0</v>
      </c>
      <c r="H1571" s="27">
        <v>58</v>
      </c>
      <c r="I1571" s="27" t="str">
        <f>IF(H1571="","",VLOOKUP(H1571,'#状态名词'!$A$2:$C$99,2))</f>
        <v>vit</v>
      </c>
      <c r="J1571" s="27" t="str">
        <f>IF(H1571="","",VLOOKUP(H1571,'#状态名词'!$A$2:$C$99,3))</f>
        <v>体力</v>
      </c>
      <c r="K1571" s="26">
        <v>300</v>
      </c>
    </row>
    <row r="1572" spans="1:11">
      <c r="A1572" s="27">
        <v>51003</v>
      </c>
      <c r="B1572" s="27" t="s">
        <v>5025</v>
      </c>
      <c r="C1572" s="27" t="s">
        <v>5026</v>
      </c>
      <c r="E1572" s="27">
        <v>-1</v>
      </c>
      <c r="F1572" s="27">
        <v>-1</v>
      </c>
      <c r="H1572" s="27">
        <v>38</v>
      </c>
      <c r="I1572" s="27" t="str">
        <f>IF(H1572="","",VLOOKUP(H1572,'#状态名词'!$A$2:$C$99,2))</f>
        <v>hurt_damage</v>
      </c>
      <c r="J1572" s="27" t="str">
        <f>IF(H1572="","",VLOOKUP(H1572,'#状态名词'!$A$2:$C$99,3))</f>
        <v>被攻击造成伤害</v>
      </c>
      <c r="K1572" s="26" t="s">
        <v>5622</v>
      </c>
    </row>
    <row r="1573" spans="1:11">
      <c r="A1573" s="27">
        <v>51004</v>
      </c>
      <c r="B1573" s="27" t="s">
        <v>5027</v>
      </c>
      <c r="C1573" s="27" t="s">
        <v>5028</v>
      </c>
      <c r="E1573" s="27">
        <v>-1</v>
      </c>
      <c r="F1573" s="27">
        <v>-1</v>
      </c>
      <c r="H1573" s="27">
        <v>13</v>
      </c>
      <c r="I1573" s="27" t="str">
        <f>IF(H1573="","",VLOOKUP(H1573,'#状态名词'!$A$2:$C$99,2))</f>
        <v>arm</v>
      </c>
      <c r="J1573" s="27" t="str">
        <f>IF(H1573="","",VLOOKUP(H1573,'#状态名词'!$A$2:$C$99,3))</f>
        <v>ARM+</v>
      </c>
      <c r="K1573" s="26">
        <v>100</v>
      </c>
    </row>
    <row r="1574" spans="1:11">
      <c r="B1574" s="27" t="s">
        <v>84</v>
      </c>
      <c r="E1574" s="27">
        <v>-1</v>
      </c>
      <c r="F1574" s="27">
        <v>-1</v>
      </c>
      <c r="H1574" s="27">
        <v>61</v>
      </c>
      <c r="I1574" s="27" t="str">
        <f>IF(H1574="","",VLOOKUP(H1574,'#状态名词'!$A$2:$C$99,2))</f>
        <v>team_ad</v>
      </c>
      <c r="J1574" s="27" t="str">
        <f>IF(H1574="","",VLOOKUP(H1574,'#状态名词'!$A$2:$C$99,3))</f>
        <v>队伍AD</v>
      </c>
      <c r="K1574" s="26">
        <v>100</v>
      </c>
    </row>
    <row r="1575" spans="1:11">
      <c r="B1575" s="27" t="s">
        <v>84</v>
      </c>
      <c r="E1575" s="27">
        <v>-1</v>
      </c>
      <c r="F1575" s="27">
        <v>-1</v>
      </c>
      <c r="H1575" s="27">
        <v>20</v>
      </c>
      <c r="I1575" s="27" t="str">
        <f>IF(H1575="","",VLOOKUP(H1575,'#状态名词'!$A$2:$C$99,2))</f>
        <v>ratingdamage</v>
      </c>
      <c r="J1575" s="27" t="str">
        <f>IF(H1575="","",VLOOKUP(H1575,'#状态名词'!$A$2:$C$99,3))</f>
        <v>暴伤+</v>
      </c>
      <c r="K1575" s="26">
        <v>100</v>
      </c>
    </row>
    <row r="1576" spans="1:11">
      <c r="A1576" s="27">
        <v>51005</v>
      </c>
      <c r="B1576" s="27" t="s">
        <v>5046</v>
      </c>
      <c r="C1576" s="27" t="s">
        <v>5623</v>
      </c>
      <c r="E1576" s="27">
        <v>-1</v>
      </c>
      <c r="F1576" s="27">
        <v>-1</v>
      </c>
      <c r="H1576" s="27">
        <v>27</v>
      </c>
      <c r="I1576" s="27" t="str">
        <f>IF(H1576="","",VLOOKUP(H1576,'#状态名词'!$A$2:$C$99,2))</f>
        <v>iceup</v>
      </c>
      <c r="J1576" s="27" t="str">
        <f>IF(H1576="","",VLOOKUP(H1576,'#状态名词'!$A$2:$C$99,3))</f>
        <v>冰属性强化</v>
      </c>
      <c r="K1576" s="26">
        <v>2</v>
      </c>
    </row>
    <row r="1577" spans="1:11">
      <c r="A1577" s="27">
        <v>51006</v>
      </c>
      <c r="B1577" s="27" t="s">
        <v>5048</v>
      </c>
      <c r="C1577" s="27" t="s">
        <v>5049</v>
      </c>
      <c r="E1577" s="27">
        <v>-1</v>
      </c>
      <c r="F1577" s="27">
        <v>-1</v>
      </c>
      <c r="H1577" s="27">
        <v>25</v>
      </c>
      <c r="I1577" s="27" t="str">
        <f>IF(H1577="","",VLOOKUP(H1577,'#状态名词'!$A$2:$C$99,2))</f>
        <v>duochong</v>
      </c>
      <c r="J1577" s="27" t="str">
        <f>IF(H1577="","",VLOOKUP(H1577,'#状态名词'!$A$2:$C$99,3))</f>
        <v>多重施法</v>
      </c>
      <c r="K1577" s="26">
        <v>3000</v>
      </c>
    </row>
    <row r="1578" spans="1:11">
      <c r="A1578" s="27">
        <v>51007</v>
      </c>
      <c r="B1578" s="27" t="s">
        <v>5053</v>
      </c>
      <c r="C1578" s="27" t="s">
        <v>5624</v>
      </c>
      <c r="E1578" s="27">
        <v>-1</v>
      </c>
      <c r="F1578" s="27">
        <v>-1</v>
      </c>
      <c r="H1578" s="27">
        <v>29</v>
      </c>
      <c r="I1578" s="27" t="str">
        <f>IF(H1578="","",VLOOKUP(H1578,'#状态名词'!$A$2:$C$99,2))</f>
        <v>darkup</v>
      </c>
      <c r="J1578" s="27" t="str">
        <f>IF(H1578="","",VLOOKUP(H1578,'#状态名词'!$A$2:$C$99,3))</f>
        <v>暗属性强化</v>
      </c>
      <c r="K1578" s="26">
        <v>10</v>
      </c>
    </row>
    <row r="1579" spans="1:11">
      <c r="A1579" s="27">
        <v>51008</v>
      </c>
      <c r="B1579" s="27" t="s">
        <v>5057</v>
      </c>
      <c r="C1579" s="27" t="s">
        <v>5058</v>
      </c>
      <c r="E1579" s="27">
        <v>-1</v>
      </c>
      <c r="F1579" s="27">
        <v>-1</v>
      </c>
      <c r="H1579" s="27">
        <v>25</v>
      </c>
      <c r="I1579" s="27" t="str">
        <f>IF(H1579="","",VLOOKUP(H1579,'#状态名词'!$A$2:$C$99,2))</f>
        <v>duochong</v>
      </c>
      <c r="J1579" s="27" t="str">
        <f>IF(H1579="","",VLOOKUP(H1579,'#状态名词'!$A$2:$C$99,3))</f>
        <v>多重施法</v>
      </c>
      <c r="K1579" s="26">
        <v>100</v>
      </c>
    </row>
    <row r="1580" spans="1:11">
      <c r="A1580" s="27">
        <v>51009</v>
      </c>
      <c r="B1580" s="27" t="s">
        <v>5062</v>
      </c>
      <c r="C1580" s="27" t="s">
        <v>5063</v>
      </c>
      <c r="E1580" s="27">
        <v>1</v>
      </c>
      <c r="F1580" s="27">
        <v>-1</v>
      </c>
      <c r="H1580" s="27">
        <v>43</v>
      </c>
      <c r="I1580" s="27" t="str">
        <f>IF(H1580="","",VLOOKUP(H1580,'#状态名词'!$A$2:$C$99,2))</f>
        <v>turn_damage</v>
      </c>
      <c r="J1580" s="27" t="str">
        <f>IF(H1580="","",VLOOKUP(H1580,'#状态名词'!$A$2:$C$99,3))</f>
        <v>回合伤害</v>
      </c>
      <c r="K1580" s="26">
        <v>850</v>
      </c>
    </row>
    <row r="1581" spans="1:11">
      <c r="A1581" s="27">
        <v>51010</v>
      </c>
      <c r="B1581" s="27" t="s">
        <v>5067</v>
      </c>
      <c r="C1581" s="27" t="s">
        <v>5068</v>
      </c>
      <c r="E1581" s="27">
        <v>-1</v>
      </c>
      <c r="F1581" s="27">
        <v>-1</v>
      </c>
      <c r="H1581" s="27">
        <v>19</v>
      </c>
      <c r="I1581" s="27" t="str">
        <f>IF(H1581="","",VLOOKUP(H1581,'#状态名词'!$A$2:$C$99,2))</f>
        <v>rating</v>
      </c>
      <c r="J1581" s="27" t="str">
        <f>IF(H1581="","",VLOOKUP(H1581,'#状态名词'!$A$2:$C$99,3))</f>
        <v>暴击+</v>
      </c>
      <c r="K1581" s="26">
        <v>200</v>
      </c>
    </row>
    <row r="1582" spans="1:11">
      <c r="B1582" s="27" t="s">
        <v>84</v>
      </c>
      <c r="E1582" s="27">
        <v>-1</v>
      </c>
      <c r="F1582" s="27">
        <v>-1</v>
      </c>
      <c r="H1582" s="27">
        <v>20</v>
      </c>
      <c r="I1582" s="27" t="str">
        <f>IF(H1582="","",VLOOKUP(H1582,'#状态名词'!$A$2:$C$99,2))</f>
        <v>ratingdamage</v>
      </c>
      <c r="J1582" s="27" t="str">
        <f>IF(H1582="","",VLOOKUP(H1582,'#状态名词'!$A$2:$C$99,3))</f>
        <v>暴伤+</v>
      </c>
      <c r="K1582" s="26">
        <v>300</v>
      </c>
    </row>
    <row r="1583" spans="1:11">
      <c r="A1583" s="27">
        <v>51011</v>
      </c>
      <c r="B1583" s="27" t="s">
        <v>5069</v>
      </c>
      <c r="C1583" s="27" t="s">
        <v>5070</v>
      </c>
      <c r="E1583" s="27">
        <v>-1</v>
      </c>
      <c r="F1583" s="27">
        <v>-1</v>
      </c>
      <c r="H1583" s="27">
        <v>17</v>
      </c>
      <c r="I1583" s="27" t="str">
        <f>IF(H1583="","",VLOOKUP(H1583,'#状态名词'!$A$2:$C$99,2))</f>
        <v>adi</v>
      </c>
      <c r="J1583" s="27" t="str">
        <f>IF(H1583="","",VLOOKUP(H1583,'#状态名词'!$A$2:$C$99,3))</f>
        <v>物穿</v>
      </c>
      <c r="K1583" s="26">
        <v>25</v>
      </c>
    </row>
    <row r="1584" spans="1:11">
      <c r="B1584" s="27" t="s">
        <v>84</v>
      </c>
      <c r="E1584" s="27">
        <v>-1</v>
      </c>
      <c r="F1584" s="27">
        <v>-1</v>
      </c>
      <c r="H1584" s="27">
        <v>13</v>
      </c>
      <c r="I1584" s="27" t="str">
        <f>IF(H1584="","",VLOOKUP(H1584,'#状态名词'!$A$2:$C$99,2))</f>
        <v>arm</v>
      </c>
      <c r="J1584" s="27" t="str">
        <f>IF(H1584="","",VLOOKUP(H1584,'#状态名词'!$A$2:$C$99,3))</f>
        <v>ARM+</v>
      </c>
      <c r="K1584" s="26">
        <v>52</v>
      </c>
    </row>
    <row r="1585" spans="1:12">
      <c r="A1585" s="27">
        <v>51012</v>
      </c>
      <c r="B1585" s="27" t="s">
        <v>5074</v>
      </c>
      <c r="C1585" s="27" t="s">
        <v>5075</v>
      </c>
      <c r="E1585" s="27">
        <v>-1</v>
      </c>
      <c r="F1585" s="27">
        <v>-1</v>
      </c>
      <c r="H1585" s="27">
        <v>13</v>
      </c>
      <c r="I1585" s="27" t="str">
        <f>IF(H1585="","",VLOOKUP(H1585,'#状态名词'!$A$2:$C$99,2))</f>
        <v>arm</v>
      </c>
      <c r="J1585" s="27" t="str">
        <f>IF(H1585="","",VLOOKUP(H1585,'#状态名词'!$A$2:$C$99,3))</f>
        <v>ARM+</v>
      </c>
      <c r="K1585" s="26">
        <v>-80</v>
      </c>
    </row>
    <row r="1586" spans="1:12">
      <c r="A1586" s="27">
        <v>51013</v>
      </c>
      <c r="B1586" s="27" t="s">
        <v>5076</v>
      </c>
      <c r="C1586" s="27" t="s">
        <v>5077</v>
      </c>
      <c r="E1586" s="27">
        <v>-1</v>
      </c>
      <c r="F1586" s="27">
        <v>-1</v>
      </c>
      <c r="H1586" s="27">
        <v>21</v>
      </c>
      <c r="I1586" s="27" t="str">
        <f>IF(H1586="","",VLOOKUP(H1586,'#状态名词'!$A$2:$C$99,2))</f>
        <v>speed</v>
      </c>
      <c r="J1586" s="27" t="str">
        <f>IF(H1586="","",VLOOKUP(H1586,'#状态名词'!$A$2:$C$99,3))</f>
        <v>速度+</v>
      </c>
      <c r="K1586" s="26">
        <v>1000</v>
      </c>
    </row>
    <row r="1587" spans="1:12">
      <c r="A1587" s="27">
        <v>51014</v>
      </c>
      <c r="B1587" s="27" t="s">
        <v>5081</v>
      </c>
      <c r="C1587" s="27" t="s">
        <v>5082</v>
      </c>
      <c r="E1587" s="27">
        <v>-1</v>
      </c>
      <c r="F1587" s="27">
        <v>-1</v>
      </c>
      <c r="H1587" s="27">
        <v>25</v>
      </c>
      <c r="I1587" s="27" t="str">
        <f>IF(H1587="","",VLOOKUP(H1587,'#状态名词'!$A$2:$C$99,2))</f>
        <v>duochong</v>
      </c>
      <c r="J1587" s="27" t="str">
        <f>IF(H1587="","",VLOOKUP(H1587,'#状态名词'!$A$2:$C$99,3))</f>
        <v>多重施法</v>
      </c>
      <c r="K1587" s="26">
        <v>2000</v>
      </c>
    </row>
    <row r="1588" spans="1:12">
      <c r="B1588" s="27" t="s">
        <v>84</v>
      </c>
      <c r="E1588" s="27">
        <v>-1</v>
      </c>
      <c r="F1588" s="27">
        <v>-1</v>
      </c>
      <c r="H1588" s="27">
        <v>19</v>
      </c>
      <c r="I1588" s="27" t="str">
        <f>IF(H1588="","",VLOOKUP(H1588,'#状态名词'!$A$2:$C$99,2))</f>
        <v>rating</v>
      </c>
      <c r="J1588" s="27" t="str">
        <f>IF(H1588="","",VLOOKUP(H1588,'#状态名词'!$A$2:$C$99,3))</f>
        <v>暴击+</v>
      </c>
      <c r="K1588" s="26">
        <v>4000</v>
      </c>
    </row>
    <row r="1589" spans="1:12">
      <c r="A1589" s="27">
        <v>51015</v>
      </c>
      <c r="B1589" s="27" t="s">
        <v>5083</v>
      </c>
      <c r="C1589" s="27" t="s">
        <v>5084</v>
      </c>
      <c r="E1589" s="27">
        <v>-1</v>
      </c>
      <c r="F1589" s="27">
        <v>-1</v>
      </c>
      <c r="H1589" s="27">
        <v>18</v>
      </c>
      <c r="I1589" s="27" t="str">
        <f>IF(H1589="","",VLOOKUP(H1589,'#状态名词'!$A$2:$C$99,2))</f>
        <v>api</v>
      </c>
      <c r="J1589" s="27" t="str">
        <f>IF(H1589="","",VLOOKUP(H1589,'#状态名词'!$A$2:$C$99,3))</f>
        <v>法穿</v>
      </c>
      <c r="K1589" s="26">
        <v>100</v>
      </c>
    </row>
    <row r="1590" spans="1:12">
      <c r="A1590" s="27">
        <v>51016</v>
      </c>
      <c r="B1590" s="27" t="s">
        <v>5046</v>
      </c>
      <c r="C1590" s="27" t="s">
        <v>5625</v>
      </c>
      <c r="E1590" s="27">
        <v>-1</v>
      </c>
      <c r="F1590" s="27">
        <v>-1</v>
      </c>
      <c r="H1590" s="27">
        <v>26</v>
      </c>
      <c r="I1590" s="27" t="str">
        <f>IF(H1590="","",VLOOKUP(H1590,'#状态名词'!$A$2:$C$99,2))</f>
        <v>fireup</v>
      </c>
      <c r="J1590" s="27" t="str">
        <f>IF(H1590="","",VLOOKUP(H1590,'#状态名词'!$A$2:$C$99,3))</f>
        <v>火属性强化</v>
      </c>
      <c r="K1590" s="26">
        <v>2</v>
      </c>
    </row>
    <row r="1591" spans="1:12">
      <c r="A1591" s="27">
        <v>51016</v>
      </c>
      <c r="B1591" s="27" t="s">
        <v>5046</v>
      </c>
      <c r="C1591" s="27" t="s">
        <v>5626</v>
      </c>
      <c r="E1591" s="27">
        <v>-1</v>
      </c>
      <c r="F1591" s="27">
        <v>-1</v>
      </c>
      <c r="H1591" s="27">
        <v>32</v>
      </c>
      <c r="I1591" s="27" t="str">
        <f>IF(H1591="","",VLOOKUP(H1591,'#状态名词'!$A$2:$C$99,2))</f>
        <v>reice</v>
      </c>
      <c r="J1591" s="27" t="str">
        <f>IF(H1591="","",VLOOKUP(H1591,'#状态名词'!$A$2:$C$99,3))</f>
        <v>冰属性抗性</v>
      </c>
      <c r="K1591" s="26">
        <v>-10</v>
      </c>
    </row>
    <row r="1592" spans="1:12">
      <c r="A1592" s="27">
        <v>51017</v>
      </c>
      <c r="B1592" s="27" t="s">
        <v>5093</v>
      </c>
      <c r="C1592" s="27" t="s">
        <v>5627</v>
      </c>
      <c r="E1592" s="27">
        <v>1</v>
      </c>
      <c r="F1592" s="27">
        <v>-1</v>
      </c>
      <c r="H1592" s="27">
        <v>19</v>
      </c>
      <c r="I1592" s="27" t="str">
        <f>IF(H1592="","",VLOOKUP(H1592,'#状态名词'!$A$2:$C$99,2))</f>
        <v>rating</v>
      </c>
      <c r="J1592" s="27" t="str">
        <f>IF(H1592="","",VLOOKUP(H1592,'#状态名词'!$A$2:$C$99,3))</f>
        <v>暴击+</v>
      </c>
      <c r="K1592" s="26">
        <v>2500</v>
      </c>
      <c r="L1592" s="27">
        <v>51040</v>
      </c>
    </row>
    <row r="1593" spans="1:12">
      <c r="B1593" s="27" t="s">
        <v>84</v>
      </c>
      <c r="E1593" s="27">
        <v>1</v>
      </c>
      <c r="F1593" s="27">
        <v>-1</v>
      </c>
      <c r="H1593" s="27">
        <v>20</v>
      </c>
      <c r="I1593" s="27" t="str">
        <f>IF(H1593="","",VLOOKUP(H1593,'#状态名词'!$A$2:$C$99,2))</f>
        <v>ratingdamage</v>
      </c>
      <c r="J1593" s="27" t="str">
        <f>IF(H1593="","",VLOOKUP(H1593,'#状态名词'!$A$2:$C$99,3))</f>
        <v>暴伤+</v>
      </c>
      <c r="K1593" s="26">
        <v>2500</v>
      </c>
      <c r="L1593" s="27">
        <v>51040</v>
      </c>
    </row>
    <row r="1594" spans="1:12">
      <c r="A1594" s="67">
        <v>51018</v>
      </c>
      <c r="B1594" s="27" t="s">
        <v>5095</v>
      </c>
      <c r="C1594" s="27" t="s">
        <v>5628</v>
      </c>
      <c r="E1594" s="27">
        <v>1</v>
      </c>
      <c r="F1594" s="27">
        <v>-1</v>
      </c>
      <c r="H1594" s="27">
        <v>36</v>
      </c>
      <c r="I1594" s="27" t="str">
        <f>IF(H1594="","",VLOOKUP(H1594,'#状态名词'!$A$2:$C$99,2))</f>
        <v>atk_damage</v>
      </c>
      <c r="J1594" s="27" t="str">
        <f>IF(H1594="","",VLOOKUP(H1594,'#状态名词'!$A$2:$C$99,3))</f>
        <v>攻击附加伤害</v>
      </c>
      <c r="K1594" s="26" t="s">
        <v>7768</v>
      </c>
      <c r="L1594" s="27">
        <v>51041</v>
      </c>
    </row>
    <row r="1595" spans="1:12">
      <c r="A1595" s="27">
        <v>70001</v>
      </c>
      <c r="B1595" s="27" t="s">
        <v>5156</v>
      </c>
      <c r="C1595" s="27" t="s">
        <v>5157</v>
      </c>
      <c r="E1595" s="27">
        <v>-1</v>
      </c>
      <c r="F1595" s="27">
        <v>-1</v>
      </c>
      <c r="H1595" s="27">
        <v>19</v>
      </c>
      <c r="I1595" s="27" t="str">
        <f>IF(H1595="","",VLOOKUP(H1595,'#状态名词'!$A$2:$C$99,2))</f>
        <v>rating</v>
      </c>
      <c r="J1595" s="27" t="str">
        <f>IF(H1595="","",VLOOKUP(H1595,'#状态名词'!$A$2:$C$99,3))</f>
        <v>暴击+</v>
      </c>
      <c r="K1595" s="26" t="s">
        <v>5629</v>
      </c>
    </row>
    <row r="1596" spans="1:12">
      <c r="B1596" s="27" t="s">
        <v>84</v>
      </c>
      <c r="H1596" s="27">
        <v>20</v>
      </c>
      <c r="I1596" s="27" t="str">
        <f>IF(H1596="","",VLOOKUP(H1596,'#状态名词'!$A$2:$C$99,2))</f>
        <v>ratingdamage</v>
      </c>
      <c r="J1596" s="27" t="str">
        <f>IF(H1596="","",VLOOKUP(H1596,'#状态名词'!$A$2:$C$99,3))</f>
        <v>暴伤+</v>
      </c>
      <c r="K1596" s="26" t="s">
        <v>5629</v>
      </c>
    </row>
    <row r="1597" spans="1:12">
      <c r="A1597" s="27">
        <v>70002</v>
      </c>
      <c r="B1597" s="27" t="s">
        <v>514</v>
      </c>
      <c r="C1597" s="27" t="s">
        <v>5158</v>
      </c>
      <c r="E1597" s="27">
        <v>-1</v>
      </c>
      <c r="F1597" s="27">
        <v>-1</v>
      </c>
      <c r="H1597" s="27">
        <v>12</v>
      </c>
      <c r="I1597" s="27" t="str">
        <f>IF(H1597="","",VLOOKUP(H1597,'#状态名词'!$A$2:$C$99,2))</f>
        <v>ap_per</v>
      </c>
      <c r="J1597" s="27" t="str">
        <f>IF(H1597="","",VLOOKUP(H1597,'#状态名词'!$A$2:$C$99,3))</f>
        <v>法强百分比</v>
      </c>
      <c r="K1597" s="26" t="s">
        <v>5630</v>
      </c>
    </row>
    <row r="1598" spans="1:12">
      <c r="A1598" s="27">
        <v>70003</v>
      </c>
      <c r="B1598" s="27" t="s">
        <v>99</v>
      </c>
      <c r="C1598" s="27" t="s">
        <v>5159</v>
      </c>
      <c r="E1598" s="27">
        <v>-1</v>
      </c>
      <c r="F1598" s="27">
        <v>-1</v>
      </c>
      <c r="H1598" s="27">
        <v>10</v>
      </c>
      <c r="I1598" s="27" t="str">
        <f>IF(H1598="","",VLOOKUP(H1598,'#状态名词'!$A$2:$C$99,2))</f>
        <v>ad_per</v>
      </c>
      <c r="J1598" s="27" t="str">
        <f>IF(H1598="","",VLOOKUP(H1598,'#状态名词'!$A$2:$C$99,3))</f>
        <v>攻击百分比</v>
      </c>
      <c r="K1598" s="26" t="s">
        <v>5630</v>
      </c>
    </row>
    <row r="1599" spans="1:12">
      <c r="A1599" s="27">
        <v>70004</v>
      </c>
      <c r="B1599" s="27" t="s">
        <v>5160</v>
      </c>
      <c r="C1599" s="27" t="s">
        <v>5161</v>
      </c>
      <c r="E1599" s="27">
        <v>-1</v>
      </c>
      <c r="F1599" s="27">
        <v>-1</v>
      </c>
      <c r="H1599" s="27">
        <v>21</v>
      </c>
      <c r="I1599" s="27" t="str">
        <f>IF(H1599="","",VLOOKUP(H1599,'#状态名词'!$A$2:$C$99,2))</f>
        <v>speed</v>
      </c>
      <c r="J1599" s="27" t="str">
        <f>IF(H1599="","",VLOOKUP(H1599,'#状态名词'!$A$2:$C$99,3))</f>
        <v>速度+</v>
      </c>
      <c r="K1599" s="26" t="s">
        <v>5631</v>
      </c>
    </row>
    <row r="1600" spans="1:12">
      <c r="A1600" s="27">
        <v>70005</v>
      </c>
      <c r="B1600" s="27" t="s">
        <v>98</v>
      </c>
      <c r="C1600" s="27" t="s">
        <v>5162</v>
      </c>
      <c r="E1600" s="27">
        <v>-1</v>
      </c>
      <c r="F1600" s="27">
        <v>-1</v>
      </c>
      <c r="H1600" s="27">
        <v>14</v>
      </c>
      <c r="I1600" s="27" t="str">
        <f>IF(H1600="","",VLOOKUP(H1600,'#状态名词'!$A$2:$C$99,2))</f>
        <v>arm_per</v>
      </c>
      <c r="J1600" s="27" t="str">
        <f>IF(H1600="","",VLOOKUP(H1600,'#状态名词'!$A$2:$C$99,3))</f>
        <v>护甲百分比</v>
      </c>
      <c r="K1600" s="26" t="s">
        <v>5630</v>
      </c>
    </row>
    <row r="1601" spans="1:12">
      <c r="B1601" s="27" t="s">
        <v>84</v>
      </c>
      <c r="H1601" s="27">
        <v>16</v>
      </c>
      <c r="I1601" s="27" t="str">
        <f>IF(H1601="","",VLOOKUP(H1601,'#状态名词'!$A$2:$C$99,2))</f>
        <v>mr_per</v>
      </c>
      <c r="J1601" s="27" t="str">
        <f>IF(H1601="","",VLOOKUP(H1601,'#状态名词'!$A$2:$C$99,3))</f>
        <v>魔抗百分比</v>
      </c>
      <c r="K1601" s="26" t="s">
        <v>5630</v>
      </c>
    </row>
    <row r="1602" spans="1:12">
      <c r="A1602" s="27">
        <v>70010</v>
      </c>
      <c r="B1602" s="27" t="s">
        <v>4003</v>
      </c>
      <c r="C1602" s="27" t="s">
        <v>5128</v>
      </c>
      <c r="E1602" s="27">
        <v>-1</v>
      </c>
      <c r="F1602" s="27">
        <v>0</v>
      </c>
      <c r="H1602" s="27">
        <v>25</v>
      </c>
      <c r="I1602" s="27" t="str">
        <f>IF(H1602="","",VLOOKUP(H1602,'#状态名词'!$A$2:$C$99,2))</f>
        <v>duochong</v>
      </c>
      <c r="J1602" s="27" t="str">
        <f>IF(H1602="","",VLOOKUP(H1602,'#状态名词'!$A$2:$C$99,3))</f>
        <v>多重施法</v>
      </c>
      <c r="K1602" s="26">
        <v>1500</v>
      </c>
      <c r="L1602" s="27">
        <v>70012</v>
      </c>
    </row>
    <row r="1603" spans="1:12">
      <c r="A1603" s="27">
        <v>70011</v>
      </c>
      <c r="B1603" s="27" t="s">
        <v>4134</v>
      </c>
      <c r="C1603" s="27" t="s">
        <v>5632</v>
      </c>
      <c r="E1603" s="27">
        <v>-1</v>
      </c>
      <c r="F1603" s="27">
        <v>3</v>
      </c>
      <c r="H1603" s="27">
        <v>19</v>
      </c>
      <c r="I1603" s="27" t="str">
        <f>IF(H1603="","",VLOOKUP(H1603,'#状态名词'!$A$2:$C$99,2))</f>
        <v>rating</v>
      </c>
      <c r="J1603" s="27" t="str">
        <f>IF(H1603="","",VLOOKUP(H1603,'#状态名词'!$A$2:$C$99,3))</f>
        <v>暴击+</v>
      </c>
      <c r="K1603" s="26" t="s">
        <v>5633</v>
      </c>
    </row>
    <row r="1604" spans="1:12">
      <c r="B1604" s="27" t="s">
        <v>84</v>
      </c>
      <c r="H1604" s="27">
        <v>21</v>
      </c>
      <c r="I1604" s="27" t="str">
        <f>IF(H1604="","",VLOOKUP(H1604,'#状态名词'!$A$2:$C$99,2))</f>
        <v>speed</v>
      </c>
      <c r="J1604" s="27" t="str">
        <f>IF(H1604="","",VLOOKUP(H1604,'#状态名词'!$A$2:$C$99,3))</f>
        <v>速度+</v>
      </c>
      <c r="K1604" s="26" t="s">
        <v>5633</v>
      </c>
    </row>
    <row r="1605" spans="1:12">
      <c r="B1605" s="27" t="s">
        <v>84</v>
      </c>
      <c r="H1605" s="27">
        <v>23</v>
      </c>
      <c r="I1605" s="27" t="str">
        <f>IF(H1605="","",VLOOKUP(H1605,'#状态名词'!$A$2:$C$99,2))</f>
        <v>steal</v>
      </c>
      <c r="J1605" s="27" t="str">
        <f>IF(H1605="","",VLOOKUP(H1605,'#状态名词'!$A$2:$C$99,3))</f>
        <v>生命偷取</v>
      </c>
      <c r="K1605" s="26" t="s">
        <v>5633</v>
      </c>
    </row>
    <row r="1606" spans="1:12">
      <c r="A1606" s="27">
        <v>70012</v>
      </c>
      <c r="B1606" s="27" t="s">
        <v>5139</v>
      </c>
      <c r="C1606" s="27" t="s">
        <v>5634</v>
      </c>
      <c r="E1606" s="27">
        <v>-1</v>
      </c>
      <c r="F1606" s="27">
        <v>-1</v>
      </c>
      <c r="H1606" s="27">
        <v>58</v>
      </c>
      <c r="I1606" s="27" t="str">
        <f>IF(H1606="","",VLOOKUP(H1606,'#状态名词'!$A$2:$C$99,2))</f>
        <v>vit</v>
      </c>
      <c r="J1606" s="27" t="str">
        <f>IF(H1606="","",VLOOKUP(H1606,'#状态名词'!$A$2:$C$99,3))</f>
        <v>体力</v>
      </c>
      <c r="K1606" s="26" t="s">
        <v>5635</v>
      </c>
    </row>
    <row r="1607" spans="1:12">
      <c r="B1607" s="27" t="s">
        <v>84</v>
      </c>
      <c r="H1607" s="27">
        <v>10</v>
      </c>
      <c r="I1607" s="27" t="str">
        <f>IF(H1607="","",VLOOKUP(H1607,'#状态名词'!$A$2:$C$99,2))</f>
        <v>ad_per</v>
      </c>
      <c r="J1607" s="27" t="str">
        <f>IF(H1607="","",VLOOKUP(H1607,'#状态名词'!$A$2:$C$99,3))</f>
        <v>攻击百分比</v>
      </c>
      <c r="K1607" s="26" t="s">
        <v>5636</v>
      </c>
    </row>
    <row r="1608" spans="1:12">
      <c r="B1608" s="27" t="s">
        <v>84</v>
      </c>
      <c r="H1608" s="27">
        <v>12</v>
      </c>
      <c r="I1608" s="27" t="str">
        <f>IF(H1608="","",VLOOKUP(H1608,'#状态名词'!$A$2:$C$99,2))</f>
        <v>ap_per</v>
      </c>
      <c r="J1608" s="27" t="str">
        <f>IF(H1608="","",VLOOKUP(H1608,'#状态名词'!$A$2:$C$99,3))</f>
        <v>法强百分比</v>
      </c>
      <c r="K1608" s="26" t="s">
        <v>5636</v>
      </c>
    </row>
    <row r="1609" spans="1:12">
      <c r="B1609" s="27" t="s">
        <v>84</v>
      </c>
      <c r="H1609" s="27">
        <v>14</v>
      </c>
      <c r="I1609" s="27" t="str">
        <f>IF(H1609="","",VLOOKUP(H1609,'#状态名词'!$A$2:$C$99,2))</f>
        <v>arm_per</v>
      </c>
      <c r="J1609" s="27" t="str">
        <f>IF(H1609="","",VLOOKUP(H1609,'#状态名词'!$A$2:$C$99,3))</f>
        <v>护甲百分比</v>
      </c>
      <c r="K1609" s="26" t="s">
        <v>5636</v>
      </c>
    </row>
    <row r="1610" spans="1:12">
      <c r="B1610" s="27" t="s">
        <v>84</v>
      </c>
      <c r="H1610" s="27">
        <v>16</v>
      </c>
      <c r="I1610" s="27" t="str">
        <f>IF(H1610="","",VLOOKUP(H1610,'#状态名词'!$A$2:$C$99,2))</f>
        <v>mr_per</v>
      </c>
      <c r="J1610" s="27" t="str">
        <f>IF(H1610="","",VLOOKUP(H1610,'#状态名词'!$A$2:$C$99,3))</f>
        <v>魔抗百分比</v>
      </c>
      <c r="K1610" s="26" t="s">
        <v>5636</v>
      </c>
    </row>
    <row r="1611" spans="1:12">
      <c r="A1611" s="27">
        <v>70013</v>
      </c>
      <c r="B1611" s="27" t="s">
        <v>5141</v>
      </c>
      <c r="C1611" s="27" t="s">
        <v>2078</v>
      </c>
      <c r="E1611" s="27">
        <v>-1</v>
      </c>
      <c r="F1611" s="27">
        <v>-1</v>
      </c>
      <c r="H1611" s="27">
        <v>54</v>
      </c>
      <c r="I1611" s="27" t="str">
        <f>IF(H1611="","",VLOOKUP(H1611,'#状态名词'!$A$2:$C$99,2))</f>
        <v>spi</v>
      </c>
      <c r="J1611" s="27" t="str">
        <f>IF(H1611="","",VLOOKUP(H1611,'#状态名词'!$A$2:$C$99,3))</f>
        <v>精神</v>
      </c>
      <c r="K1611" s="26" t="s">
        <v>5585</v>
      </c>
    </row>
    <row r="1612" spans="1:12">
      <c r="B1612" s="27" t="s">
        <v>84</v>
      </c>
      <c r="H1612" s="27">
        <v>58</v>
      </c>
      <c r="I1612" s="27" t="str">
        <f>IF(H1612="","",VLOOKUP(H1612,'#状态名词'!$A$2:$C$99,2))</f>
        <v>vit</v>
      </c>
      <c r="J1612" s="27" t="str">
        <f>IF(H1612="","",VLOOKUP(H1612,'#状态名词'!$A$2:$C$99,3))</f>
        <v>体力</v>
      </c>
      <c r="K1612" s="26" t="s">
        <v>5585</v>
      </c>
    </row>
    <row r="1613" spans="1:12">
      <c r="A1613" s="27">
        <v>70014</v>
      </c>
      <c r="B1613" s="27" t="s">
        <v>5142</v>
      </c>
      <c r="C1613" s="27" t="s">
        <v>5637</v>
      </c>
      <c r="E1613" s="27">
        <v>-1</v>
      </c>
      <c r="F1613" s="27">
        <v>-1</v>
      </c>
      <c r="H1613" s="27">
        <v>19</v>
      </c>
      <c r="I1613" s="27" t="str">
        <f>IF(H1613="","",VLOOKUP(H1613,'#状态名词'!$A$2:$C$99,2))</f>
        <v>rating</v>
      </c>
      <c r="J1613" s="27" t="str">
        <f>IF(H1613="","",VLOOKUP(H1613,'#状态名词'!$A$2:$C$99,3))</f>
        <v>暴击+</v>
      </c>
      <c r="K1613" s="26" t="s">
        <v>5638</v>
      </c>
    </row>
    <row r="1614" spans="1:12">
      <c r="A1614" s="27">
        <v>70015</v>
      </c>
      <c r="B1614" s="27" t="s">
        <v>5144</v>
      </c>
      <c r="C1614" s="27" t="s">
        <v>5145</v>
      </c>
      <c r="E1614" s="27">
        <v>-1</v>
      </c>
      <c r="F1614" s="27">
        <v>-1</v>
      </c>
      <c r="H1614" s="27">
        <v>14</v>
      </c>
      <c r="I1614" s="27" t="str">
        <f>IF(H1614="","",VLOOKUP(H1614,'#状态名词'!$A$2:$C$99,2))</f>
        <v>arm_per</v>
      </c>
      <c r="J1614" s="27" t="str">
        <f>IF(H1614="","",VLOOKUP(H1614,'#状态名词'!$A$2:$C$99,3))</f>
        <v>护甲百分比</v>
      </c>
      <c r="K1614" s="26" t="s">
        <v>5639</v>
      </c>
    </row>
    <row r="1615" spans="1:12">
      <c r="A1615" s="27">
        <v>70016</v>
      </c>
      <c r="B1615" s="27" t="s">
        <v>5146</v>
      </c>
      <c r="C1615" s="27" t="s">
        <v>5147</v>
      </c>
      <c r="E1615" s="27">
        <v>-1</v>
      </c>
      <c r="F1615" s="27">
        <v>-1</v>
      </c>
      <c r="H1615" s="27">
        <v>16</v>
      </c>
      <c r="I1615" s="27" t="str">
        <f>IF(H1615="","",VLOOKUP(H1615,'#状态名词'!$A$2:$C$99,2))</f>
        <v>mr_per</v>
      </c>
      <c r="J1615" s="27" t="str">
        <f>IF(H1615="","",VLOOKUP(H1615,'#状态名词'!$A$2:$C$99,3))</f>
        <v>魔抗百分比</v>
      </c>
      <c r="K1615" s="26" t="s">
        <v>5639</v>
      </c>
    </row>
    <row r="1616" spans="1:12">
      <c r="A1616" s="27">
        <v>70017</v>
      </c>
      <c r="B1616" s="27" t="s">
        <v>5148</v>
      </c>
      <c r="C1616" s="27" t="s">
        <v>5640</v>
      </c>
      <c r="E1616" s="27">
        <v>-1</v>
      </c>
      <c r="F1616" s="27">
        <v>-1</v>
      </c>
      <c r="H1616" s="27">
        <v>12</v>
      </c>
      <c r="I1616" s="27" t="str">
        <f>IF(H1616="","",VLOOKUP(H1616,'#状态名词'!$A$2:$C$99,2))</f>
        <v>ap_per</v>
      </c>
      <c r="J1616" s="27" t="str">
        <f>IF(H1616="","",VLOOKUP(H1616,'#状态名词'!$A$2:$C$99,3))</f>
        <v>法强百分比</v>
      </c>
      <c r="K1616" s="26" t="s">
        <v>5639</v>
      </c>
    </row>
    <row r="1617" spans="1:11">
      <c r="A1617" s="27">
        <v>70018</v>
      </c>
      <c r="B1617" s="27" t="s">
        <v>5150</v>
      </c>
      <c r="C1617" s="27" t="s">
        <v>5641</v>
      </c>
      <c r="E1617" s="27">
        <v>-1</v>
      </c>
      <c r="F1617" s="27">
        <v>-1</v>
      </c>
      <c r="H1617" s="27">
        <v>58</v>
      </c>
      <c r="I1617" s="27" t="str">
        <f>IF(H1617="","",VLOOKUP(H1617,'#状态名词'!$A$2:$C$99,2))</f>
        <v>vit</v>
      </c>
      <c r="J1617" s="27" t="str">
        <f>IF(H1617="","",VLOOKUP(H1617,'#状态名词'!$A$2:$C$99,3))</f>
        <v>体力</v>
      </c>
      <c r="K1617" s="26" t="s">
        <v>5642</v>
      </c>
    </row>
    <row r="1618" spans="1:11">
      <c r="B1618" s="27" t="s">
        <v>84</v>
      </c>
      <c r="H1618" s="27">
        <v>10</v>
      </c>
      <c r="I1618" s="27" t="str">
        <f>IF(H1618="","",VLOOKUP(H1618,'#状态名词'!$A$2:$C$99,2))</f>
        <v>ad_per</v>
      </c>
      <c r="J1618" s="27" t="str">
        <f>IF(H1618="","",VLOOKUP(H1618,'#状态名词'!$A$2:$C$99,3))</f>
        <v>攻击百分比</v>
      </c>
      <c r="K1618" s="26" t="s">
        <v>5639</v>
      </c>
    </row>
    <row r="1619" spans="1:11">
      <c r="B1619" s="27" t="s">
        <v>84</v>
      </c>
      <c r="H1619" s="27">
        <v>12</v>
      </c>
      <c r="I1619" s="27" t="str">
        <f>IF(H1619="","",VLOOKUP(H1619,'#状态名词'!$A$2:$C$99,2))</f>
        <v>ap_per</v>
      </c>
      <c r="J1619" s="27" t="str">
        <f>IF(H1619="","",VLOOKUP(H1619,'#状态名词'!$A$2:$C$99,3))</f>
        <v>法强百分比</v>
      </c>
      <c r="K1619" s="26" t="s">
        <v>5639</v>
      </c>
    </row>
    <row r="1620" spans="1:11">
      <c r="B1620" s="27" t="s">
        <v>84</v>
      </c>
      <c r="H1620" s="27">
        <v>14</v>
      </c>
      <c r="I1620" s="27" t="str">
        <f>IF(H1620="","",VLOOKUP(H1620,'#状态名词'!$A$2:$C$99,2))</f>
        <v>arm_per</v>
      </c>
      <c r="J1620" s="27" t="str">
        <f>IF(H1620="","",VLOOKUP(H1620,'#状态名词'!$A$2:$C$99,3))</f>
        <v>护甲百分比</v>
      </c>
      <c r="K1620" s="26" t="s">
        <v>5639</v>
      </c>
    </row>
    <row r="1621" spans="1:11">
      <c r="B1621" s="27" t="s">
        <v>84</v>
      </c>
      <c r="H1621" s="27">
        <v>16</v>
      </c>
      <c r="I1621" s="27" t="str">
        <f>IF(H1621="","",VLOOKUP(H1621,'#状态名词'!$A$2:$C$99,2))</f>
        <v>mr_per</v>
      </c>
      <c r="J1621" s="27" t="str">
        <f>IF(H1621="","",VLOOKUP(H1621,'#状态名词'!$A$2:$C$99,3))</f>
        <v>魔抗百分比</v>
      </c>
      <c r="K1621" s="26" t="s">
        <v>5639</v>
      </c>
    </row>
    <row r="1622" spans="1:11">
      <c r="B1622" s="27" t="s">
        <v>84</v>
      </c>
      <c r="H1622" s="27">
        <v>19</v>
      </c>
      <c r="I1622" s="27" t="str">
        <f>IF(H1622="","",VLOOKUP(H1622,'#状态名词'!$A$2:$C$99,2))</f>
        <v>rating</v>
      </c>
      <c r="J1622" s="27" t="str">
        <f>IF(H1622="","",VLOOKUP(H1622,'#状态名词'!$A$2:$C$99,3))</f>
        <v>暴击+</v>
      </c>
      <c r="K1622" s="26" t="s">
        <v>5642</v>
      </c>
    </row>
    <row r="1623" spans="1:11">
      <c r="B1623" s="27" t="s">
        <v>84</v>
      </c>
      <c r="H1623" s="27">
        <v>21</v>
      </c>
      <c r="I1623" s="27" t="str">
        <f>IF(H1623="","",VLOOKUP(H1623,'#状态名词'!$A$2:$C$99,2))</f>
        <v>speed</v>
      </c>
      <c r="J1623" s="27" t="str">
        <f>IF(H1623="","",VLOOKUP(H1623,'#状态名词'!$A$2:$C$99,3))</f>
        <v>速度+</v>
      </c>
      <c r="K1623" s="26" t="s">
        <v>5642</v>
      </c>
    </row>
    <row r="1624" spans="1:11">
      <c r="A1624" s="27">
        <v>70019</v>
      </c>
      <c r="B1624" s="27" t="s">
        <v>5163</v>
      </c>
      <c r="C1624" s="27" t="s">
        <v>5164</v>
      </c>
      <c r="E1624" s="27">
        <v>1</v>
      </c>
      <c r="F1624" s="27">
        <v>0</v>
      </c>
      <c r="H1624" s="27">
        <v>1</v>
      </c>
      <c r="I1624" s="27" t="str">
        <f>IF(H1624="","",VLOOKUP(H1624,'#状态名词'!$A$2:$C$99,2))</f>
        <v>skilldama</v>
      </c>
      <c r="J1624" s="27" t="str">
        <f>IF(H1624="","",VLOOKUP(H1624,'#状态名词'!$A$2:$C$99,3))</f>
        <v>技能伤害和治疗效果提升B类</v>
      </c>
      <c r="K1624" s="26" t="s">
        <v>5643</v>
      </c>
    </row>
    <row r="1625" spans="1:11">
      <c r="A1625" s="27">
        <v>70020</v>
      </c>
      <c r="B1625" s="27" t="s">
        <v>630</v>
      </c>
      <c r="C1625" s="27" t="s">
        <v>5644</v>
      </c>
      <c r="E1625" s="27">
        <v>-1</v>
      </c>
      <c r="F1625" s="27">
        <v>-1</v>
      </c>
      <c r="H1625" s="27">
        <v>19</v>
      </c>
      <c r="I1625" s="27" t="str">
        <f>IF(H1625="","",VLOOKUP(H1625,'#状态名词'!$A$2:$C$99,2))</f>
        <v>rating</v>
      </c>
      <c r="J1625" s="27" t="str">
        <f>IF(H1625="","",VLOOKUP(H1625,'#状态名词'!$A$2:$C$99,3))</f>
        <v>暴击+</v>
      </c>
      <c r="K1625" s="26">
        <v>10000</v>
      </c>
    </row>
    <row r="1626" spans="1:11">
      <c r="A1626" s="27">
        <v>100000</v>
      </c>
      <c r="B1626" s="27" t="s">
        <v>5165</v>
      </c>
      <c r="C1626" s="27" t="s">
        <v>5166</v>
      </c>
      <c r="E1626" s="27">
        <v>-1</v>
      </c>
      <c r="F1626" s="27">
        <v>-1</v>
      </c>
      <c r="H1626" s="27">
        <v>7</v>
      </c>
      <c r="I1626" s="27" t="str">
        <f>IF(H1626="","",VLOOKUP(H1626,'#状态名词'!$A$2:$C$99,2))</f>
        <v>pvpjs_per</v>
      </c>
      <c r="J1626" s="27" t="str">
        <f>IF(H1626="","",VLOOKUP(H1626,'#状态名词'!$A$2:$C$99,3))</f>
        <v>pvp减伤</v>
      </c>
      <c r="K1626" s="26" t="s">
        <v>9056</v>
      </c>
    </row>
    <row r="1627" spans="1:11">
      <c r="A1627" s="27">
        <v>100001</v>
      </c>
      <c r="B1627" s="27" t="s">
        <v>5172</v>
      </c>
      <c r="C1627" s="27" t="s">
        <v>5645</v>
      </c>
      <c r="E1627" s="27">
        <v>1</v>
      </c>
      <c r="F1627" s="27">
        <v>-1</v>
      </c>
      <c r="H1627" s="27">
        <v>42</v>
      </c>
      <c r="I1627" s="27" t="str">
        <f>IF(H1627="","",VLOOKUP(H1627,'#状态名词'!$A$2:$C$99,2))</f>
        <v>turn_heal</v>
      </c>
      <c r="J1627" s="27" t="str">
        <f>IF(H1627="","",VLOOKUP(H1627,'#状态名词'!$A$2:$C$99,3))</f>
        <v>回合回复</v>
      </c>
      <c r="K1627" s="26" t="s">
        <v>5646</v>
      </c>
    </row>
    <row r="1628" spans="1:11">
      <c r="A1628" s="27">
        <v>100002</v>
      </c>
      <c r="B1628" s="27" t="s">
        <v>5177</v>
      </c>
      <c r="C1628" s="27" t="s">
        <v>5647</v>
      </c>
      <c r="E1628" s="27">
        <v>-1</v>
      </c>
      <c r="F1628" s="27">
        <v>10</v>
      </c>
      <c r="H1628" s="27">
        <v>43</v>
      </c>
      <c r="I1628" s="27" t="str">
        <f>IF(H1628="","",VLOOKUP(H1628,'#状态名词'!$A$2:$C$99,2))</f>
        <v>turn_damage</v>
      </c>
      <c r="J1628" s="27" t="str">
        <f>IF(H1628="","",VLOOKUP(H1628,'#状态名词'!$A$2:$C$99,3))</f>
        <v>回合伤害</v>
      </c>
      <c r="K1628" s="26" t="s">
        <v>5648</v>
      </c>
    </row>
    <row r="1629" spans="1:11">
      <c r="A1629" s="27">
        <v>100003</v>
      </c>
      <c r="B1629" s="27" t="s">
        <v>725</v>
      </c>
      <c r="C1629" s="27" t="s">
        <v>5649</v>
      </c>
      <c r="E1629" s="27">
        <v>1</v>
      </c>
      <c r="F1629" s="27">
        <v>-1</v>
      </c>
      <c r="H1629" s="27">
        <v>44</v>
      </c>
      <c r="I1629" s="27" t="str">
        <f>IF(H1629="","",VLOOKUP(H1629,'#状态名词'!$A$2:$C$99,2))</f>
        <v>dotup</v>
      </c>
      <c r="J1629" s="27" t="str">
        <f>IF(H1629="","",VLOOKUP(H1629,'#状态名词'!$A$2:$C$99,3))</f>
        <v>持续伤害强化</v>
      </c>
      <c r="K1629" s="26">
        <v>400</v>
      </c>
    </row>
    <row r="1630" spans="1:11">
      <c r="A1630" s="27">
        <v>100004</v>
      </c>
      <c r="B1630" s="27" t="s">
        <v>5181</v>
      </c>
      <c r="C1630" s="27" t="s">
        <v>5650</v>
      </c>
      <c r="E1630" s="27">
        <v>1</v>
      </c>
      <c r="F1630" s="27">
        <v>0</v>
      </c>
      <c r="H1630" s="27">
        <v>37</v>
      </c>
      <c r="I1630" s="27" t="str">
        <f>IF(H1630="","",VLOOKUP(H1630,'#状态名词'!$A$2:$C$99,2))</f>
        <v>action_hurt</v>
      </c>
      <c r="J1630" s="27" t="str">
        <f>IF(H1630="","",VLOOKUP(H1630,'#状态名词'!$A$2:$C$99,3))</f>
        <v>行动时自身受到伤害</v>
      </c>
      <c r="K1630" s="26" t="s">
        <v>5651</v>
      </c>
    </row>
    <row r="1631" spans="1:11">
      <c r="A1631" s="27">
        <v>100005</v>
      </c>
      <c r="B1631" s="27" t="s">
        <v>5183</v>
      </c>
      <c r="C1631" s="27" t="s">
        <v>2103</v>
      </c>
      <c r="E1631" s="27">
        <v>1</v>
      </c>
      <c r="F1631" s="27">
        <v>-1</v>
      </c>
      <c r="H1631" s="27">
        <v>2</v>
      </c>
      <c r="I1631" s="27" t="str">
        <f>IF(H1631="","",VLOOKUP(H1631,'#状态名词'!$A$2:$C$99,2))</f>
        <v>damaup</v>
      </c>
      <c r="J1631" s="27" t="str">
        <f>IF(H1631="","",VLOOKUP(H1631,'#状态名词'!$A$2:$C$99,3))</f>
        <v>伤害提升A类增伤</v>
      </c>
      <c r="K1631" s="26">
        <v>50</v>
      </c>
    </row>
    <row r="1632" spans="1:11">
      <c r="B1632" s="27" t="s">
        <v>84</v>
      </c>
      <c r="E1632" s="27">
        <v>1</v>
      </c>
      <c r="F1632" s="27">
        <v>-1</v>
      </c>
      <c r="H1632" s="27">
        <v>54</v>
      </c>
      <c r="I1632" s="27" t="str">
        <f>IF(H1632="","",VLOOKUP(H1632,'#状态名词'!$A$2:$C$99,2))</f>
        <v>spi</v>
      </c>
      <c r="J1632" s="27" t="str">
        <f>IF(H1632="","",VLOOKUP(H1632,'#状态名词'!$A$2:$C$99,3))</f>
        <v>精神</v>
      </c>
      <c r="K1632" s="26">
        <v>-150</v>
      </c>
    </row>
    <row r="1633" spans="1:11">
      <c r="A1633" s="27">
        <v>100006</v>
      </c>
      <c r="B1633" s="27" t="s">
        <v>5189</v>
      </c>
      <c r="C1633" s="27" t="s">
        <v>2104</v>
      </c>
      <c r="E1633" s="27">
        <v>-1</v>
      </c>
      <c r="F1633" s="27">
        <v>0</v>
      </c>
      <c r="H1633" s="27">
        <v>54</v>
      </c>
      <c r="I1633" s="27" t="str">
        <f>IF(H1633="","",VLOOKUP(H1633,'#状态名词'!$A$2:$C$99,2))</f>
        <v>spi</v>
      </c>
      <c r="J1633" s="27" t="str">
        <f>IF(H1633="","",VLOOKUP(H1633,'#状态名词'!$A$2:$C$99,3))</f>
        <v>精神</v>
      </c>
      <c r="K1633" s="26">
        <v>-80</v>
      </c>
    </row>
    <row r="1634" spans="1:11">
      <c r="A1634" s="27">
        <v>100007</v>
      </c>
      <c r="B1634" s="27" t="s">
        <v>5190</v>
      </c>
      <c r="C1634" s="27" t="s">
        <v>5652</v>
      </c>
      <c r="E1634" s="27">
        <v>-1</v>
      </c>
      <c r="F1634" s="27">
        <v>-1</v>
      </c>
      <c r="H1634" s="27">
        <v>21</v>
      </c>
      <c r="I1634" s="27" t="str">
        <f>IF(H1634="","",VLOOKUP(H1634,'#状态名词'!$A$2:$C$99,2))</f>
        <v>speed</v>
      </c>
      <c r="J1634" s="27" t="str">
        <f>IF(H1634="","",VLOOKUP(H1634,'#状态名词'!$A$2:$C$99,3))</f>
        <v>速度+</v>
      </c>
      <c r="K1634" s="26">
        <v>500</v>
      </c>
    </row>
    <row r="1635" spans="1:11">
      <c r="A1635" s="27">
        <v>100008</v>
      </c>
      <c r="B1635" s="27" t="s">
        <v>5192</v>
      </c>
      <c r="C1635" s="27" t="s">
        <v>5644</v>
      </c>
      <c r="E1635" s="27">
        <v>1</v>
      </c>
      <c r="F1635" s="27">
        <v>0</v>
      </c>
      <c r="H1635" s="27">
        <v>19</v>
      </c>
      <c r="I1635" s="27" t="str">
        <f>IF(H1635="","",VLOOKUP(H1635,'#状态名词'!$A$2:$C$99,2))</f>
        <v>rating</v>
      </c>
      <c r="J1635" s="27" t="str">
        <f>IF(H1635="","",VLOOKUP(H1635,'#状态名词'!$A$2:$C$99,3))</f>
        <v>暴击+</v>
      </c>
      <c r="K1635" s="26">
        <v>10000</v>
      </c>
    </row>
    <row r="1636" spans="1:11">
      <c r="A1636" s="27">
        <v>100010</v>
      </c>
      <c r="B1636" s="27" t="s">
        <v>726</v>
      </c>
      <c r="C1636" s="27" t="s">
        <v>727</v>
      </c>
      <c r="E1636" s="27">
        <v>-1</v>
      </c>
      <c r="F1636" s="27">
        <v>-1</v>
      </c>
      <c r="I1636" s="27" t="str">
        <f>IF(H1636="","",VLOOKUP(H1636,'#状态名词'!$A$2:$C$99,2))</f>
        <v/>
      </c>
      <c r="J1636" s="27" t="str">
        <f>IF(H1636="","",VLOOKUP(H1636,'#状态名词'!$A$2:$C$99,3))</f>
        <v/>
      </c>
    </row>
    <row r="1637" spans="1:11">
      <c r="A1637" s="27">
        <v>100011</v>
      </c>
      <c r="B1637" s="27" t="s">
        <v>5199</v>
      </c>
      <c r="C1637" s="27" t="s">
        <v>5653</v>
      </c>
      <c r="E1637" s="27">
        <v>-1</v>
      </c>
      <c r="F1637" s="27">
        <v>-1</v>
      </c>
      <c r="H1637" s="27">
        <v>20</v>
      </c>
      <c r="I1637" s="27" t="str">
        <f>IF(H1637="","",VLOOKUP(H1637,'#状态名词'!$A$2:$C$99,2))</f>
        <v>ratingdamage</v>
      </c>
      <c r="J1637" s="27" t="str">
        <f>IF(H1637="","",VLOOKUP(H1637,'#状态名词'!$A$2:$C$99,3))</f>
        <v>暴伤+</v>
      </c>
      <c r="K1637" s="26">
        <v>10000</v>
      </c>
    </row>
    <row r="1638" spans="1:11">
      <c r="A1638" s="27">
        <v>100012</v>
      </c>
      <c r="B1638" s="27" t="s">
        <v>5201</v>
      </c>
      <c r="C1638" s="27" t="s">
        <v>5654</v>
      </c>
      <c r="E1638" s="27">
        <v>-1</v>
      </c>
      <c r="F1638" s="27">
        <v>-1</v>
      </c>
      <c r="H1638" s="27">
        <v>20</v>
      </c>
      <c r="I1638" s="27" t="str">
        <f>IF(H1638="","",VLOOKUP(H1638,'#状态名词'!$A$2:$C$99,2))</f>
        <v>ratingdamage</v>
      </c>
      <c r="J1638" s="27" t="str">
        <f>IF(H1638="","",VLOOKUP(H1638,'#状态名词'!$A$2:$C$99,3))</f>
        <v>暴伤+</v>
      </c>
      <c r="K1638" s="26">
        <v>4000</v>
      </c>
    </row>
    <row r="1639" spans="1:11">
      <c r="A1639" s="27">
        <v>100013</v>
      </c>
      <c r="B1639" s="27" t="s">
        <v>5203</v>
      </c>
      <c r="C1639" s="27" t="s">
        <v>5655</v>
      </c>
      <c r="E1639" s="27">
        <v>-1</v>
      </c>
      <c r="F1639" s="27">
        <v>-1</v>
      </c>
      <c r="H1639" s="27">
        <v>2</v>
      </c>
      <c r="I1639" s="27" t="str">
        <f>IF(H1639="","",VLOOKUP(H1639,'#状态名词'!$A$2:$C$99,2))</f>
        <v>damaup</v>
      </c>
      <c r="J1639" s="27" t="str">
        <f>IF(H1639="","",VLOOKUP(H1639,'#状态名词'!$A$2:$C$99,3))</f>
        <v>伤害提升A类增伤</v>
      </c>
      <c r="K1639" s="26">
        <v>150</v>
      </c>
    </row>
    <row r="1640" spans="1:11">
      <c r="A1640" s="27">
        <v>100014</v>
      </c>
      <c r="B1640" s="27" t="s">
        <v>4146</v>
      </c>
      <c r="C1640" s="27" t="s">
        <v>5656</v>
      </c>
      <c r="E1640" s="27">
        <v>1</v>
      </c>
      <c r="F1640" s="27">
        <v>-1</v>
      </c>
      <c r="H1640" s="27">
        <v>13</v>
      </c>
      <c r="I1640" s="27" t="str">
        <f>IF(H1640="","",VLOOKUP(H1640,'#状态名词'!$A$2:$C$99,2))</f>
        <v>arm</v>
      </c>
      <c r="J1640" s="27" t="str">
        <f>IF(H1640="","",VLOOKUP(H1640,'#状态名词'!$A$2:$C$99,3))</f>
        <v>ARM+</v>
      </c>
      <c r="K1640" s="26">
        <v>10000</v>
      </c>
    </row>
    <row r="1641" spans="1:11">
      <c r="B1641" s="27" t="s">
        <v>84</v>
      </c>
      <c r="E1641" s="27">
        <v>1</v>
      </c>
      <c r="F1641" s="27">
        <v>-1</v>
      </c>
      <c r="H1641" s="27">
        <v>15</v>
      </c>
      <c r="I1641" s="27" t="str">
        <f>IF(H1641="","",VLOOKUP(H1641,'#状态名词'!$A$2:$C$99,2))</f>
        <v>mr</v>
      </c>
      <c r="J1641" s="27" t="str">
        <f>IF(H1641="","",VLOOKUP(H1641,'#状态名词'!$A$2:$C$99,3))</f>
        <v>MR+</v>
      </c>
      <c r="K1641" s="26">
        <v>10000</v>
      </c>
    </row>
    <row r="1642" spans="1:11">
      <c r="A1642" s="27">
        <v>100015</v>
      </c>
      <c r="B1642" s="27" t="s">
        <v>5215</v>
      </c>
      <c r="C1642" s="27" t="s">
        <v>5657</v>
      </c>
      <c r="E1642" s="27">
        <v>1</v>
      </c>
      <c r="F1642" s="27">
        <v>3</v>
      </c>
      <c r="H1642" s="27">
        <v>24</v>
      </c>
      <c r="I1642" s="27" t="str">
        <f>IF(H1642="","",VLOOKUP(H1642,'#状态名词'!$A$2:$C$99,2))</f>
        <v>heal</v>
      </c>
      <c r="J1642" s="27" t="str">
        <f>IF(H1642="","",VLOOKUP(H1642,'#状态名词'!$A$2:$C$99,3))</f>
        <v>治疗效果+</v>
      </c>
      <c r="K1642" s="26">
        <v>-4000</v>
      </c>
    </row>
    <row r="1643" spans="1:11">
      <c r="A1643" s="27">
        <v>100016</v>
      </c>
      <c r="B1643" s="27" t="s">
        <v>5220</v>
      </c>
      <c r="C1643" s="27" t="s">
        <v>5658</v>
      </c>
      <c r="E1643" s="27">
        <v>1</v>
      </c>
      <c r="F1643" s="27">
        <v>3</v>
      </c>
      <c r="H1643" s="27">
        <v>24</v>
      </c>
      <c r="I1643" s="27" t="str">
        <f>IF(H1643="","",VLOOKUP(H1643,'#状态名词'!$A$2:$C$99,2))</f>
        <v>heal</v>
      </c>
      <c r="J1643" s="27" t="str">
        <f>IF(H1643="","",VLOOKUP(H1643,'#状态名词'!$A$2:$C$99,3))</f>
        <v>治疗效果+</v>
      </c>
      <c r="K1643" s="26">
        <v>-7500</v>
      </c>
    </row>
    <row r="1644" spans="1:11">
      <c r="A1644" s="27">
        <v>100017</v>
      </c>
      <c r="B1644" s="27" t="s">
        <v>5223</v>
      </c>
      <c r="C1644" s="27" t="s">
        <v>2105</v>
      </c>
      <c r="E1644" s="27">
        <v>1</v>
      </c>
      <c r="F1644" s="27">
        <v>0</v>
      </c>
      <c r="H1644" s="27">
        <v>2</v>
      </c>
      <c r="I1644" s="27" t="str">
        <f>IF(H1644="","",VLOOKUP(H1644,'#状态名词'!$A$2:$C$99,2))</f>
        <v>damaup</v>
      </c>
      <c r="J1644" s="27" t="str">
        <f>IF(H1644="","",VLOOKUP(H1644,'#状态名词'!$A$2:$C$99,3))</f>
        <v>伤害提升A类增伤</v>
      </c>
      <c r="K1644" s="26">
        <v>-20</v>
      </c>
    </row>
    <row r="1645" spans="1:11">
      <c r="B1645" s="27" t="s">
        <v>84</v>
      </c>
      <c r="E1645" s="27">
        <v>1</v>
      </c>
      <c r="F1645" s="27">
        <v>0</v>
      </c>
      <c r="H1645" s="27">
        <v>54</v>
      </c>
      <c r="I1645" s="27" t="str">
        <f>IF(H1645="","",VLOOKUP(H1645,'#状态名词'!$A$2:$C$99,2))</f>
        <v>spi</v>
      </c>
      <c r="J1645" s="27" t="str">
        <f>IF(H1645="","",VLOOKUP(H1645,'#状态名词'!$A$2:$C$99,3))</f>
        <v>精神</v>
      </c>
      <c r="K1645" s="26">
        <v>250</v>
      </c>
    </row>
    <row r="1646" spans="1:11">
      <c r="A1646" s="27">
        <v>100018</v>
      </c>
      <c r="B1646" s="27" t="s">
        <v>4086</v>
      </c>
      <c r="C1646" s="27" t="s">
        <v>2106</v>
      </c>
      <c r="E1646" s="27">
        <v>1</v>
      </c>
      <c r="F1646" s="27">
        <v>0</v>
      </c>
      <c r="H1646" s="27">
        <v>2</v>
      </c>
      <c r="I1646" s="27" t="str">
        <f>IF(H1646="","",VLOOKUP(H1646,'#状态名词'!$A$2:$C$99,2))</f>
        <v>damaup</v>
      </c>
      <c r="J1646" s="27" t="str">
        <f>IF(H1646="","",VLOOKUP(H1646,'#状态名词'!$A$2:$C$99,3))</f>
        <v>伤害提升A类增伤</v>
      </c>
      <c r="K1646" s="26">
        <v>50</v>
      </c>
    </row>
    <row r="1647" spans="1:11">
      <c r="B1647" s="27" t="s">
        <v>84</v>
      </c>
      <c r="E1647" s="27">
        <v>1</v>
      </c>
      <c r="F1647" s="27">
        <v>0</v>
      </c>
      <c r="H1647" s="27">
        <v>54</v>
      </c>
      <c r="I1647" s="27" t="str">
        <f>IF(H1647="","",VLOOKUP(H1647,'#状态名词'!$A$2:$C$99,2))</f>
        <v>spi</v>
      </c>
      <c r="J1647" s="27" t="str">
        <f>IF(H1647="","",VLOOKUP(H1647,'#状态名词'!$A$2:$C$99,3))</f>
        <v>精神</v>
      </c>
      <c r="K1647" s="26">
        <v>-300</v>
      </c>
    </row>
    <row r="1648" spans="1:11">
      <c r="A1648" s="27">
        <v>100019</v>
      </c>
      <c r="B1648" s="27" t="s">
        <v>5224</v>
      </c>
      <c r="C1648" s="27" t="s">
        <v>5659</v>
      </c>
      <c r="E1648" s="27">
        <v>1</v>
      </c>
      <c r="F1648" s="27">
        <v>-1</v>
      </c>
      <c r="H1648" s="27">
        <v>36</v>
      </c>
      <c r="I1648" s="27" t="str">
        <f>IF(H1648="","",VLOOKUP(H1648,'#状态名词'!$A$2:$C$99,2))</f>
        <v>atk_damage</v>
      </c>
      <c r="J1648" s="27" t="str">
        <f>IF(H1648="","",VLOOKUP(H1648,'#状态名词'!$A$2:$C$99,3))</f>
        <v>攻击附加伤害</v>
      </c>
      <c r="K1648" s="26" t="s">
        <v>5660</v>
      </c>
    </row>
    <row r="1649" spans="1:12">
      <c r="A1649" s="27">
        <v>100020</v>
      </c>
      <c r="B1649" s="27">
        <v>0</v>
      </c>
      <c r="C1649" s="27" t="s">
        <v>5661</v>
      </c>
      <c r="E1649" s="27">
        <v>1</v>
      </c>
      <c r="F1649" s="27">
        <v>-1</v>
      </c>
      <c r="H1649" s="27">
        <v>54</v>
      </c>
      <c r="I1649" s="27" t="str">
        <f>IF(H1649="","",VLOOKUP(H1649,'#状态名词'!$A$2:$C$99,2))</f>
        <v>spi</v>
      </c>
      <c r="J1649" s="27" t="str">
        <f>IF(H1649="","",VLOOKUP(H1649,'#状态名词'!$A$2:$C$99,3))</f>
        <v>精神</v>
      </c>
      <c r="K1649" s="26">
        <v>500</v>
      </c>
    </row>
    <row r="1650" spans="1:12">
      <c r="B1650" s="27" t="s">
        <v>84</v>
      </c>
      <c r="E1650" s="27">
        <v>1</v>
      </c>
      <c r="F1650" s="27">
        <v>-1</v>
      </c>
      <c r="H1650" s="27">
        <v>44</v>
      </c>
      <c r="I1650" s="27" t="str">
        <f>IF(H1650="","",VLOOKUP(H1650,'#状态名词'!$A$2:$C$99,2))</f>
        <v>dotup</v>
      </c>
      <c r="J1650" s="27" t="str">
        <f>IF(H1650="","",VLOOKUP(H1650,'#状态名词'!$A$2:$C$99,3))</f>
        <v>持续伤害强化</v>
      </c>
      <c r="K1650" s="26">
        <v>400</v>
      </c>
    </row>
    <row r="1651" spans="1:12">
      <c r="A1651" s="27">
        <v>100021</v>
      </c>
      <c r="B1651" s="27" t="s">
        <v>5167</v>
      </c>
      <c r="C1651" s="27" t="s">
        <v>4541</v>
      </c>
      <c r="E1651" s="27">
        <v>-1</v>
      </c>
      <c r="F1651" s="27">
        <v>-1</v>
      </c>
      <c r="H1651" s="27">
        <v>24</v>
      </c>
      <c r="I1651" s="27" t="str">
        <f>IF(H1651="","",VLOOKUP(H1651,'#状态名词'!$A$2:$C$99,2))</f>
        <v>heal</v>
      </c>
      <c r="J1651" s="27" t="str">
        <f>IF(H1651="","",VLOOKUP(H1651,'#状态名词'!$A$2:$C$99,3))</f>
        <v>治疗效果+</v>
      </c>
      <c r="K1651" s="26">
        <v>200</v>
      </c>
    </row>
    <row r="1652" spans="1:12">
      <c r="A1652" s="27">
        <v>100022</v>
      </c>
      <c r="B1652" s="27" t="s">
        <v>2203</v>
      </c>
      <c r="C1652" s="27" t="s">
        <v>4524</v>
      </c>
      <c r="E1652" s="27">
        <v>-1</v>
      </c>
      <c r="F1652" s="27">
        <v>-1</v>
      </c>
      <c r="H1652" s="27">
        <v>24</v>
      </c>
      <c r="I1652" s="27" t="str">
        <f>IF(H1652="","",VLOOKUP(H1652,'#状态名词'!$A$2:$C$99,2))</f>
        <v>heal</v>
      </c>
      <c r="J1652" s="27" t="str">
        <f>IF(H1652="","",VLOOKUP(H1652,'#状态名词'!$A$2:$C$99,3))</f>
        <v>治疗效果+</v>
      </c>
      <c r="K1652" s="26">
        <v>300</v>
      </c>
    </row>
    <row r="1653" spans="1:12">
      <c r="A1653" s="27">
        <v>100023</v>
      </c>
      <c r="B1653" s="27" t="s">
        <v>5231</v>
      </c>
      <c r="C1653" s="27" t="s">
        <v>5662</v>
      </c>
      <c r="E1653" s="27">
        <v>1</v>
      </c>
      <c r="F1653" s="27">
        <v>0</v>
      </c>
      <c r="H1653" s="27">
        <v>23</v>
      </c>
      <c r="I1653" s="27" t="str">
        <f>IF(H1653="","",VLOOKUP(H1653,'#状态名词'!$A$2:$C$99,2))</f>
        <v>steal</v>
      </c>
      <c r="J1653" s="27" t="str">
        <f>IF(H1653="","",VLOOKUP(H1653,'#状态名词'!$A$2:$C$99,3))</f>
        <v>生命偷取</v>
      </c>
      <c r="K1653" s="26">
        <v>6000</v>
      </c>
      <c r="L1653" s="27">
        <v>100032</v>
      </c>
    </row>
    <row r="1654" spans="1:12">
      <c r="A1654" s="27">
        <v>100024</v>
      </c>
      <c r="B1654" s="27" t="s">
        <v>5233</v>
      </c>
      <c r="C1654" s="27" t="s">
        <v>2107</v>
      </c>
      <c r="E1654" s="27">
        <v>1</v>
      </c>
      <c r="F1654" s="27">
        <v>-1</v>
      </c>
      <c r="H1654" s="27">
        <v>2</v>
      </c>
      <c r="I1654" s="27" t="str">
        <f>IF(H1654="","",VLOOKUP(H1654,'#状态名词'!$A$2:$C$99,2))</f>
        <v>damaup</v>
      </c>
      <c r="J1654" s="27" t="str">
        <f>IF(H1654="","",VLOOKUP(H1654,'#状态名词'!$A$2:$C$99,3))</f>
        <v>伤害提升A类增伤</v>
      </c>
      <c r="K1654" s="26">
        <v>30</v>
      </c>
    </row>
    <row r="1655" spans="1:12">
      <c r="B1655" s="27" t="s">
        <v>84</v>
      </c>
      <c r="E1655" s="27">
        <v>1</v>
      </c>
      <c r="F1655" s="27">
        <v>-1</v>
      </c>
      <c r="H1655" s="27">
        <v>54</v>
      </c>
      <c r="I1655" s="27" t="str">
        <f>IF(H1655="","",VLOOKUP(H1655,'#状态名词'!$A$2:$C$99,2))</f>
        <v>spi</v>
      </c>
      <c r="J1655" s="27" t="str">
        <f>IF(H1655="","",VLOOKUP(H1655,'#状态名词'!$A$2:$C$99,3))</f>
        <v>精神</v>
      </c>
      <c r="K1655" s="26">
        <v>-300</v>
      </c>
    </row>
    <row r="1656" spans="1:12">
      <c r="A1656" s="27">
        <v>100025</v>
      </c>
      <c r="B1656" s="27" t="s">
        <v>5234</v>
      </c>
      <c r="C1656" s="27" t="s">
        <v>5663</v>
      </c>
      <c r="E1656" s="27">
        <v>1</v>
      </c>
      <c r="F1656" s="27">
        <v>-1</v>
      </c>
      <c r="H1656" s="27">
        <v>54</v>
      </c>
      <c r="I1656" s="27" t="str">
        <f>IF(H1656="","",VLOOKUP(H1656,'#状态名词'!$A$2:$C$99,2))</f>
        <v>spi</v>
      </c>
      <c r="J1656" s="27" t="str">
        <f>IF(H1656="","",VLOOKUP(H1656,'#状态名词'!$A$2:$C$99,3))</f>
        <v>精神</v>
      </c>
      <c r="K1656" s="26">
        <v>400</v>
      </c>
    </row>
    <row r="1657" spans="1:12">
      <c r="A1657" s="27">
        <v>100026</v>
      </c>
      <c r="B1657" s="27" t="s">
        <v>5235</v>
      </c>
      <c r="C1657" s="27" t="s">
        <v>5664</v>
      </c>
      <c r="E1657" s="27">
        <v>-1</v>
      </c>
      <c r="F1657" s="27">
        <v>-1</v>
      </c>
      <c r="H1657" s="27">
        <v>20</v>
      </c>
      <c r="I1657" s="27" t="str">
        <f>IF(H1657="","",VLOOKUP(H1657,'#状态名词'!$A$2:$C$99,2))</f>
        <v>ratingdamage</v>
      </c>
      <c r="J1657" s="27" t="str">
        <f>IF(H1657="","",VLOOKUP(H1657,'#状态名词'!$A$2:$C$99,3))</f>
        <v>暴伤+</v>
      </c>
      <c r="K1657" s="26">
        <v>500</v>
      </c>
    </row>
    <row r="1658" spans="1:12">
      <c r="A1658" s="27">
        <v>100027</v>
      </c>
      <c r="B1658" s="27" t="s">
        <v>5237</v>
      </c>
      <c r="C1658" s="27" t="s">
        <v>5665</v>
      </c>
      <c r="E1658" s="27">
        <v>1</v>
      </c>
      <c r="F1658" s="27">
        <v>-1</v>
      </c>
      <c r="H1658" s="27">
        <v>36</v>
      </c>
      <c r="I1658" s="27" t="str">
        <f>IF(H1658="","",VLOOKUP(H1658,'#状态名词'!$A$2:$C$99,2))</f>
        <v>atk_damage</v>
      </c>
      <c r="J1658" s="27" t="str">
        <f>IF(H1658="","",VLOOKUP(H1658,'#状态名词'!$A$2:$C$99,3))</f>
        <v>攻击附加伤害</v>
      </c>
      <c r="K1658" s="26" t="s">
        <v>5666</v>
      </c>
    </row>
    <row r="1659" spans="1:12">
      <c r="A1659" s="27">
        <v>100028</v>
      </c>
      <c r="B1659" s="27" t="s">
        <v>5239</v>
      </c>
      <c r="C1659" s="27" t="s">
        <v>2108</v>
      </c>
      <c r="E1659" s="27">
        <v>1</v>
      </c>
      <c r="F1659" s="27">
        <v>2</v>
      </c>
      <c r="H1659" s="27">
        <v>54</v>
      </c>
      <c r="I1659" s="27" t="str">
        <f>IF(H1659="","",VLOOKUP(H1659,'#状态名词'!$A$2:$C$99,2))</f>
        <v>spi</v>
      </c>
      <c r="J1659" s="27" t="str">
        <f>IF(H1659="","",VLOOKUP(H1659,'#状态名词'!$A$2:$C$99,3))</f>
        <v>精神</v>
      </c>
      <c r="K1659" s="26">
        <v>-300</v>
      </c>
    </row>
    <row r="1660" spans="1:12">
      <c r="A1660" s="27">
        <v>100029</v>
      </c>
      <c r="B1660" s="27" t="s">
        <v>5241</v>
      </c>
      <c r="C1660" s="27" t="s">
        <v>5667</v>
      </c>
      <c r="E1660" s="27">
        <v>1</v>
      </c>
      <c r="F1660" s="27">
        <v>-1</v>
      </c>
      <c r="H1660" s="27">
        <v>54</v>
      </c>
      <c r="I1660" s="27" t="str">
        <f>IF(H1660="","",VLOOKUP(H1660,'#状态名词'!$A$2:$C$99,2))</f>
        <v>spi</v>
      </c>
      <c r="J1660" s="27" t="str">
        <f>IF(H1660="","",VLOOKUP(H1660,'#状态名词'!$A$2:$C$99,3))</f>
        <v>精神</v>
      </c>
      <c r="K1660" s="26">
        <v>-200</v>
      </c>
    </row>
    <row r="1661" spans="1:12">
      <c r="A1661" s="27">
        <v>100030</v>
      </c>
      <c r="B1661" s="27" t="s">
        <v>5242</v>
      </c>
      <c r="C1661" s="27" t="s">
        <v>5668</v>
      </c>
      <c r="E1661" s="27">
        <v>1</v>
      </c>
      <c r="F1661" s="27">
        <v>-1</v>
      </c>
      <c r="H1661" s="27">
        <v>43</v>
      </c>
      <c r="I1661" s="27" t="str">
        <f>IF(H1661="","",VLOOKUP(H1661,'#状态名词'!$A$2:$C$99,2))</f>
        <v>turn_damage</v>
      </c>
      <c r="J1661" s="27" t="str">
        <f>IF(H1661="","",VLOOKUP(H1661,'#状态名词'!$A$2:$C$99,3))</f>
        <v>回合伤害</v>
      </c>
      <c r="K1661" s="26" t="s">
        <v>5669</v>
      </c>
    </row>
    <row r="1662" spans="1:12">
      <c r="A1662" s="27">
        <v>100031</v>
      </c>
      <c r="B1662" s="27" t="s">
        <v>5244</v>
      </c>
      <c r="C1662" s="27" t="s">
        <v>5670</v>
      </c>
      <c r="E1662" s="27">
        <v>1</v>
      </c>
      <c r="F1662" s="27">
        <v>-1</v>
      </c>
      <c r="H1662" s="27">
        <v>19</v>
      </c>
      <c r="I1662" s="27" t="str">
        <f>IF(H1662="","",VLOOKUP(H1662,'#状态名词'!$A$2:$C$99,2))</f>
        <v>rating</v>
      </c>
      <c r="J1662" s="27" t="str">
        <f>IF(H1662="","",VLOOKUP(H1662,'#状态名词'!$A$2:$C$99,3))</f>
        <v>暴击+</v>
      </c>
      <c r="K1662" s="26">
        <v>7000</v>
      </c>
    </row>
    <row r="1663" spans="1:12">
      <c r="A1663" s="27">
        <v>100032</v>
      </c>
      <c r="B1663" s="27" t="s">
        <v>5246</v>
      </c>
      <c r="C1663" s="27" t="s">
        <v>3827</v>
      </c>
      <c r="E1663" s="27">
        <v>1</v>
      </c>
      <c r="F1663" s="27">
        <v>-1</v>
      </c>
      <c r="H1663" s="27">
        <v>2</v>
      </c>
      <c r="I1663" s="27" t="str">
        <f>IF(H1663="","",VLOOKUP(H1663,'#状态名词'!$A$2:$C$99,2))</f>
        <v>damaup</v>
      </c>
      <c r="J1663" s="27" t="str">
        <f>IF(H1663="","",VLOOKUP(H1663,'#状态名词'!$A$2:$C$99,3))</f>
        <v>伤害提升A类增伤</v>
      </c>
      <c r="K1663" s="26">
        <v>30</v>
      </c>
    </row>
    <row r="1664" spans="1:12">
      <c r="A1664" s="27">
        <v>100033</v>
      </c>
      <c r="B1664" s="27" t="s">
        <v>5255</v>
      </c>
      <c r="C1664" s="27" t="s">
        <v>5671</v>
      </c>
      <c r="E1664" s="27">
        <v>-1</v>
      </c>
      <c r="F1664" s="27">
        <v>10</v>
      </c>
      <c r="H1664" s="27">
        <v>43</v>
      </c>
      <c r="I1664" s="27" t="str">
        <f>IF(H1664="","",VLOOKUP(H1664,'#状态名词'!$A$2:$C$99,2))</f>
        <v>turn_damage</v>
      </c>
      <c r="J1664" s="27" t="str">
        <f>IF(H1664="","",VLOOKUP(H1664,'#状态名词'!$A$2:$C$99,3))</f>
        <v>回合伤害</v>
      </c>
      <c r="K1664" s="26" t="s">
        <v>5672</v>
      </c>
    </row>
    <row r="1665" spans="1:12">
      <c r="A1665" s="27">
        <v>100036</v>
      </c>
      <c r="B1665" s="27" t="s">
        <v>5273</v>
      </c>
      <c r="C1665" s="27" t="s">
        <v>5673</v>
      </c>
      <c r="E1665" s="27">
        <v>1</v>
      </c>
      <c r="F1665" s="27">
        <v>0</v>
      </c>
      <c r="H1665" s="27">
        <v>23</v>
      </c>
      <c r="I1665" s="27" t="str">
        <f>IF(H1665="","",VLOOKUP(H1665,'#状态名词'!$A$2:$C$99,2))</f>
        <v>steal</v>
      </c>
      <c r="J1665" s="27" t="str">
        <f>IF(H1665="","",VLOOKUP(H1665,'#状态名词'!$A$2:$C$99,3))</f>
        <v>生命偷取</v>
      </c>
      <c r="K1665" s="26">
        <v>6000</v>
      </c>
      <c r="L1665" s="27">
        <v>100052</v>
      </c>
    </row>
    <row r="1666" spans="1:12">
      <c r="A1666" s="27">
        <v>100037</v>
      </c>
      <c r="B1666" s="27" t="s">
        <v>5278</v>
      </c>
      <c r="C1666" s="27" t="s">
        <v>2109</v>
      </c>
      <c r="E1666" s="27">
        <v>-1</v>
      </c>
      <c r="F1666" s="27">
        <v>0</v>
      </c>
      <c r="H1666" s="27">
        <v>54</v>
      </c>
      <c r="I1666" s="27" t="str">
        <f>IF(H1666="","",VLOOKUP(H1666,'#状态名词'!$A$2:$C$99,2))</f>
        <v>spi</v>
      </c>
      <c r="J1666" s="27" t="str">
        <f>IF(H1666="","",VLOOKUP(H1666,'#状态名词'!$A$2:$C$99,3))</f>
        <v>精神</v>
      </c>
      <c r="K1666" s="26">
        <v>100</v>
      </c>
    </row>
    <row r="1669" spans="1:12">
      <c r="A1669" s="27">
        <v>100038</v>
      </c>
      <c r="B1669" s="27" t="s">
        <v>5297</v>
      </c>
      <c r="C1669" s="27" t="s">
        <v>2089</v>
      </c>
      <c r="E1669" s="27">
        <v>1</v>
      </c>
      <c r="F1669" s="27">
        <v>3</v>
      </c>
      <c r="H1669" s="27">
        <v>54</v>
      </c>
      <c r="I1669" s="27" t="str">
        <f>IF(H1669="","",VLOOKUP(H1669,'#状态名词'!$A$2:$C$99,2))</f>
        <v>spi</v>
      </c>
      <c r="J1669" s="27" t="str">
        <f>IF(H1669="","",VLOOKUP(H1669,'#状态名词'!$A$2:$C$99,3))</f>
        <v>精神</v>
      </c>
      <c r="K1669" s="26">
        <v>160</v>
      </c>
    </row>
    <row r="1670" spans="1:12">
      <c r="A1670" s="27">
        <v>100039</v>
      </c>
      <c r="B1670" s="27" t="s">
        <v>5299</v>
      </c>
      <c r="C1670" s="27" t="s">
        <v>5300</v>
      </c>
      <c r="E1670" s="27">
        <v>-1</v>
      </c>
      <c r="F1670" s="27">
        <v>-1</v>
      </c>
      <c r="H1670" s="27">
        <v>19</v>
      </c>
      <c r="I1670" s="27" t="str">
        <f>IF(H1670="","",VLOOKUP(H1670,'#状态名词'!$A$2:$C$99,2))</f>
        <v>rating</v>
      </c>
      <c r="J1670" s="27" t="str">
        <f>IF(H1670="","",VLOOKUP(H1670,'#状态名词'!$A$2:$C$99,3))</f>
        <v>暴击+</v>
      </c>
      <c r="K1670" s="26">
        <v>200</v>
      </c>
    </row>
    <row r="1671" spans="1:12">
      <c r="A1671" s="27">
        <v>100040</v>
      </c>
      <c r="B1671" s="27" t="s">
        <v>5305</v>
      </c>
      <c r="C1671" s="27" t="s">
        <v>5675</v>
      </c>
      <c r="E1671" s="27">
        <v>-1</v>
      </c>
      <c r="F1671" s="27">
        <v>-1</v>
      </c>
      <c r="H1671" s="27">
        <v>61</v>
      </c>
      <c r="I1671" s="27" t="str">
        <f>IF(H1671="","",VLOOKUP(H1671,'#状态名词'!$A$2:$C$99,2))</f>
        <v>team_ad</v>
      </c>
      <c r="J1671" s="27" t="str">
        <f>IF(H1671="","",VLOOKUP(H1671,'#状态名词'!$A$2:$C$99,3))</f>
        <v>队伍AD</v>
      </c>
      <c r="K1671" s="26">
        <v>50</v>
      </c>
    </row>
    <row r="1672" spans="1:12">
      <c r="B1672" s="27" t="s">
        <v>84</v>
      </c>
      <c r="E1672" s="27">
        <v>-1</v>
      </c>
      <c r="F1672" s="27">
        <v>-1</v>
      </c>
      <c r="H1672" s="27">
        <v>62</v>
      </c>
      <c r="I1672" s="27" t="str">
        <f>IF(H1672="","",VLOOKUP(H1672,'#状态名词'!$A$2:$C$99,2))</f>
        <v>team_ap</v>
      </c>
      <c r="J1672" s="27" t="str">
        <f>IF(H1672="","",VLOOKUP(H1672,'#状态名词'!$A$2:$C$99,3))</f>
        <v>队伍AP</v>
      </c>
      <c r="K1672" s="26">
        <v>50</v>
      </c>
    </row>
    <row r="1673" spans="1:12">
      <c r="A1673" s="27">
        <v>100041</v>
      </c>
      <c r="B1673" s="27" t="s">
        <v>5307</v>
      </c>
      <c r="C1673" s="27" t="s">
        <v>5676</v>
      </c>
      <c r="E1673" s="27">
        <v>1</v>
      </c>
      <c r="F1673" s="27">
        <v>0</v>
      </c>
      <c r="H1673" s="27">
        <v>19</v>
      </c>
      <c r="I1673" s="27" t="str">
        <f>IF(H1673="","",VLOOKUP(H1673,'#状态名词'!$A$2:$C$99,2))</f>
        <v>rating</v>
      </c>
      <c r="J1673" s="27" t="str">
        <f>IF(H1673="","",VLOOKUP(H1673,'#状态名词'!$A$2:$C$99,3))</f>
        <v>暴击+</v>
      </c>
      <c r="K1673" s="26">
        <v>4000</v>
      </c>
      <c r="L1673" s="27">
        <v>100064</v>
      </c>
    </row>
    <row r="1674" spans="1:12">
      <c r="A1674" s="27">
        <v>100042</v>
      </c>
      <c r="B1674" s="27" t="s">
        <v>5309</v>
      </c>
      <c r="C1674" s="27" t="s">
        <v>7041</v>
      </c>
      <c r="E1674" s="27">
        <v>-1</v>
      </c>
      <c r="F1674" s="27">
        <v>-1</v>
      </c>
      <c r="H1674" s="27">
        <v>19</v>
      </c>
      <c r="I1674" s="27" t="str">
        <f>IF(H1674="","",VLOOKUP(H1674,'#状态名词'!$A$2:$C$99,2))</f>
        <v>rating</v>
      </c>
      <c r="J1674" s="27" t="str">
        <f>IF(H1674="","",VLOOKUP(H1674,'#状态名词'!$A$2:$C$99,3))</f>
        <v>暴击+</v>
      </c>
      <c r="K1674" s="26" t="s">
        <v>7042</v>
      </c>
    </row>
    <row r="1675" spans="1:12">
      <c r="B1675" s="27" t="s">
        <v>84</v>
      </c>
      <c r="E1675" s="27">
        <v>-1</v>
      </c>
      <c r="F1675" s="27">
        <v>-1</v>
      </c>
      <c r="H1675" s="27">
        <v>20</v>
      </c>
      <c r="I1675" s="27" t="str">
        <f>IF(H1675="","",VLOOKUP(H1675,'#状态名词'!$A$2:$C$99,2))</f>
        <v>ratingdamage</v>
      </c>
      <c r="J1675" s="27" t="str">
        <f>IF(H1675="","",VLOOKUP(H1675,'#状态名词'!$A$2:$C$99,3))</f>
        <v>暴伤+</v>
      </c>
      <c r="K1675" s="26" t="s">
        <v>7043</v>
      </c>
    </row>
    <row r="1676" spans="1:12">
      <c r="A1676" s="27">
        <v>100043</v>
      </c>
      <c r="B1676" s="27" t="s">
        <v>5310</v>
      </c>
      <c r="C1676" s="27" t="s">
        <v>5677</v>
      </c>
      <c r="E1676" s="27">
        <v>1</v>
      </c>
      <c r="F1676" s="27">
        <v>-1</v>
      </c>
      <c r="H1676" s="27">
        <v>43</v>
      </c>
      <c r="I1676" s="27" t="str">
        <f>IF(H1676="","",VLOOKUP(H1676,'#状态名词'!$A$2:$C$99,2))</f>
        <v>turn_damage</v>
      </c>
      <c r="J1676" s="27" t="str">
        <f>IF(H1676="","",VLOOKUP(H1676,'#状态名词'!$A$2:$C$99,3))</f>
        <v>回合伤害</v>
      </c>
      <c r="K1676" s="26" t="s">
        <v>5678</v>
      </c>
    </row>
    <row r="1677" spans="1:12">
      <c r="A1677" s="27">
        <v>100044</v>
      </c>
      <c r="B1677" s="27" t="s">
        <v>4768</v>
      </c>
      <c r="C1677" s="27" t="s">
        <v>5311</v>
      </c>
      <c r="E1677" s="27">
        <v>-1</v>
      </c>
      <c r="F1677" s="27">
        <v>-1</v>
      </c>
      <c r="H1677" s="27">
        <v>61</v>
      </c>
      <c r="I1677" s="27" t="str">
        <f>IF(H1677="","",VLOOKUP(H1677,'#状态名词'!$A$2:$C$99,2))</f>
        <v>team_ad</v>
      </c>
      <c r="J1677" s="27" t="str">
        <f>IF(H1677="","",VLOOKUP(H1677,'#状态名词'!$A$2:$C$99,3))</f>
        <v>队伍AD</v>
      </c>
      <c r="K1677" s="26">
        <v>100</v>
      </c>
    </row>
    <row r="1678" spans="1:12">
      <c r="B1678" s="27" t="s">
        <v>84</v>
      </c>
      <c r="E1678" s="27">
        <v>-1</v>
      </c>
      <c r="F1678" s="27">
        <v>-1</v>
      </c>
      <c r="H1678" s="27">
        <v>62</v>
      </c>
      <c r="I1678" s="27" t="str">
        <f>IF(H1678="","",VLOOKUP(H1678,'#状态名词'!$A$2:$C$99,2))</f>
        <v>team_ap</v>
      </c>
      <c r="J1678" s="27" t="str">
        <f>IF(H1678="","",VLOOKUP(H1678,'#状态名词'!$A$2:$C$99,3))</f>
        <v>队伍AP</v>
      </c>
      <c r="K1678" s="26">
        <v>100</v>
      </c>
    </row>
    <row r="1679" spans="1:12">
      <c r="B1679" s="27" t="s">
        <v>84</v>
      </c>
      <c r="E1679" s="27">
        <v>-1</v>
      </c>
      <c r="F1679" s="27">
        <v>-1</v>
      </c>
      <c r="H1679" s="27">
        <v>19</v>
      </c>
      <c r="I1679" s="27" t="str">
        <f>IF(H1679="","",VLOOKUP(H1679,'#状态名词'!$A$2:$C$99,2))</f>
        <v>rating</v>
      </c>
      <c r="J1679" s="27" t="str">
        <f>IF(H1679="","",VLOOKUP(H1679,'#状态名词'!$A$2:$C$99,3))</f>
        <v>暴击+</v>
      </c>
      <c r="K1679" s="26">
        <v>50</v>
      </c>
    </row>
    <row r="1680" spans="1:12">
      <c r="B1680" s="27" t="s">
        <v>84</v>
      </c>
      <c r="E1680" s="27">
        <v>-1</v>
      </c>
      <c r="F1680" s="27">
        <v>-1</v>
      </c>
      <c r="H1680" s="27">
        <v>20</v>
      </c>
      <c r="I1680" s="27" t="str">
        <f>IF(H1680="","",VLOOKUP(H1680,'#状态名词'!$A$2:$C$99,2))</f>
        <v>ratingdamage</v>
      </c>
      <c r="J1680" s="27" t="str">
        <f>IF(H1680="","",VLOOKUP(H1680,'#状态名词'!$A$2:$C$99,3))</f>
        <v>暴伤+</v>
      </c>
      <c r="K1680" s="26">
        <v>200</v>
      </c>
    </row>
    <row r="1681" spans="1:12">
      <c r="A1681" s="27">
        <v>100045</v>
      </c>
      <c r="B1681" s="27" t="s">
        <v>5312</v>
      </c>
      <c r="C1681" s="27" t="s">
        <v>5679</v>
      </c>
      <c r="E1681" s="27">
        <v>-1</v>
      </c>
      <c r="F1681" s="27">
        <v>-1</v>
      </c>
      <c r="H1681" s="27">
        <v>21</v>
      </c>
      <c r="I1681" s="27" t="str">
        <f>IF(H1681="","",VLOOKUP(H1681,'#状态名词'!$A$2:$C$99,2))</f>
        <v>speed</v>
      </c>
      <c r="J1681" s="27" t="str">
        <f>IF(H1681="","",VLOOKUP(H1681,'#状态名词'!$A$2:$C$99,3))</f>
        <v>速度+</v>
      </c>
      <c r="K1681" s="26">
        <v>-52</v>
      </c>
    </row>
    <row r="1682" spans="1:12">
      <c r="A1682" s="27">
        <v>100046</v>
      </c>
      <c r="B1682" s="27" t="s">
        <v>5313</v>
      </c>
      <c r="C1682" s="27" t="s">
        <v>5680</v>
      </c>
      <c r="E1682" s="27">
        <v>1</v>
      </c>
      <c r="F1682" s="27">
        <v>-1</v>
      </c>
      <c r="H1682" s="27">
        <v>43</v>
      </c>
      <c r="I1682" s="27" t="str">
        <f>IF(H1682="","",VLOOKUP(H1682,'#状态名词'!$A$2:$C$99,2))</f>
        <v>turn_damage</v>
      </c>
      <c r="J1682" s="27" t="str">
        <f>IF(H1682="","",VLOOKUP(H1682,'#状态名词'!$A$2:$C$99,3))</f>
        <v>回合伤害</v>
      </c>
      <c r="K1682" s="26" t="s">
        <v>5681</v>
      </c>
    </row>
    <row r="1683" spans="1:12">
      <c r="A1683" s="27">
        <v>100047</v>
      </c>
      <c r="B1683" s="27" t="s">
        <v>5314</v>
      </c>
      <c r="C1683" s="27" t="s">
        <v>5682</v>
      </c>
      <c r="E1683" s="27">
        <v>-1</v>
      </c>
      <c r="F1683" s="27">
        <v>-1</v>
      </c>
      <c r="H1683" s="27">
        <v>21</v>
      </c>
      <c r="I1683" s="27" t="str">
        <f>IF(H1683="","",VLOOKUP(H1683,'#状态名词'!$A$2:$C$99,2))</f>
        <v>speed</v>
      </c>
      <c r="J1683" s="27" t="str">
        <f>IF(H1683="","",VLOOKUP(H1683,'#状态名词'!$A$2:$C$99,3))</f>
        <v>速度+</v>
      </c>
      <c r="K1683" s="26">
        <v>-200</v>
      </c>
    </row>
    <row r="1684" spans="1:12">
      <c r="A1684" s="20">
        <v>100072</v>
      </c>
      <c r="B1684" s="27" t="s">
        <v>6080</v>
      </c>
      <c r="C1684" s="21" t="s">
        <v>6081</v>
      </c>
      <c r="E1684" s="27">
        <v>-1</v>
      </c>
      <c r="F1684" s="27">
        <v>-1</v>
      </c>
      <c r="H1684" s="27">
        <v>19</v>
      </c>
      <c r="I1684" s="27" t="str">
        <f>IF(H1684="","",VLOOKUP(H1684,'#状态名词'!$A$2:$C$99,2))</f>
        <v>rating</v>
      </c>
      <c r="J1684" s="27" t="str">
        <f>IF(H1684="","",VLOOKUP(H1684,'#状态名词'!$A$2:$C$99,3))</f>
        <v>暴击+</v>
      </c>
      <c r="K1684" s="26" t="s">
        <v>5337</v>
      </c>
    </row>
    <row r="1685" spans="1:12">
      <c r="A1685" s="20"/>
      <c r="B1685" s="27" t="s">
        <v>84</v>
      </c>
      <c r="C1685" s="21"/>
      <c r="E1685" s="27">
        <v>-1</v>
      </c>
      <c r="F1685" s="27">
        <v>-1</v>
      </c>
      <c r="H1685" s="27">
        <v>21</v>
      </c>
      <c r="I1685" s="27" t="str">
        <f>IF(H1685="","",VLOOKUP(H1685,'#状态名词'!$A$2:$C$99,2))</f>
        <v>speed</v>
      </c>
      <c r="J1685" s="27" t="str">
        <f>IF(H1685="","",VLOOKUP(H1685,'#状态名词'!$A$2:$C$99,3))</f>
        <v>速度+</v>
      </c>
      <c r="K1685" s="26" t="s">
        <v>5350</v>
      </c>
    </row>
    <row r="1686" spans="1:12">
      <c r="A1686" s="20">
        <v>100073</v>
      </c>
      <c r="B1686" s="27" t="s">
        <v>6082</v>
      </c>
      <c r="C1686" s="21" t="s">
        <v>6083</v>
      </c>
      <c r="E1686" s="27">
        <v>-1</v>
      </c>
      <c r="F1686" s="27">
        <v>-1</v>
      </c>
      <c r="H1686" s="27">
        <v>58</v>
      </c>
      <c r="I1686" s="27" t="str">
        <f>IF(H1686="","",VLOOKUP(H1686,'#状态名词'!$A$2:$C$99,2))</f>
        <v>vit</v>
      </c>
      <c r="J1686" s="27" t="str">
        <f>IF(H1686="","",VLOOKUP(H1686,'#状态名词'!$A$2:$C$99,3))</f>
        <v>体力</v>
      </c>
      <c r="K1686" s="26" t="s">
        <v>6100</v>
      </c>
    </row>
    <row r="1687" spans="1:12">
      <c r="A1687" s="20"/>
      <c r="B1687" s="27" t="s">
        <v>84</v>
      </c>
      <c r="C1687" s="21"/>
      <c r="E1687" s="27">
        <v>-1</v>
      </c>
      <c r="F1687" s="27">
        <v>-1</v>
      </c>
      <c r="H1687" s="27">
        <v>54</v>
      </c>
      <c r="I1687" s="27" t="str">
        <f>IF(H1687="","",VLOOKUP(H1687,'#状态名词'!$A$2:$C$99,2))</f>
        <v>spi</v>
      </c>
      <c r="J1687" s="27" t="str">
        <f>IF(H1687="","",VLOOKUP(H1687,'#状态名词'!$A$2:$C$99,3))</f>
        <v>精神</v>
      </c>
      <c r="K1687" s="26" t="s">
        <v>5350</v>
      </c>
    </row>
    <row r="1688" spans="1:12">
      <c r="A1688" s="20"/>
      <c r="B1688" s="27" t="s">
        <v>84</v>
      </c>
      <c r="C1688" s="21"/>
      <c r="E1688" s="27">
        <v>-1</v>
      </c>
      <c r="F1688" s="27">
        <v>-1</v>
      </c>
      <c r="H1688" s="27">
        <v>65</v>
      </c>
      <c r="I1688" s="27" t="str">
        <f>IF(H1688="","",VLOOKUP(H1688,'#状态名词'!$A$2:$C$99,2))</f>
        <v>str</v>
      </c>
      <c r="J1688" s="27" t="str">
        <f>IF(H1688="","",VLOOKUP(H1688,'#状态名词'!$A$2:$C$99,3))</f>
        <v>力量</v>
      </c>
      <c r="K1688" s="26" t="s">
        <v>5350</v>
      </c>
    </row>
    <row r="1689" spans="1:12">
      <c r="A1689" s="20"/>
      <c r="B1689" s="27" t="s">
        <v>84</v>
      </c>
      <c r="C1689" s="21"/>
      <c r="E1689" s="27">
        <v>-1</v>
      </c>
      <c r="F1689" s="27">
        <v>-1</v>
      </c>
      <c r="H1689" s="27">
        <v>67</v>
      </c>
      <c r="I1689" s="27" t="str">
        <f>IF(H1689="","",VLOOKUP(H1689,'#状态名词'!$A$2:$C$99,2))</f>
        <v>inte</v>
      </c>
      <c r="J1689" s="27" t="str">
        <f>IF(H1689="","",VLOOKUP(H1689,'#状态名词'!$A$2:$C$99,3))</f>
        <v>智力</v>
      </c>
      <c r="K1689" s="26" t="s">
        <v>5350</v>
      </c>
    </row>
    <row r="1690" spans="1:12" ht="27">
      <c r="A1690" s="20">
        <v>100074</v>
      </c>
      <c r="B1690" s="27" t="s">
        <v>6084</v>
      </c>
      <c r="C1690" s="21" t="s">
        <v>6085</v>
      </c>
      <c r="E1690" s="27">
        <v>1</v>
      </c>
      <c r="F1690" s="27">
        <v>0</v>
      </c>
      <c r="H1690" s="27">
        <v>39</v>
      </c>
      <c r="I1690" s="27" t="str">
        <f>IF(H1690="","",VLOOKUP(H1690,'#状态名词'!$A$2:$C$99,2))</f>
        <v>action_heal</v>
      </c>
      <c r="J1690" s="27" t="str">
        <f>IF(H1690="","",VLOOKUP(H1690,'#状态名词'!$A$2:$C$99,3))</f>
        <v>行动时治疗</v>
      </c>
      <c r="K1690" s="26" t="s">
        <v>6101</v>
      </c>
    </row>
    <row r="1691" spans="1:12">
      <c r="A1691" s="20">
        <v>100075</v>
      </c>
      <c r="B1691" s="27" t="s">
        <v>6087</v>
      </c>
      <c r="C1691" s="21" t="s">
        <v>6088</v>
      </c>
      <c r="E1691" s="27">
        <v>-1</v>
      </c>
      <c r="F1691" s="27">
        <v>-1</v>
      </c>
      <c r="H1691" s="27">
        <v>18</v>
      </c>
      <c r="I1691" s="27" t="str">
        <f>IF(H1691="","",VLOOKUP(H1691,'#状态名词'!$A$2:$C$99,2))</f>
        <v>api</v>
      </c>
      <c r="J1691" s="27" t="str">
        <f>IF(H1691="","",VLOOKUP(H1691,'#状态名词'!$A$2:$C$99,3))</f>
        <v>法穿</v>
      </c>
      <c r="K1691" s="26" t="s">
        <v>5346</v>
      </c>
    </row>
    <row r="1692" spans="1:12">
      <c r="A1692" s="20">
        <v>100077</v>
      </c>
      <c r="B1692" s="27" t="s">
        <v>6091</v>
      </c>
      <c r="C1692" s="21" t="s">
        <v>6092</v>
      </c>
      <c r="E1692" s="27">
        <v>-1</v>
      </c>
      <c r="F1692" s="27">
        <v>-1</v>
      </c>
      <c r="H1692" s="27">
        <v>25</v>
      </c>
      <c r="I1692" s="27" t="str">
        <f>IF(H1692="","",VLOOKUP(H1692,'#状态名词'!$A$2:$C$99,2))</f>
        <v>duochong</v>
      </c>
      <c r="J1692" s="27" t="str">
        <f>IF(H1692="","",VLOOKUP(H1692,'#状态名词'!$A$2:$C$99,3))</f>
        <v>多重施法</v>
      </c>
      <c r="K1692" s="26" t="s">
        <v>5346</v>
      </c>
    </row>
    <row r="1693" spans="1:12">
      <c r="A1693" s="20">
        <v>100078</v>
      </c>
      <c r="B1693" s="27" t="e">
        <v>#N/A</v>
      </c>
      <c r="C1693" s="21" t="s">
        <v>6099</v>
      </c>
      <c r="E1693" s="27">
        <v>1</v>
      </c>
      <c r="F1693" s="27">
        <v>0</v>
      </c>
      <c r="H1693" s="27">
        <v>36</v>
      </c>
      <c r="I1693" s="27" t="str">
        <f>IF(H1693="","",VLOOKUP(H1693,'#状态名词'!$A$2:$C$99,2))</f>
        <v>atk_damage</v>
      </c>
      <c r="J1693" s="27" t="str">
        <f>IF(H1693="","",VLOOKUP(H1693,'#状态名词'!$A$2:$C$99,3))</f>
        <v>攻击附加伤害</v>
      </c>
      <c r="K1693" s="26" t="s">
        <v>6102</v>
      </c>
    </row>
    <row r="1694" spans="1:12" ht="27">
      <c r="A1694" s="20">
        <v>100080</v>
      </c>
      <c r="B1694" s="27" t="s">
        <v>6093</v>
      </c>
      <c r="C1694" s="21" t="s">
        <v>6094</v>
      </c>
      <c r="E1694" s="27">
        <v>-1</v>
      </c>
      <c r="F1694" s="27">
        <v>-1</v>
      </c>
      <c r="H1694" s="27">
        <v>25</v>
      </c>
      <c r="I1694" s="27" t="str">
        <f>IF(H1694="","",VLOOKUP(H1694,'#状态名词'!$A$2:$C$99,2))</f>
        <v>duochong</v>
      </c>
      <c r="J1694" s="27" t="str">
        <f>IF(H1694="","",VLOOKUP(H1694,'#状态名词'!$A$2:$C$99,3))</f>
        <v>多重施法</v>
      </c>
      <c r="K1694" s="26" t="s">
        <v>5397</v>
      </c>
      <c r="L1694" s="27">
        <v>100080</v>
      </c>
    </row>
    <row r="1695" spans="1:12">
      <c r="A1695" s="20">
        <v>100081</v>
      </c>
      <c r="B1695" s="27" t="s">
        <v>6095</v>
      </c>
      <c r="C1695" s="21" t="s">
        <v>6096</v>
      </c>
      <c r="E1695" s="27">
        <v>-1</v>
      </c>
      <c r="F1695" s="27">
        <v>-1</v>
      </c>
      <c r="H1695" s="27">
        <v>65</v>
      </c>
      <c r="I1695" s="27" t="str">
        <f>IF(H1695="","",VLOOKUP(H1695,'#状态名词'!$A$2:$C$99,2))</f>
        <v>str</v>
      </c>
      <c r="J1695" s="27" t="str">
        <f>IF(H1695="","",VLOOKUP(H1695,'#状态名词'!$A$2:$C$99,3))</f>
        <v>力量</v>
      </c>
      <c r="K1695" s="26" t="s">
        <v>5969</v>
      </c>
    </row>
    <row r="1696" spans="1:12">
      <c r="A1696" s="20">
        <v>100082</v>
      </c>
      <c r="B1696" s="27" t="s">
        <v>6097</v>
      </c>
      <c r="C1696" s="21" t="s">
        <v>6098</v>
      </c>
      <c r="E1696" s="27">
        <v>-1</v>
      </c>
      <c r="F1696" s="27">
        <v>-1</v>
      </c>
      <c r="H1696" s="27">
        <v>21</v>
      </c>
      <c r="I1696" s="27" t="str">
        <f>IF(H1696="","",VLOOKUP(H1696,'#状态名词'!$A$2:$C$99,2))</f>
        <v>speed</v>
      </c>
      <c r="J1696" s="27" t="str">
        <f>IF(H1696="","",VLOOKUP(H1696,'#状态名词'!$A$2:$C$99,3))</f>
        <v>速度+</v>
      </c>
      <c r="K1696" s="26" t="s">
        <v>5399</v>
      </c>
    </row>
    <row r="1697" spans="1:11">
      <c r="A1697" s="20">
        <v>100086</v>
      </c>
      <c r="B1697" s="20" t="s">
        <v>7672</v>
      </c>
      <c r="C1697" s="21" t="s">
        <v>7673</v>
      </c>
      <c r="E1697" s="27">
        <v>-1</v>
      </c>
      <c r="F1697" s="27">
        <v>-1</v>
      </c>
      <c r="H1697" s="27">
        <v>13</v>
      </c>
      <c r="I1697" s="27" t="str">
        <f>IF(H1697="","",VLOOKUP(H1697,'#状态名词'!$A$2:$C$99,2))</f>
        <v>arm</v>
      </c>
      <c r="J1697" s="27" t="str">
        <f>IF(H1697="","",VLOOKUP(H1697,'#状态名词'!$A$2:$C$99,3))</f>
        <v>ARM+</v>
      </c>
      <c r="K1697" s="26" t="s">
        <v>7682</v>
      </c>
    </row>
    <row r="1698" spans="1:11">
      <c r="A1698" s="20">
        <v>100087</v>
      </c>
      <c r="B1698" s="20" t="s">
        <v>7674</v>
      </c>
      <c r="C1698" s="21" t="s">
        <v>7675</v>
      </c>
      <c r="E1698" s="27">
        <v>-1</v>
      </c>
      <c r="F1698" s="27">
        <v>-1</v>
      </c>
      <c r="H1698" s="27">
        <v>35</v>
      </c>
      <c r="I1698" s="27" t="str">
        <f>IF(H1698="","",VLOOKUP(H1698,'#状态名词'!$A$2:$C$99,2))</f>
        <v>reelement</v>
      </c>
      <c r="J1698" s="27" t="str">
        <f>IF(H1698="","",VLOOKUP(H1698,'#状态名词'!$A$2:$C$99,3))</f>
        <v>全属性抗性</v>
      </c>
      <c r="K1698" s="26" t="s">
        <v>7676</v>
      </c>
    </row>
    <row r="1699" spans="1:11">
      <c r="A1699" s="20">
        <v>100088</v>
      </c>
      <c r="B1699" s="20" t="s">
        <v>7677</v>
      </c>
      <c r="C1699" s="21" t="s">
        <v>7678</v>
      </c>
      <c r="E1699" s="27">
        <v>-1</v>
      </c>
      <c r="F1699" s="27">
        <v>-1</v>
      </c>
      <c r="H1699" s="27">
        <v>34</v>
      </c>
      <c r="I1699" s="27" t="str">
        <f>IF(H1699="","",VLOOKUP(H1699,'#状态名词'!$A$2:$C$99,2))</f>
        <v>redark</v>
      </c>
      <c r="J1699" s="27" t="str">
        <f>IF(H1699="","",VLOOKUP(H1699,'#状态名词'!$A$2:$C$99,3))</f>
        <v>暗属性抗性</v>
      </c>
      <c r="K1699" s="26" t="s">
        <v>7683</v>
      </c>
    </row>
    <row r="1700" spans="1:11">
      <c r="A1700" s="20">
        <v>100089</v>
      </c>
      <c r="B1700" s="20" t="s">
        <v>7679</v>
      </c>
      <c r="C1700" s="21" t="s">
        <v>7680</v>
      </c>
      <c r="E1700" s="27">
        <v>-1</v>
      </c>
      <c r="F1700" s="27">
        <v>-1</v>
      </c>
      <c r="H1700" s="27">
        <v>13</v>
      </c>
      <c r="I1700" s="27" t="str">
        <f>IF(H1700="","",VLOOKUP(H1700,'#状态名词'!$A$2:$C$99,2))</f>
        <v>arm</v>
      </c>
      <c r="J1700" s="27" t="str">
        <f>IF(H1700="","",VLOOKUP(H1700,'#状态名词'!$A$2:$C$99,3))</f>
        <v>ARM+</v>
      </c>
      <c r="K1700" s="26" t="s">
        <v>7681</v>
      </c>
    </row>
    <row r="1701" spans="1:11">
      <c r="E1701" s="27">
        <v>-1</v>
      </c>
      <c r="F1701" s="27">
        <v>-1</v>
      </c>
      <c r="H1701" s="27">
        <v>15</v>
      </c>
      <c r="I1701" s="27" t="str">
        <f>IF(H1701="","",VLOOKUP(H1701,'#状态名词'!$A$2:$C$99,2))</f>
        <v>mr</v>
      </c>
      <c r="J1701" s="27" t="str">
        <f>IF(H1701="","",VLOOKUP(H1701,'#状态名词'!$A$2:$C$99,3))</f>
        <v>MR+</v>
      </c>
      <c r="K1701" s="26" t="s">
        <v>7681</v>
      </c>
    </row>
    <row r="1702" spans="1:11">
      <c r="A1702" s="20">
        <v>100207</v>
      </c>
      <c r="B1702" s="20" t="s">
        <v>7686</v>
      </c>
      <c r="C1702" s="21" t="s">
        <v>7832</v>
      </c>
      <c r="E1702" s="27">
        <v>1</v>
      </c>
      <c r="F1702" s="27">
        <v>-1</v>
      </c>
      <c r="H1702" s="27">
        <v>21</v>
      </c>
      <c r="I1702" s="27" t="str">
        <f>IF(H1702="","",VLOOKUP(H1702,'#状态名词'!$A$2:$C$99,2))</f>
        <v>speed</v>
      </c>
      <c r="J1702" s="27" t="str">
        <f>IF(H1702="","",VLOOKUP(H1702,'#状态名词'!$A$2:$C$99,3))</f>
        <v>速度+</v>
      </c>
      <c r="K1702" s="26" t="s">
        <v>7601</v>
      </c>
    </row>
    <row r="1703" spans="1:11">
      <c r="A1703" s="20">
        <v>100208</v>
      </c>
      <c r="B1703" s="20" t="s">
        <v>7687</v>
      </c>
      <c r="C1703" s="21" t="s">
        <v>7834</v>
      </c>
      <c r="E1703" s="27">
        <v>1</v>
      </c>
      <c r="F1703" s="27">
        <v>-1</v>
      </c>
      <c r="H1703" s="27">
        <v>70</v>
      </c>
      <c r="I1703" s="27" t="str">
        <f>IF(H1703="","",VLOOKUP(H1703,'#状态名词'!$A$2:$C$99,2))</f>
        <v>eva</v>
      </c>
      <c r="J1703" s="27" t="str">
        <f>IF(H1703="","",VLOOKUP(H1703,'#状态名词'!$A$2:$C$99,3))</f>
        <v>回避率</v>
      </c>
      <c r="K1703" s="26" t="s">
        <v>7702</v>
      </c>
    </row>
    <row r="1704" spans="1:11">
      <c r="A1704" s="20">
        <v>100209</v>
      </c>
      <c r="B1704" s="20" t="s">
        <v>7688</v>
      </c>
      <c r="C1704" s="21" t="s">
        <v>4570</v>
      </c>
      <c r="E1704" s="27">
        <v>1</v>
      </c>
      <c r="F1704" s="27">
        <v>-1</v>
      </c>
      <c r="H1704" s="27">
        <v>19</v>
      </c>
      <c r="I1704" s="27" t="str">
        <f>IF(H1704="","",VLOOKUP(H1704,'#状态名词'!$A$2:$C$99,2))</f>
        <v>rating</v>
      </c>
      <c r="J1704" s="27" t="str">
        <f>IF(H1704="","",VLOOKUP(H1704,'#状态名词'!$A$2:$C$99,3))</f>
        <v>暴击+</v>
      </c>
      <c r="K1704" s="26" t="s">
        <v>7701</v>
      </c>
    </row>
    <row r="1705" spans="1:11">
      <c r="A1705" s="20">
        <v>100210</v>
      </c>
      <c r="B1705" s="20" t="s">
        <v>7689</v>
      </c>
      <c r="C1705" s="21" t="s">
        <v>7837</v>
      </c>
      <c r="E1705" s="27">
        <v>1</v>
      </c>
      <c r="F1705" s="27">
        <v>-1</v>
      </c>
      <c r="H1705" s="27">
        <v>28</v>
      </c>
      <c r="I1705" s="27" t="str">
        <f>IF(H1705="","",VLOOKUP(H1705,'#状态名词'!$A$2:$C$99,2))</f>
        <v>lightup</v>
      </c>
      <c r="J1705" s="27" t="str">
        <f>IF(H1705="","",VLOOKUP(H1705,'#状态名词'!$A$2:$C$99,3))</f>
        <v>光属性强化</v>
      </c>
      <c r="K1705" s="26" t="s">
        <v>6458</v>
      </c>
    </row>
    <row r="1706" spans="1:11">
      <c r="A1706" s="20">
        <v>100211</v>
      </c>
      <c r="B1706" s="20" t="s">
        <v>7690</v>
      </c>
      <c r="C1706" s="21" t="s">
        <v>7839</v>
      </c>
      <c r="E1706" s="27">
        <v>1</v>
      </c>
      <c r="F1706" s="27">
        <v>-1</v>
      </c>
      <c r="H1706" s="27">
        <v>23</v>
      </c>
      <c r="I1706" s="27" t="str">
        <f>IF(H1706="","",VLOOKUP(H1706,'#状态名词'!$A$2:$C$99,2))</f>
        <v>steal</v>
      </c>
      <c r="J1706" s="27" t="str">
        <f>IF(H1706="","",VLOOKUP(H1706,'#状态名词'!$A$2:$C$99,3))</f>
        <v>生命偷取</v>
      </c>
      <c r="K1706" s="26" t="s">
        <v>7043</v>
      </c>
    </row>
    <row r="1707" spans="1:11">
      <c r="A1707" s="20">
        <v>100212</v>
      </c>
      <c r="B1707" s="20" t="s">
        <v>7691</v>
      </c>
      <c r="C1707" s="21" t="s">
        <v>7841</v>
      </c>
      <c r="E1707" s="27">
        <v>1</v>
      </c>
      <c r="F1707" s="27">
        <v>-1</v>
      </c>
      <c r="H1707" s="27">
        <v>17</v>
      </c>
      <c r="I1707" s="27" t="str">
        <f>IF(H1707="","",VLOOKUP(H1707,'#状态名词'!$A$2:$C$99,2))</f>
        <v>adi</v>
      </c>
      <c r="J1707" s="27" t="str">
        <f>IF(H1707="","",VLOOKUP(H1707,'#状态名词'!$A$2:$C$99,3))</f>
        <v>物穿</v>
      </c>
      <c r="K1707" s="26" t="s">
        <v>7601</v>
      </c>
    </row>
    <row r="1708" spans="1:11">
      <c r="A1708" s="20">
        <v>100213</v>
      </c>
      <c r="B1708" s="20" t="s">
        <v>7692</v>
      </c>
      <c r="C1708" s="21" t="s">
        <v>7843</v>
      </c>
      <c r="E1708" s="27">
        <v>1</v>
      </c>
      <c r="F1708" s="27">
        <v>-1</v>
      </c>
      <c r="H1708" s="27">
        <v>26</v>
      </c>
      <c r="I1708" s="27" t="str">
        <f>IF(H1708="","",VLOOKUP(H1708,'#状态名词'!$A$2:$C$99,2))</f>
        <v>fireup</v>
      </c>
      <c r="J1708" s="27" t="str">
        <f>IF(H1708="","",VLOOKUP(H1708,'#状态名词'!$A$2:$C$99,3))</f>
        <v>火属性强化</v>
      </c>
      <c r="K1708" s="26" t="s">
        <v>6458</v>
      </c>
    </row>
    <row r="1709" spans="1:11">
      <c r="A1709" s="20">
        <v>100214</v>
      </c>
      <c r="B1709" s="20" t="s">
        <v>7693</v>
      </c>
      <c r="C1709" s="21" t="s">
        <v>7845</v>
      </c>
      <c r="E1709" s="27">
        <v>1</v>
      </c>
      <c r="F1709" s="27">
        <v>-1</v>
      </c>
      <c r="H1709" s="27">
        <v>27</v>
      </c>
      <c r="I1709" s="27" t="str">
        <f>IF(H1709="","",VLOOKUP(H1709,'#状态名词'!$A$2:$C$99,2))</f>
        <v>iceup</v>
      </c>
      <c r="J1709" s="27" t="str">
        <f>IF(H1709="","",VLOOKUP(H1709,'#状态名词'!$A$2:$C$99,3))</f>
        <v>冰属性强化</v>
      </c>
      <c r="K1709" s="26" t="s">
        <v>6458</v>
      </c>
    </row>
    <row r="1710" spans="1:11">
      <c r="A1710" s="20">
        <v>100215</v>
      </c>
      <c r="B1710" s="20" t="s">
        <v>7694</v>
      </c>
      <c r="C1710" s="21" t="s">
        <v>7847</v>
      </c>
      <c r="E1710" s="27">
        <v>1</v>
      </c>
      <c r="F1710" s="27">
        <v>-1</v>
      </c>
      <c r="H1710" s="27">
        <v>18</v>
      </c>
      <c r="I1710" s="27" t="str">
        <f>IF(H1710="","",VLOOKUP(H1710,'#状态名词'!$A$2:$C$99,2))</f>
        <v>api</v>
      </c>
      <c r="J1710" s="27" t="str">
        <f>IF(H1710="","",VLOOKUP(H1710,'#状态名词'!$A$2:$C$99,3))</f>
        <v>法穿</v>
      </c>
      <c r="K1710" s="26" t="s">
        <v>7601</v>
      </c>
    </row>
    <row r="1711" spans="1:11">
      <c r="A1711" s="20">
        <v>100216</v>
      </c>
      <c r="B1711" s="20" t="s">
        <v>7695</v>
      </c>
      <c r="C1711" s="21" t="s">
        <v>3809</v>
      </c>
      <c r="E1711" s="27">
        <v>1</v>
      </c>
      <c r="F1711" s="27">
        <v>-1</v>
      </c>
      <c r="H1711" s="27">
        <v>2</v>
      </c>
      <c r="I1711" s="27" t="str">
        <f>IF(H1711="","",VLOOKUP(H1711,'#状态名词'!$A$2:$C$99,2))</f>
        <v>damaup</v>
      </c>
      <c r="J1711" s="27" t="str">
        <f>IF(H1711="","",VLOOKUP(H1711,'#状态名词'!$A$2:$C$99,3))</f>
        <v>伤害提升A类增伤</v>
      </c>
      <c r="K1711" s="26" t="s">
        <v>7869</v>
      </c>
    </row>
    <row r="1712" spans="1:11">
      <c r="A1712" s="20">
        <v>100217</v>
      </c>
      <c r="B1712" s="20" t="s">
        <v>7696</v>
      </c>
      <c r="C1712" s="21" t="s">
        <v>7850</v>
      </c>
      <c r="E1712" s="27">
        <v>1</v>
      </c>
      <c r="F1712" s="27">
        <v>-1</v>
      </c>
      <c r="H1712" s="27">
        <v>25</v>
      </c>
      <c r="I1712" s="27" t="str">
        <f>IF(H1712="","",VLOOKUP(H1712,'#状态名词'!$A$2:$C$99,2))</f>
        <v>duochong</v>
      </c>
      <c r="J1712" s="27" t="str">
        <f>IF(H1712="","",VLOOKUP(H1712,'#状态名词'!$A$2:$C$99,3))</f>
        <v>多重施法</v>
      </c>
      <c r="K1712" s="26" t="s">
        <v>7635</v>
      </c>
    </row>
    <row r="1713" spans="1:12">
      <c r="A1713" s="20">
        <v>100218</v>
      </c>
      <c r="B1713" s="20" t="s">
        <v>7697</v>
      </c>
      <c r="C1713" s="21" t="s">
        <v>7852</v>
      </c>
      <c r="E1713" s="27">
        <v>1</v>
      </c>
      <c r="F1713" s="27">
        <v>-1</v>
      </c>
      <c r="H1713" s="27">
        <v>52</v>
      </c>
      <c r="I1713" s="27" t="str">
        <f>IF(H1713="","",VLOOKUP(H1713,'#状态名词'!$A$2:$C$99,2))</f>
        <v>energyupper</v>
      </c>
      <c r="J1713" s="27" t="str">
        <f>IF(H1713="","",VLOOKUP(H1713,'#状态名词'!$A$2:$C$99,3))</f>
        <v>能量上限</v>
      </c>
      <c r="K1713" s="26" t="s">
        <v>6992</v>
      </c>
    </row>
    <row r="1714" spans="1:12">
      <c r="A1714" s="20">
        <v>100219</v>
      </c>
      <c r="B1714" s="20" t="s">
        <v>7698</v>
      </c>
      <c r="C1714" s="21" t="s">
        <v>7854</v>
      </c>
      <c r="E1714" s="27">
        <v>1</v>
      </c>
      <c r="F1714" s="27">
        <v>-1</v>
      </c>
      <c r="H1714" s="27">
        <v>53</v>
      </c>
      <c r="I1714" s="27" t="str">
        <f>IF(H1714="","",VLOOKUP(H1714,'#状态名词'!$A$2:$C$99,2))</f>
        <v>manaupper</v>
      </c>
      <c r="J1714" s="27" t="str">
        <f>IF(H1714="","",VLOOKUP(H1714,'#状态名词'!$A$2:$C$99,3))</f>
        <v>法力上限</v>
      </c>
      <c r="K1714" s="26" t="s">
        <v>6992</v>
      </c>
    </row>
    <row r="1715" spans="1:12">
      <c r="A1715" s="20">
        <v>100220</v>
      </c>
      <c r="B1715" s="20" t="s">
        <v>7699</v>
      </c>
      <c r="C1715" s="21" t="s">
        <v>7868</v>
      </c>
      <c r="E1715" s="27">
        <v>1</v>
      </c>
      <c r="F1715" s="27">
        <v>0</v>
      </c>
      <c r="H1715" s="27">
        <v>46</v>
      </c>
      <c r="I1715" s="27" t="str">
        <f>IF(H1715="","",VLOOKUP(H1715,'#状态名词'!$A$2:$C$99,2))</f>
        <v>energyup</v>
      </c>
      <c r="J1715" s="27" t="str">
        <f>IF(H1715="","",VLOOKUP(H1715,'#状态名词'!$A$2:$C$99,3))</f>
        <v>行动回能量</v>
      </c>
      <c r="K1715" s="26" t="s">
        <v>7703</v>
      </c>
      <c r="L1715" s="27">
        <v>100</v>
      </c>
    </row>
    <row r="1716" spans="1:12">
      <c r="A1716" s="27">
        <v>200001</v>
      </c>
      <c r="B1716" s="19" t="s">
        <v>5279</v>
      </c>
      <c r="C1716" s="19" t="s">
        <v>5280</v>
      </c>
      <c r="E1716" s="27">
        <v>6</v>
      </c>
      <c r="F1716" s="27">
        <v>-1</v>
      </c>
      <c r="H1716" s="27">
        <v>1</v>
      </c>
      <c r="I1716" s="27" t="str">
        <f>IF(H1716="","",VLOOKUP(H1716,'#状态名词'!$A$2:$C$99,2))</f>
        <v>skilldama</v>
      </c>
      <c r="J1716" s="27" t="str">
        <f>IF(H1716="","",VLOOKUP(H1716,'#状态名词'!$A$2:$C$99,3))</f>
        <v>技能伤害和治疗效果提升B类</v>
      </c>
      <c r="K1716" s="26" t="s">
        <v>5346</v>
      </c>
      <c r="L1716" s="27">
        <v>200001</v>
      </c>
    </row>
    <row r="1717" spans="1:12">
      <c r="A1717" s="27">
        <v>200002</v>
      </c>
      <c r="B1717" s="19" t="s">
        <v>5282</v>
      </c>
      <c r="C1717" s="19" t="s">
        <v>5283</v>
      </c>
      <c r="E1717" s="27">
        <v>6</v>
      </c>
      <c r="F1717" s="27">
        <v>-1</v>
      </c>
      <c r="H1717" s="27">
        <v>1</v>
      </c>
      <c r="I1717" s="27" t="str">
        <f>IF(H1717="","",VLOOKUP(H1717,'#状态名词'!$A$2:$C$99,2))</f>
        <v>skilldama</v>
      </c>
      <c r="J1717" s="27" t="str">
        <f>IF(H1717="","",VLOOKUP(H1717,'#状态名词'!$A$2:$C$99,3))</f>
        <v>技能伤害和治疗效果提升B类</v>
      </c>
      <c r="K1717" s="26" t="s">
        <v>5674</v>
      </c>
      <c r="L1717" s="27">
        <v>200002</v>
      </c>
    </row>
  </sheetData>
  <sortState ref="A4:AZ657">
    <sortCondition ref="A657"/>
  </sortState>
  <phoneticPr fontId="1" type="noConversion"/>
  <conditionalFormatting sqref="A1428:A1435 B1434">
    <cfRule type="containsText" dxfId="11" priority="96" operator="containsText" text="红水晶">
      <formula>NOT(ISERROR(SEARCH("红水晶",A1428)))</formula>
    </cfRule>
  </conditionalFormatting>
  <conditionalFormatting sqref="B1435">
    <cfRule type="containsText" dxfId="10" priority="18" operator="containsText" text="红水晶">
      <formula>NOT(ISERROR(SEARCH("红水晶",B1435)))</formula>
    </cfRule>
  </conditionalFormatting>
  <conditionalFormatting sqref="C1434:D1435 D1428:D1433">
    <cfRule type="containsText" dxfId="9" priority="17" operator="containsText" text="红水晶">
      <formula>NOT(ISERROR(SEARCH("红水晶",C1428)))</formula>
    </cfRule>
  </conditionalFormatting>
  <conditionalFormatting sqref="B1439:B1445">
    <cfRule type="containsText" dxfId="8" priority="12" operator="containsText" text="红水晶">
      <formula>NOT(ISERROR(SEARCH("红水晶",B1439)))</formula>
    </cfRule>
  </conditionalFormatting>
  <conditionalFormatting sqref="C1439:D1445">
    <cfRule type="containsText" dxfId="7" priority="11" operator="containsText" text="红水晶">
      <formula>NOT(ISERROR(SEARCH("红水晶",C1439)))</formula>
    </cfRule>
  </conditionalFormatting>
  <conditionalFormatting sqref="C1447:D1447">
    <cfRule type="containsText" dxfId="6" priority="10" operator="containsText" text="红水晶">
      <formula>NOT(ISERROR(SEARCH("红水晶",C1447)))</formula>
    </cfRule>
  </conditionalFormatting>
  <conditionalFormatting sqref="C1429:C1433">
    <cfRule type="containsText" dxfId="5" priority="2" operator="containsText" text="红水晶">
      <formula>NOT(ISERROR(SEARCH("红水晶",C1429)))</formula>
    </cfRule>
  </conditionalFormatting>
  <conditionalFormatting sqref="C1428">
    <cfRule type="containsText" dxfId="4" priority="1" operator="containsText" text="红水晶">
      <formula>NOT(ISERROR(SEARCH("红水晶",C1428)))</formula>
    </cfRule>
  </conditionalFormatting>
  <pageMargins left="0.7" right="0.7" top="0.75" bottom="0.75" header="0.3" footer="0.3"/>
  <pageSetup paperSize="9" orientation="portrait" horizontalDpi="4294967295" verticalDpi="4294967295" r:id="rId1"/>
  <ignoredErrors>
    <ignoredError sqref="K127 K461 K605 K637:K697 K743:K747 K852:K878 K1261:K1273 K1684:K1696 K754:K757 K1000:K1011 K986:K991 K912:K915 K823 K1200:K1201 K905:K910 K1138:K1145 K759:K796 K1202:K1203 K801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7"/>
  <sheetViews>
    <sheetView workbookViewId="0">
      <selection activeCell="B8" sqref="B8"/>
    </sheetView>
  </sheetViews>
  <sheetFormatPr defaultColWidth="8.875" defaultRowHeight="13.5"/>
  <cols>
    <col min="1" max="1" width="8.875" style="7"/>
    <col min="2" max="2" width="17.625" style="7" bestFit="1" customWidth="1"/>
    <col min="3" max="3" width="26.625" style="7" bestFit="1" customWidth="1"/>
    <col min="4" max="16384" width="8.875" style="7"/>
  </cols>
  <sheetData>
    <row r="1" spans="1:11">
      <c r="A1" s="7" t="s">
        <v>712</v>
      </c>
      <c r="C1" s="7">
        <v>1</v>
      </c>
      <c r="D1" s="7" t="s">
        <v>7805</v>
      </c>
      <c r="E1" s="7" t="s">
        <v>7806</v>
      </c>
      <c r="J1" s="7">
        <v>0</v>
      </c>
      <c r="K1" s="7">
        <v>0</v>
      </c>
    </row>
    <row r="2" spans="1:11">
      <c r="A2" s="12">
        <v>1</v>
      </c>
      <c r="B2" s="12" t="s">
        <v>240</v>
      </c>
      <c r="C2" s="25" t="s">
        <v>309</v>
      </c>
      <c r="F2" s="7" t="s">
        <v>241</v>
      </c>
      <c r="J2" s="7">
        <v>1</v>
      </c>
      <c r="K2" s="7">
        <v>1</v>
      </c>
    </row>
    <row r="3" spans="1:11">
      <c r="A3" s="7">
        <v>2</v>
      </c>
      <c r="B3" s="7" t="s">
        <v>37</v>
      </c>
      <c r="C3" s="25" t="s">
        <v>232</v>
      </c>
      <c r="F3" s="7" t="s">
        <v>3658</v>
      </c>
      <c r="J3" s="7">
        <v>2</v>
      </c>
      <c r="K3" s="7">
        <v>3</v>
      </c>
    </row>
    <row r="4" spans="1:11">
      <c r="A4" s="7">
        <v>3</v>
      </c>
      <c r="B4" s="7" t="s">
        <v>275</v>
      </c>
      <c r="C4" s="25" t="s">
        <v>1632</v>
      </c>
      <c r="F4" s="7" t="s">
        <v>3659</v>
      </c>
      <c r="J4" s="7">
        <v>3</v>
      </c>
      <c r="K4" s="7">
        <v>3</v>
      </c>
    </row>
    <row r="5" spans="1:11">
      <c r="A5" s="7">
        <v>4</v>
      </c>
      <c r="B5" s="7" t="s">
        <v>380</v>
      </c>
      <c r="C5" s="7" t="s">
        <v>8</v>
      </c>
      <c r="J5" s="7">
        <v>4</v>
      </c>
      <c r="K5" s="7">
        <v>3</v>
      </c>
    </row>
    <row r="6" spans="1:11">
      <c r="A6" s="7">
        <v>5</v>
      </c>
      <c r="B6" s="7" t="s">
        <v>239</v>
      </c>
      <c r="C6" s="7" t="s">
        <v>381</v>
      </c>
      <c r="J6" s="7">
        <v>5</v>
      </c>
      <c r="K6" s="7">
        <v>1</v>
      </c>
    </row>
    <row r="7" spans="1:11">
      <c r="A7" s="7">
        <v>6</v>
      </c>
      <c r="B7" s="7" t="s">
        <v>34</v>
      </c>
      <c r="C7" s="7" t="s">
        <v>242</v>
      </c>
      <c r="J7" s="7">
        <v>6</v>
      </c>
      <c r="K7" s="7">
        <v>3</v>
      </c>
    </row>
    <row r="8" spans="1:11">
      <c r="A8" s="7">
        <v>7</v>
      </c>
      <c r="B8" s="7" t="s">
        <v>237</v>
      </c>
      <c r="C8" s="7" t="s">
        <v>238</v>
      </c>
      <c r="J8" s="7">
        <v>8</v>
      </c>
      <c r="K8" s="7">
        <v>2</v>
      </c>
    </row>
    <row r="9" spans="1:11">
      <c r="A9" s="7">
        <v>8</v>
      </c>
      <c r="B9" s="7" t="s">
        <v>85</v>
      </c>
      <c r="C9" s="7" t="s">
        <v>129</v>
      </c>
      <c r="J9" s="7">
        <v>9</v>
      </c>
      <c r="K9" s="7">
        <v>3</v>
      </c>
    </row>
    <row r="10" spans="1:11">
      <c r="A10" s="7">
        <v>9</v>
      </c>
      <c r="B10" s="7" t="s">
        <v>20</v>
      </c>
      <c r="C10" s="7" t="s">
        <v>9</v>
      </c>
      <c r="J10" s="7">
        <v>10</v>
      </c>
      <c r="K10" s="7">
        <v>3</v>
      </c>
    </row>
    <row r="11" spans="1:11">
      <c r="A11" s="7">
        <v>10</v>
      </c>
      <c r="B11" s="7" t="s">
        <v>96</v>
      </c>
      <c r="C11" s="7" t="s">
        <v>233</v>
      </c>
      <c r="J11" s="7">
        <v>11</v>
      </c>
      <c r="K11" s="7">
        <v>4</v>
      </c>
    </row>
    <row r="12" spans="1:11">
      <c r="A12" s="7">
        <v>11</v>
      </c>
      <c r="B12" s="7" t="s">
        <v>21</v>
      </c>
      <c r="C12" s="7" t="s">
        <v>10</v>
      </c>
      <c r="J12" s="7">
        <v>12</v>
      </c>
      <c r="K12" s="7">
        <v>0</v>
      </c>
    </row>
    <row r="13" spans="1:11">
      <c r="A13" s="7">
        <v>12</v>
      </c>
      <c r="B13" s="7" t="s">
        <v>95</v>
      </c>
      <c r="C13" s="7" t="s">
        <v>234</v>
      </c>
      <c r="J13" s="7">
        <v>13</v>
      </c>
      <c r="K13" s="7">
        <v>0</v>
      </c>
    </row>
    <row r="14" spans="1:11">
      <c r="A14" s="7">
        <v>13</v>
      </c>
      <c r="B14" s="7" t="s">
        <v>22</v>
      </c>
      <c r="C14" s="7" t="s">
        <v>11</v>
      </c>
      <c r="J14" s="7">
        <v>14</v>
      </c>
      <c r="K14" s="7">
        <v>0</v>
      </c>
    </row>
    <row r="15" spans="1:11">
      <c r="A15" s="7">
        <v>14</v>
      </c>
      <c r="B15" s="7" t="s">
        <v>93</v>
      </c>
      <c r="C15" s="7" t="s">
        <v>243</v>
      </c>
      <c r="J15" s="7">
        <v>15</v>
      </c>
      <c r="K15" s="7">
        <v>0</v>
      </c>
    </row>
    <row r="16" spans="1:11">
      <c r="A16" s="7">
        <v>15</v>
      </c>
      <c r="B16" s="7" t="s">
        <v>23</v>
      </c>
      <c r="C16" s="7" t="s">
        <v>12</v>
      </c>
    </row>
    <row r="17" spans="1:3">
      <c r="A17" s="7">
        <v>16</v>
      </c>
      <c r="B17" s="7" t="s">
        <v>94</v>
      </c>
      <c r="C17" s="7" t="s">
        <v>244</v>
      </c>
    </row>
    <row r="18" spans="1:3">
      <c r="A18" s="7">
        <v>17</v>
      </c>
      <c r="B18" s="7" t="s">
        <v>24</v>
      </c>
      <c r="C18" s="7" t="s">
        <v>0</v>
      </c>
    </row>
    <row r="19" spans="1:3">
      <c r="A19" s="7">
        <v>18</v>
      </c>
      <c r="B19" s="7" t="s">
        <v>25</v>
      </c>
      <c r="C19" s="7" t="s">
        <v>1</v>
      </c>
    </row>
    <row r="20" spans="1:3">
      <c r="A20" s="12">
        <v>19</v>
      </c>
      <c r="B20" s="12" t="s">
        <v>26</v>
      </c>
      <c r="C20" s="7" t="s">
        <v>13</v>
      </c>
    </row>
    <row r="21" spans="1:3">
      <c r="A21" s="12">
        <v>20</v>
      </c>
      <c r="B21" s="12" t="s">
        <v>30</v>
      </c>
      <c r="C21" s="7" t="s">
        <v>14</v>
      </c>
    </row>
    <row r="22" spans="1:3">
      <c r="A22" s="7">
        <v>21</v>
      </c>
      <c r="B22" s="7" t="s">
        <v>27</v>
      </c>
      <c r="C22" s="7" t="s">
        <v>15</v>
      </c>
    </row>
    <row r="23" spans="1:3">
      <c r="A23" s="7">
        <v>22</v>
      </c>
      <c r="B23" s="7" t="s">
        <v>235</v>
      </c>
      <c r="C23" s="7" t="s">
        <v>236</v>
      </c>
    </row>
    <row r="24" spans="1:3">
      <c r="A24" s="12">
        <v>23</v>
      </c>
      <c r="B24" s="12" t="s">
        <v>28</v>
      </c>
      <c r="C24" s="7" t="s">
        <v>19</v>
      </c>
    </row>
    <row r="25" spans="1:3">
      <c r="A25" s="12">
        <v>24</v>
      </c>
      <c r="B25" s="12" t="s">
        <v>36</v>
      </c>
      <c r="C25" s="7" t="s">
        <v>16</v>
      </c>
    </row>
    <row r="26" spans="1:3">
      <c r="A26" s="12">
        <v>25</v>
      </c>
      <c r="B26" s="12" t="s">
        <v>32</v>
      </c>
      <c r="C26" s="7" t="s">
        <v>2</v>
      </c>
    </row>
    <row r="27" spans="1:3">
      <c r="A27" s="7">
        <v>26</v>
      </c>
      <c r="B27" s="7" t="s">
        <v>246</v>
      </c>
      <c r="C27" s="7" t="s">
        <v>245</v>
      </c>
    </row>
    <row r="28" spans="1:3">
      <c r="A28" s="7">
        <v>27</v>
      </c>
      <c r="B28" s="7" t="s">
        <v>248</v>
      </c>
      <c r="C28" s="7" t="s">
        <v>247</v>
      </c>
    </row>
    <row r="29" spans="1:3">
      <c r="A29" s="7">
        <v>28</v>
      </c>
      <c r="B29" s="7" t="s">
        <v>250</v>
      </c>
      <c r="C29" s="7" t="s">
        <v>249</v>
      </c>
    </row>
    <row r="30" spans="1:3">
      <c r="A30" s="7">
        <v>29</v>
      </c>
      <c r="B30" s="7" t="s">
        <v>252</v>
      </c>
      <c r="C30" s="7" t="s">
        <v>251</v>
      </c>
    </row>
    <row r="31" spans="1:3">
      <c r="A31" s="7">
        <v>30</v>
      </c>
      <c r="B31" s="7" t="s">
        <v>254</v>
      </c>
      <c r="C31" s="7" t="s">
        <v>253</v>
      </c>
    </row>
    <row r="32" spans="1:3">
      <c r="A32" s="7">
        <v>31</v>
      </c>
      <c r="B32" s="7" t="s">
        <v>255</v>
      </c>
      <c r="C32" s="7" t="s">
        <v>8044</v>
      </c>
    </row>
    <row r="33" spans="1:5">
      <c r="A33" s="7">
        <v>32</v>
      </c>
      <c r="B33" s="7" t="s">
        <v>256</v>
      </c>
      <c r="C33" s="7" t="s">
        <v>8045</v>
      </c>
    </row>
    <row r="34" spans="1:5">
      <c r="A34" s="7">
        <v>33</v>
      </c>
      <c r="B34" s="7" t="s">
        <v>257</v>
      </c>
      <c r="C34" s="7" t="s">
        <v>8046</v>
      </c>
    </row>
    <row r="35" spans="1:5">
      <c r="A35" s="7">
        <v>34</v>
      </c>
      <c r="B35" s="7" t="s">
        <v>258</v>
      </c>
      <c r="C35" s="7" t="s">
        <v>8047</v>
      </c>
    </row>
    <row r="36" spans="1:5">
      <c r="A36" s="7">
        <v>35</v>
      </c>
      <c r="B36" s="7" t="s">
        <v>259</v>
      </c>
      <c r="C36" s="7" t="s">
        <v>8048</v>
      </c>
    </row>
    <row r="37" spans="1:5">
      <c r="A37" s="7">
        <v>36</v>
      </c>
      <c r="B37" s="7" t="s">
        <v>263</v>
      </c>
      <c r="C37" s="7" t="s">
        <v>260</v>
      </c>
    </row>
    <row r="38" spans="1:5">
      <c r="A38" s="7">
        <v>37</v>
      </c>
      <c r="B38" s="7" t="s">
        <v>289</v>
      </c>
      <c r="C38" s="7" t="s">
        <v>290</v>
      </c>
    </row>
    <row r="39" spans="1:5">
      <c r="A39" s="7">
        <v>38</v>
      </c>
      <c r="B39" s="7" t="s">
        <v>262</v>
      </c>
      <c r="C39" s="7" t="s">
        <v>261</v>
      </c>
    </row>
    <row r="40" spans="1:5">
      <c r="A40" s="7">
        <v>39</v>
      </c>
      <c r="B40" s="7" t="s">
        <v>291</v>
      </c>
      <c r="C40" s="7" t="s">
        <v>292</v>
      </c>
    </row>
    <row r="41" spans="1:5">
      <c r="A41" s="7">
        <v>40</v>
      </c>
      <c r="B41" s="7" t="s">
        <v>264</v>
      </c>
      <c r="C41" s="7" t="s">
        <v>8155</v>
      </c>
    </row>
    <row r="42" spans="1:5">
      <c r="A42" s="7">
        <v>41</v>
      </c>
      <c r="B42" s="7" t="s">
        <v>266</v>
      </c>
      <c r="C42" s="7" t="s">
        <v>265</v>
      </c>
    </row>
    <row r="43" spans="1:5">
      <c r="A43" s="7">
        <v>42</v>
      </c>
      <c r="B43" s="7" t="s">
        <v>268</v>
      </c>
      <c r="C43" s="7" t="s">
        <v>267</v>
      </c>
    </row>
    <row r="44" spans="1:5">
      <c r="A44" s="7">
        <v>43</v>
      </c>
      <c r="B44" s="7" t="s">
        <v>287</v>
      </c>
      <c r="C44" s="7" t="s">
        <v>269</v>
      </c>
    </row>
    <row r="45" spans="1:5">
      <c r="A45" s="7">
        <v>44</v>
      </c>
      <c r="B45" s="7" t="s">
        <v>271</v>
      </c>
      <c r="C45" s="7" t="s">
        <v>270</v>
      </c>
    </row>
    <row r="46" spans="1:5">
      <c r="A46" s="7">
        <v>45</v>
      </c>
      <c r="B46" s="7" t="s">
        <v>274</v>
      </c>
      <c r="C46" s="7" t="s">
        <v>272</v>
      </c>
      <c r="E46" s="7" t="s">
        <v>273</v>
      </c>
    </row>
    <row r="47" spans="1:5">
      <c r="A47" s="7">
        <v>46</v>
      </c>
      <c r="B47" s="7" t="s">
        <v>281</v>
      </c>
      <c r="C47" s="7" t="s">
        <v>276</v>
      </c>
      <c r="E47" s="7" t="s">
        <v>273</v>
      </c>
    </row>
    <row r="48" spans="1:5">
      <c r="A48" s="7">
        <v>47</v>
      </c>
      <c r="B48" s="7" t="s">
        <v>282</v>
      </c>
      <c r="C48" s="7" t="s">
        <v>277</v>
      </c>
      <c r="E48" s="7" t="s">
        <v>273</v>
      </c>
    </row>
    <row r="49" spans="1:5">
      <c r="A49" s="7">
        <v>48</v>
      </c>
      <c r="B49" s="7" t="s">
        <v>283</v>
      </c>
      <c r="C49" s="7" t="s">
        <v>278</v>
      </c>
      <c r="E49" s="7" t="s">
        <v>273</v>
      </c>
    </row>
    <row r="50" spans="1:5">
      <c r="A50" s="7">
        <v>49</v>
      </c>
      <c r="B50" s="7" t="s">
        <v>284</v>
      </c>
      <c r="C50" s="7" t="s">
        <v>280</v>
      </c>
      <c r="E50" s="7" t="s">
        <v>273</v>
      </c>
    </row>
    <row r="51" spans="1:5">
      <c r="A51" s="7">
        <v>50</v>
      </c>
      <c r="B51" s="7" t="s">
        <v>285</v>
      </c>
      <c r="C51" s="7" t="s">
        <v>279</v>
      </c>
      <c r="E51" s="7" t="s">
        <v>273</v>
      </c>
    </row>
    <row r="52" spans="1:5">
      <c r="A52" s="7">
        <v>51</v>
      </c>
      <c r="B52" s="7" t="s">
        <v>2024</v>
      </c>
      <c r="C52" s="7" t="s">
        <v>2025</v>
      </c>
    </row>
    <row r="53" spans="1:5">
      <c r="A53" s="7">
        <v>52</v>
      </c>
      <c r="B53" s="7" t="s">
        <v>2026</v>
      </c>
      <c r="C53" s="7" t="s">
        <v>2027</v>
      </c>
    </row>
    <row r="54" spans="1:5">
      <c r="A54" s="7">
        <v>53</v>
      </c>
      <c r="B54" s="7" t="s">
        <v>2028</v>
      </c>
      <c r="C54" s="7" t="s">
        <v>2029</v>
      </c>
    </row>
    <row r="55" spans="1:5">
      <c r="A55" s="7">
        <v>54</v>
      </c>
      <c r="B55" s="7" t="s">
        <v>2030</v>
      </c>
      <c r="C55" s="7" t="s">
        <v>2031</v>
      </c>
    </row>
    <row r="56" spans="1:5">
      <c r="A56" s="7">
        <v>55</v>
      </c>
      <c r="B56" s="7" t="s">
        <v>2032</v>
      </c>
      <c r="C56" s="7" t="s">
        <v>2033</v>
      </c>
    </row>
    <row r="57" spans="1:5">
      <c r="A57" s="7">
        <v>56</v>
      </c>
      <c r="B57" s="7" t="s">
        <v>2034</v>
      </c>
      <c r="C57" s="7" t="s">
        <v>2113</v>
      </c>
    </row>
    <row r="58" spans="1:5">
      <c r="A58" s="7">
        <v>57</v>
      </c>
      <c r="B58" s="7" t="s">
        <v>2035</v>
      </c>
      <c r="C58" s="7" t="s">
        <v>2114</v>
      </c>
    </row>
    <row r="59" spans="1:5">
      <c r="A59" s="7">
        <v>58</v>
      </c>
      <c r="B59" s="7" t="s">
        <v>378</v>
      </c>
      <c r="C59" s="7" t="s">
        <v>377</v>
      </c>
    </row>
    <row r="60" spans="1:5">
      <c r="A60" s="7">
        <v>59</v>
      </c>
      <c r="B60" s="7" t="s">
        <v>2036</v>
      </c>
      <c r="C60" s="7" t="s">
        <v>383</v>
      </c>
    </row>
    <row r="61" spans="1:5">
      <c r="A61" s="7">
        <v>60</v>
      </c>
      <c r="B61" s="7" t="s">
        <v>384</v>
      </c>
      <c r="C61" s="7" t="s">
        <v>382</v>
      </c>
    </row>
    <row r="62" spans="1:5">
      <c r="A62" s="7">
        <v>61</v>
      </c>
      <c r="B62" s="7" t="s">
        <v>385</v>
      </c>
      <c r="C62" s="7" t="s">
        <v>387</v>
      </c>
    </row>
    <row r="63" spans="1:5">
      <c r="A63" s="7">
        <v>62</v>
      </c>
      <c r="B63" s="7" t="s">
        <v>386</v>
      </c>
      <c r="C63" s="7" t="s">
        <v>388</v>
      </c>
    </row>
    <row r="64" spans="1:5">
      <c r="A64" s="7">
        <v>63</v>
      </c>
      <c r="B64" s="7" t="s">
        <v>599</v>
      </c>
      <c r="C64" s="7" t="s">
        <v>8029</v>
      </c>
    </row>
    <row r="65" spans="1:5">
      <c r="A65" s="7">
        <v>64</v>
      </c>
      <c r="B65" s="7" t="s">
        <v>2010</v>
      </c>
      <c r="C65" s="7" t="s">
        <v>2011</v>
      </c>
    </row>
    <row r="66" spans="1:5">
      <c r="A66" s="7">
        <v>65</v>
      </c>
      <c r="B66" s="7" t="s">
        <v>2012</v>
      </c>
      <c r="C66" s="7" t="s">
        <v>2013</v>
      </c>
    </row>
    <row r="67" spans="1:5">
      <c r="A67" s="7">
        <v>66</v>
      </c>
      <c r="B67" s="7" t="s">
        <v>2014</v>
      </c>
      <c r="C67" s="7" t="s">
        <v>2015</v>
      </c>
    </row>
    <row r="68" spans="1:5">
      <c r="A68" s="7">
        <v>67</v>
      </c>
      <c r="B68" s="7" t="s">
        <v>2016</v>
      </c>
      <c r="C68" s="7" t="s">
        <v>2017</v>
      </c>
    </row>
    <row r="69" spans="1:5">
      <c r="A69" s="7">
        <v>68</v>
      </c>
      <c r="B69" s="7" t="s">
        <v>2018</v>
      </c>
      <c r="C69" s="7" t="s">
        <v>2019</v>
      </c>
    </row>
    <row r="70" spans="1:5">
      <c r="A70" s="7">
        <v>69</v>
      </c>
      <c r="B70" s="7" t="s">
        <v>2020</v>
      </c>
      <c r="C70" s="7" t="s">
        <v>2021</v>
      </c>
    </row>
    <row r="71" spans="1:5">
      <c r="A71" s="7">
        <v>70</v>
      </c>
      <c r="B71" s="7" t="s">
        <v>2022</v>
      </c>
      <c r="C71" s="7" t="s">
        <v>2023</v>
      </c>
    </row>
    <row r="72" spans="1:5">
      <c r="A72" s="7">
        <v>71</v>
      </c>
      <c r="B72" s="7" t="s">
        <v>2126</v>
      </c>
      <c r="C72" s="7" t="s">
        <v>3650</v>
      </c>
      <c r="D72" t="s">
        <v>7808</v>
      </c>
      <c r="E72"/>
    </row>
    <row r="73" spans="1:5">
      <c r="A73" s="7">
        <v>72</v>
      </c>
      <c r="B73" s="7" t="s">
        <v>2127</v>
      </c>
      <c r="C73" s="7" t="s">
        <v>3652</v>
      </c>
      <c r="D73" t="s">
        <v>7809</v>
      </c>
      <c r="E73"/>
    </row>
    <row r="74" spans="1:5">
      <c r="A74" s="7">
        <v>73</v>
      </c>
      <c r="B74" s="7" t="s">
        <v>2128</v>
      </c>
      <c r="C74" s="7" t="s">
        <v>3653</v>
      </c>
      <c r="D74" t="s">
        <v>3651</v>
      </c>
      <c r="E74"/>
    </row>
    <row r="75" spans="1:5">
      <c r="A75" s="7">
        <v>74</v>
      </c>
      <c r="B75" s="7" t="s">
        <v>2129</v>
      </c>
      <c r="C75" s="7" t="s">
        <v>6103</v>
      </c>
      <c r="D75" t="s">
        <v>7810</v>
      </c>
      <c r="E75" s="24"/>
    </row>
    <row r="76" spans="1:5">
      <c r="A76" s="7">
        <v>75</v>
      </c>
      <c r="B76" s="7" t="s">
        <v>2130</v>
      </c>
      <c r="C76" s="7" t="s">
        <v>3654</v>
      </c>
      <c r="D76" t="s">
        <v>3655</v>
      </c>
      <c r="E76" t="s">
        <v>7807</v>
      </c>
    </row>
    <row r="77" spans="1:5">
      <c r="A77" s="7">
        <v>76</v>
      </c>
      <c r="B77" s="7" t="s">
        <v>2131</v>
      </c>
      <c r="C77" s="7" t="s">
        <v>3656</v>
      </c>
      <c r="D77" t="s">
        <v>3657</v>
      </c>
      <c r="E7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C15" sqref="C15"/>
    </sheetView>
  </sheetViews>
  <sheetFormatPr defaultColWidth="19.625" defaultRowHeight="13.5"/>
  <cols>
    <col min="1" max="1" width="7.375" style="7" bestFit="1" customWidth="1"/>
    <col min="2" max="2" width="13.125" style="7" bestFit="1" customWidth="1"/>
    <col min="3" max="3" width="101.625" style="7" bestFit="1" customWidth="1"/>
    <col min="4" max="4" width="44.625" style="7" bestFit="1" customWidth="1"/>
    <col min="5" max="5" width="15" style="7" bestFit="1" customWidth="1"/>
    <col min="6" max="6" width="19.875" style="7" bestFit="1" customWidth="1"/>
    <col min="7" max="16384" width="19.625" style="7"/>
  </cols>
  <sheetData>
    <row r="1" spans="1:6">
      <c r="A1" s="17" t="s">
        <v>1579</v>
      </c>
      <c r="B1" s="17" t="s">
        <v>1577</v>
      </c>
      <c r="C1" s="18" t="s">
        <v>89</v>
      </c>
      <c r="D1" s="7" t="s">
        <v>121</v>
      </c>
      <c r="E1" s="7" t="s">
        <v>121</v>
      </c>
      <c r="F1" s="7" t="s">
        <v>121</v>
      </c>
    </row>
    <row r="2" spans="1:6">
      <c r="A2" s="7" t="s">
        <v>2137</v>
      </c>
      <c r="B2" s="7" t="s">
        <v>793</v>
      </c>
      <c r="C2" s="7" t="s">
        <v>1569</v>
      </c>
      <c r="D2" s="7" t="s">
        <v>1614</v>
      </c>
      <c r="E2" s="7" t="s">
        <v>1619</v>
      </c>
      <c r="F2" s="7" t="s">
        <v>2138</v>
      </c>
    </row>
    <row r="3" spans="1:6">
      <c r="A3" s="7">
        <v>2</v>
      </c>
      <c r="B3" s="7" t="s">
        <v>2134</v>
      </c>
      <c r="C3" s="7" t="s">
        <v>2135</v>
      </c>
    </row>
    <row r="4" spans="1:6">
      <c r="A4" s="7">
        <v>3</v>
      </c>
      <c r="B4" s="7" t="s">
        <v>5316</v>
      </c>
      <c r="C4" s="7" t="s">
        <v>5317</v>
      </c>
    </row>
    <row r="5" spans="1:6">
      <c r="A5" s="7">
        <v>4</v>
      </c>
      <c r="B5" s="7" t="s">
        <v>5775</v>
      </c>
      <c r="C5" s="7" t="s">
        <v>5776</v>
      </c>
    </row>
    <row r="6" spans="1:6" s="13" customFormat="1">
      <c r="A6" s="13">
        <v>1103</v>
      </c>
      <c r="B6" s="13" t="s">
        <v>2136</v>
      </c>
      <c r="C6" s="13" t="s">
        <v>369</v>
      </c>
      <c r="D6" s="13">
        <v>1106</v>
      </c>
    </row>
    <row r="7" spans="1:6" s="13" customFormat="1">
      <c r="A7" s="13">
        <v>1204</v>
      </c>
      <c r="B7" s="13" t="s">
        <v>657</v>
      </c>
      <c r="C7" s="13" t="s">
        <v>810</v>
      </c>
      <c r="D7" s="13">
        <v>2000</v>
      </c>
      <c r="E7" s="13" t="s">
        <v>794</v>
      </c>
    </row>
    <row r="8" spans="1:6" s="13" customFormat="1">
      <c r="A8" s="13">
        <v>2301</v>
      </c>
      <c r="B8" s="13" t="s">
        <v>86</v>
      </c>
      <c r="C8" s="13" t="s">
        <v>88</v>
      </c>
      <c r="D8" s="13">
        <v>8</v>
      </c>
      <c r="E8" s="13">
        <v>2</v>
      </c>
      <c r="F8" s="13">
        <v>2306</v>
      </c>
    </row>
    <row r="9" spans="1:6" s="13" customFormat="1">
      <c r="A9" s="13">
        <v>3005</v>
      </c>
      <c r="B9" s="13" t="s">
        <v>795</v>
      </c>
      <c r="C9" s="13" t="s">
        <v>796</v>
      </c>
      <c r="D9" s="13">
        <v>3</v>
      </c>
    </row>
    <row r="10" spans="1:6" s="13" customFormat="1">
      <c r="A10" s="13">
        <v>4101</v>
      </c>
      <c r="B10" s="13" t="s">
        <v>746</v>
      </c>
      <c r="C10" s="13" t="s">
        <v>719</v>
      </c>
      <c r="D10" s="13">
        <v>80</v>
      </c>
      <c r="E10" s="13">
        <v>4106</v>
      </c>
      <c r="F10" s="13">
        <v>4107</v>
      </c>
    </row>
    <row r="11" spans="1:6" s="13" customFormat="1">
      <c r="A11" s="13">
        <v>4108</v>
      </c>
      <c r="B11" s="13" t="s">
        <v>792</v>
      </c>
      <c r="C11" s="13" t="s">
        <v>83</v>
      </c>
      <c r="E11" s="13">
        <v>30</v>
      </c>
      <c r="F11" s="13">
        <v>2</v>
      </c>
    </row>
    <row r="12" spans="1:6" s="13" customFormat="1">
      <c r="A12" s="13">
        <v>4302</v>
      </c>
      <c r="C12" s="13" t="s">
        <v>142</v>
      </c>
      <c r="D12" s="13">
        <v>4306</v>
      </c>
      <c r="E12" s="13">
        <v>4307</v>
      </c>
    </row>
    <row r="13" spans="1:6" s="13" customFormat="1">
      <c r="A13" s="13">
        <v>5304</v>
      </c>
      <c r="B13" s="13" t="s">
        <v>802</v>
      </c>
      <c r="C13" s="13" t="s">
        <v>120</v>
      </c>
      <c r="D13" s="13" t="s">
        <v>803</v>
      </c>
    </row>
    <row r="14" spans="1:6" s="13" customFormat="1">
      <c r="A14" s="13">
        <v>5705</v>
      </c>
      <c r="B14" s="13" t="s">
        <v>805</v>
      </c>
      <c r="C14" s="13" t="s">
        <v>806</v>
      </c>
      <c r="D14" s="13">
        <v>5706</v>
      </c>
      <c r="E14" s="13">
        <v>57</v>
      </c>
    </row>
    <row r="15" spans="1:6" s="13" customFormat="1">
      <c r="A15" s="13">
        <v>6706</v>
      </c>
      <c r="B15" s="13" t="s">
        <v>9116</v>
      </c>
      <c r="C15" s="13" t="s">
        <v>9118</v>
      </c>
      <c r="E15" s="13">
        <v>100</v>
      </c>
      <c r="F15" s="13">
        <v>4</v>
      </c>
    </row>
    <row r="16" spans="1:6" s="13" customFormat="1">
      <c r="A16" s="13">
        <v>20153</v>
      </c>
      <c r="B16" s="13" t="s">
        <v>188</v>
      </c>
      <c r="C16" s="13" t="s">
        <v>120</v>
      </c>
      <c r="D16" s="13" t="s">
        <v>189</v>
      </c>
    </row>
    <row r="17" spans="1:6" s="13" customFormat="1">
      <c r="A17" s="13">
        <v>20155</v>
      </c>
      <c r="B17" s="13" t="s">
        <v>190</v>
      </c>
      <c r="C17" s="13" t="s">
        <v>83</v>
      </c>
      <c r="D17" s="13">
        <v>20155</v>
      </c>
      <c r="E17" s="13">
        <v>10</v>
      </c>
      <c r="F17" s="13">
        <v>2</v>
      </c>
    </row>
    <row r="18" spans="1:6" s="13" customFormat="1">
      <c r="A18" s="13">
        <v>20158</v>
      </c>
      <c r="C18" s="13" t="s">
        <v>797</v>
      </c>
    </row>
    <row r="19" spans="1:6" s="13" customFormat="1">
      <c r="A19" s="13">
        <v>40316</v>
      </c>
      <c r="C19" s="13" t="s">
        <v>720</v>
      </c>
      <c r="D19" s="13" t="s">
        <v>9035</v>
      </c>
    </row>
    <row r="20" spans="1:6" s="13" customFormat="1">
      <c r="A20" s="13">
        <v>41016</v>
      </c>
      <c r="B20" s="13" t="s">
        <v>798</v>
      </c>
      <c r="C20" s="13" t="s">
        <v>736</v>
      </c>
    </row>
    <row r="21" spans="1:6">
      <c r="A21" s="20">
        <v>50199</v>
      </c>
      <c r="B21" s="13" t="s">
        <v>7641</v>
      </c>
      <c r="C21" s="13" t="s">
        <v>7642</v>
      </c>
      <c r="D21" s="7">
        <v>100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8"/>
  <sheetViews>
    <sheetView workbookViewId="0">
      <selection activeCell="D22" sqref="D22"/>
    </sheetView>
  </sheetViews>
  <sheetFormatPr defaultColWidth="17.375" defaultRowHeight="13.5"/>
  <cols>
    <col min="1" max="1" width="8.5" style="7" bestFit="1" customWidth="1"/>
    <col min="2" max="2" width="15.125" style="7" bestFit="1" customWidth="1"/>
    <col min="3" max="3" width="98" style="7" bestFit="1" customWidth="1"/>
    <col min="4" max="4" width="30.5" style="7" bestFit="1" customWidth="1"/>
    <col min="5" max="6" width="10.5" style="7" bestFit="1" customWidth="1"/>
    <col min="7" max="16384" width="17.375" style="7"/>
  </cols>
  <sheetData>
    <row r="1" spans="1:6">
      <c r="A1" s="7" t="s">
        <v>1616</v>
      </c>
      <c r="B1" s="7" t="s">
        <v>1617</v>
      </c>
      <c r="C1" s="7" t="s">
        <v>1606</v>
      </c>
      <c r="D1" s="7" t="s">
        <v>121</v>
      </c>
      <c r="E1" s="7" t="s">
        <v>121</v>
      </c>
      <c r="F1" s="7" t="s">
        <v>121</v>
      </c>
    </row>
    <row r="2" spans="1:6">
      <c r="A2" s="7" t="s">
        <v>1615</v>
      </c>
      <c r="B2" s="7" t="s">
        <v>3</v>
      </c>
      <c r="C2" s="7" t="s">
        <v>1569</v>
      </c>
      <c r="D2" s="7" t="s">
        <v>1618</v>
      </c>
      <c r="E2" s="7" t="s">
        <v>1619</v>
      </c>
      <c r="F2" s="7" t="s">
        <v>1620</v>
      </c>
    </row>
    <row r="3" spans="1:6">
      <c r="A3" s="7">
        <v>1</v>
      </c>
      <c r="B3" s="7" t="s">
        <v>2132</v>
      </c>
      <c r="C3" s="7" t="s">
        <v>2133</v>
      </c>
    </row>
    <row r="4" spans="1:6">
      <c r="A4" s="7">
        <v>21</v>
      </c>
      <c r="B4" s="7" t="s">
        <v>310</v>
      </c>
      <c r="C4" s="7" t="s">
        <v>311</v>
      </c>
    </row>
    <row r="5" spans="1:6">
      <c r="A5" s="7">
        <v>23</v>
      </c>
      <c r="B5" s="7" t="s">
        <v>297</v>
      </c>
      <c r="C5" s="7" t="s">
        <v>298</v>
      </c>
    </row>
    <row r="6" spans="1:6">
      <c r="A6" s="7">
        <v>50</v>
      </c>
      <c r="B6" s="7" t="s">
        <v>303</v>
      </c>
      <c r="C6" s="7" t="s">
        <v>304</v>
      </c>
    </row>
    <row r="7" spans="1:6">
      <c r="A7" s="7">
        <v>61</v>
      </c>
      <c r="B7" s="7" t="s">
        <v>308</v>
      </c>
      <c r="C7" s="7" t="s">
        <v>721</v>
      </c>
    </row>
    <row r="8" spans="1:6">
      <c r="A8" s="7">
        <v>93</v>
      </c>
      <c r="B8" s="7" t="s">
        <v>370</v>
      </c>
      <c r="C8" s="7" t="s">
        <v>371</v>
      </c>
    </row>
    <row r="9" spans="1:6" s="13" customFormat="1">
      <c r="A9" s="13">
        <v>100</v>
      </c>
      <c r="B9" s="13" t="s">
        <v>821</v>
      </c>
      <c r="C9" s="13" t="s">
        <v>822</v>
      </c>
      <c r="D9" s="13">
        <v>3</v>
      </c>
    </row>
    <row r="10" spans="1:6" s="13" customFormat="1">
      <c r="A10" s="13">
        <v>403</v>
      </c>
      <c r="B10" s="13" t="s">
        <v>312</v>
      </c>
      <c r="C10" s="13" t="s">
        <v>307</v>
      </c>
      <c r="D10" s="13" t="s">
        <v>715</v>
      </c>
    </row>
    <row r="11" spans="1:6" s="13" customFormat="1">
      <c r="A11" s="13">
        <v>1107</v>
      </c>
      <c r="B11" s="13" t="s">
        <v>710</v>
      </c>
      <c r="C11" s="13" t="s">
        <v>711</v>
      </c>
      <c r="D11" s="14" t="s">
        <v>9044</v>
      </c>
    </row>
    <row r="12" spans="1:6" s="13" customFormat="1">
      <c r="A12" s="13">
        <v>2302</v>
      </c>
      <c r="B12" s="13" t="s">
        <v>717</v>
      </c>
      <c r="D12" s="13" t="s">
        <v>718</v>
      </c>
      <c r="E12" s="13">
        <v>15</v>
      </c>
      <c r="F12" s="13">
        <v>30</v>
      </c>
    </row>
    <row r="13" spans="1:6" s="13" customFormat="1">
      <c r="A13" s="13">
        <v>5706</v>
      </c>
      <c r="B13" s="13" t="s">
        <v>809</v>
      </c>
      <c r="D13" s="13">
        <v>5704</v>
      </c>
      <c r="E13" s="13">
        <v>5705</v>
      </c>
    </row>
    <row r="14" spans="1:6" s="13" customFormat="1">
      <c r="A14" s="13">
        <v>20152</v>
      </c>
      <c r="B14" s="13" t="s">
        <v>185</v>
      </c>
      <c r="C14" s="13" t="s">
        <v>186</v>
      </c>
      <c r="D14" s="13" t="s">
        <v>187</v>
      </c>
    </row>
    <row r="15" spans="1:6" s="13" customFormat="1">
      <c r="A15" s="13">
        <v>20156</v>
      </c>
      <c r="B15" s="13" t="s">
        <v>723</v>
      </c>
      <c r="C15" s="13" t="s">
        <v>724</v>
      </c>
      <c r="D15" s="14" t="s">
        <v>743</v>
      </c>
    </row>
    <row r="16" spans="1:6" s="13" customFormat="1">
      <c r="A16" s="13">
        <v>30008</v>
      </c>
      <c r="C16" s="13" t="s">
        <v>738</v>
      </c>
      <c r="D16" s="13">
        <v>5</v>
      </c>
    </row>
    <row r="17" spans="1:6" s="13" customFormat="1">
      <c r="A17" s="13">
        <v>30009</v>
      </c>
      <c r="C17" s="13" t="s">
        <v>739</v>
      </c>
      <c r="D17" s="13">
        <v>5</v>
      </c>
    </row>
    <row r="18" spans="1:6" s="13" customFormat="1">
      <c r="A18" s="13">
        <v>30047</v>
      </c>
      <c r="C18" s="13" t="s">
        <v>7532</v>
      </c>
      <c r="D18" s="13">
        <v>5</v>
      </c>
    </row>
    <row r="19" spans="1:6" s="13" customFormat="1">
      <c r="A19" s="13">
        <v>30049</v>
      </c>
      <c r="C19" s="21" t="s">
        <v>7752</v>
      </c>
      <c r="D19" s="13">
        <v>5501</v>
      </c>
      <c r="E19" s="13">
        <v>92</v>
      </c>
      <c r="F19" s="13">
        <v>80</v>
      </c>
    </row>
    <row r="20" spans="1:6" s="13" customFormat="1">
      <c r="A20" s="13">
        <v>30050</v>
      </c>
      <c r="C20" s="21" t="s">
        <v>7684</v>
      </c>
      <c r="D20" s="13">
        <v>3201</v>
      </c>
      <c r="E20" s="13">
        <v>60</v>
      </c>
    </row>
    <row r="21" spans="1:6" s="13" customFormat="1">
      <c r="A21" s="13">
        <v>30054</v>
      </c>
      <c r="C21" s="13" t="s">
        <v>7570</v>
      </c>
      <c r="D21" s="13">
        <v>5</v>
      </c>
    </row>
    <row r="22" spans="1:6" s="13" customFormat="1">
      <c r="A22" s="20">
        <v>30075</v>
      </c>
      <c r="B22" s="20" t="s">
        <v>8124</v>
      </c>
      <c r="C22" s="20" t="s">
        <v>8125</v>
      </c>
      <c r="D22" s="13">
        <v>40</v>
      </c>
      <c r="E22" s="13">
        <v>15</v>
      </c>
    </row>
    <row r="23" spans="1:6" s="13" customFormat="1">
      <c r="A23" s="20">
        <v>30076</v>
      </c>
      <c r="B23" s="20" t="s">
        <v>8123</v>
      </c>
      <c r="C23" s="72" t="s">
        <v>8126</v>
      </c>
      <c r="D23" s="13">
        <v>100</v>
      </c>
      <c r="E23" s="13">
        <v>10</v>
      </c>
    </row>
    <row r="24" spans="1:6" s="13" customFormat="1">
      <c r="A24" s="13">
        <v>30015</v>
      </c>
      <c r="B24" s="13" t="s">
        <v>1437</v>
      </c>
    </row>
    <row r="25" spans="1:6" s="13" customFormat="1">
      <c r="A25" s="20">
        <v>31029</v>
      </c>
      <c r="B25" s="27" t="s">
        <v>7244</v>
      </c>
      <c r="C25" s="21" t="s">
        <v>5347</v>
      </c>
      <c r="D25" s="13">
        <v>10</v>
      </c>
    </row>
    <row r="26" spans="1:6" s="13" customFormat="1">
      <c r="A26" s="13">
        <v>32011</v>
      </c>
      <c r="C26" s="13" t="s">
        <v>7606</v>
      </c>
    </row>
    <row r="27" spans="1:6" s="13" customFormat="1">
      <c r="A27" s="13">
        <v>40119</v>
      </c>
      <c r="B27" s="13" t="s">
        <v>817</v>
      </c>
      <c r="C27" s="13" t="s">
        <v>814</v>
      </c>
      <c r="D27" s="13">
        <v>2</v>
      </c>
    </row>
    <row r="28" spans="1:6" s="13" customFormat="1">
      <c r="A28" s="13">
        <v>40120</v>
      </c>
      <c r="B28" s="13" t="s">
        <v>815</v>
      </c>
      <c r="C28" s="13" t="s">
        <v>816</v>
      </c>
      <c r="D28" s="13" t="s">
        <v>818</v>
      </c>
      <c r="E28" s="13">
        <v>0.5</v>
      </c>
      <c r="F28" s="13">
        <v>20</v>
      </c>
    </row>
    <row r="29" spans="1:6" s="13" customFormat="1">
      <c r="A29" s="13">
        <v>40314</v>
      </c>
      <c r="B29" s="13" t="s">
        <v>819</v>
      </c>
      <c r="C29" s="13" t="s">
        <v>820</v>
      </c>
      <c r="D29" s="13" t="s">
        <v>823</v>
      </c>
    </row>
    <row r="30" spans="1:6" s="13" customFormat="1">
      <c r="A30" s="13">
        <v>40516</v>
      </c>
      <c r="B30" s="13" t="s">
        <v>730</v>
      </c>
      <c r="C30" s="13" t="s">
        <v>729</v>
      </c>
    </row>
    <row r="31" spans="1:6" s="13" customFormat="1">
      <c r="A31" s="13">
        <v>40519</v>
      </c>
      <c r="B31" s="13" t="s">
        <v>728</v>
      </c>
      <c r="C31" s="13" t="s">
        <v>721</v>
      </c>
    </row>
    <row r="32" spans="1:6" s="13" customFormat="1">
      <c r="A32" s="13">
        <v>40915</v>
      </c>
      <c r="B32" s="13" t="s">
        <v>731</v>
      </c>
      <c r="C32" s="13" t="s">
        <v>732</v>
      </c>
      <c r="D32" s="13">
        <v>1</v>
      </c>
    </row>
    <row r="33" spans="1:4" s="13" customFormat="1">
      <c r="A33" s="9">
        <v>40916</v>
      </c>
      <c r="B33" s="9" t="s">
        <v>554</v>
      </c>
      <c r="C33" s="9" t="s">
        <v>733</v>
      </c>
      <c r="D33" s="13" t="s">
        <v>496</v>
      </c>
    </row>
    <row r="34" spans="1:4" s="13" customFormat="1">
      <c r="A34" s="9">
        <v>40917</v>
      </c>
      <c r="B34" s="9" t="s">
        <v>555</v>
      </c>
      <c r="C34" s="9" t="s">
        <v>556</v>
      </c>
      <c r="D34" s="13" t="s">
        <v>734</v>
      </c>
    </row>
    <row r="35" spans="1:4" s="13" customFormat="1">
      <c r="A35" s="9">
        <v>40918</v>
      </c>
      <c r="B35" s="9" t="s">
        <v>557</v>
      </c>
      <c r="C35" s="9" t="s">
        <v>598</v>
      </c>
      <c r="D35" s="13" t="s">
        <v>418</v>
      </c>
    </row>
    <row r="36" spans="1:4" s="13" customFormat="1">
      <c r="A36" s="9">
        <v>41044</v>
      </c>
      <c r="B36" s="9"/>
      <c r="C36" s="15" t="s">
        <v>735</v>
      </c>
      <c r="D36" s="13">
        <v>10</v>
      </c>
    </row>
    <row r="37" spans="1:4">
      <c r="A37" s="9">
        <v>30038</v>
      </c>
      <c r="B37" s="17" t="s">
        <v>5729</v>
      </c>
      <c r="C37" s="7" t="s">
        <v>3639</v>
      </c>
      <c r="D37" s="13" t="s">
        <v>5777</v>
      </c>
    </row>
    <row r="38" spans="1:4">
      <c r="A38" s="9">
        <v>30030</v>
      </c>
      <c r="B38" s="20" t="s">
        <v>5721</v>
      </c>
      <c r="C38" s="9" t="s">
        <v>7142</v>
      </c>
      <c r="D38" s="7">
        <v>1910</v>
      </c>
    </row>
  </sheetData>
  <phoneticPr fontId="1" type="noConversion"/>
  <conditionalFormatting sqref="C7:XFD7 D5:XFD6 A39:XFD1048576 A8:XFD8 A1:XFD4 D37:XFD37 A37:A38 C38:XFD38">
    <cfRule type="containsText" dxfId="3" priority="16" operator="containsText" text="红水晶">
      <formula>NOT(ISERROR(SEARCH("红水晶",A1)))</formula>
    </cfRule>
  </conditionalFormatting>
  <conditionalFormatting sqref="A13:XFD15 E12:XFD12 D9:XFD11 D16:XFD17 E29:XFD31 D35:XFD35 A24:B24 D24:XFD28 A26:B26">
    <cfRule type="containsText" dxfId="2" priority="3" operator="containsText" text="红水晶">
      <formula>NOT(ISERROR(SEARCH("红水晶",A9)))</formula>
    </cfRule>
  </conditionalFormatting>
  <conditionalFormatting sqref="D18:XFD20">
    <cfRule type="containsText" dxfId="1" priority="2" operator="containsText" text="红水晶">
      <formula>NOT(ISERROR(SEARCH("红水晶",D18)))</formula>
    </cfRule>
  </conditionalFormatting>
  <conditionalFormatting sqref="D21:XFD23">
    <cfRule type="containsText" dxfId="0" priority="1" operator="containsText" text="红水晶">
      <formula>NOT(ISERROR(SEARCH("红水晶",D21)))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N31" sqref="N31"/>
    </sheetView>
  </sheetViews>
  <sheetFormatPr defaultColWidth="8.875" defaultRowHeight="13.5"/>
  <cols>
    <col min="1" max="1" width="7.5" customWidth="1"/>
    <col min="2" max="4" width="10.5" bestFit="1" customWidth="1"/>
    <col min="5" max="5" width="11.625" bestFit="1" customWidth="1"/>
  </cols>
  <sheetData>
    <row r="1" spans="1:16">
      <c r="A1" t="s">
        <v>379</v>
      </c>
    </row>
    <row r="2" spans="1:16">
      <c r="A2" t="s">
        <v>2139</v>
      </c>
      <c r="B2" t="s">
        <v>2140</v>
      </c>
      <c r="C2" t="s">
        <v>2141</v>
      </c>
      <c r="D2" t="s">
        <v>2142</v>
      </c>
      <c r="E2" t="s">
        <v>2143</v>
      </c>
    </row>
    <row r="3" spans="1:16">
      <c r="A3">
        <v>0</v>
      </c>
      <c r="B3">
        <v>1</v>
      </c>
      <c r="C3">
        <v>1</v>
      </c>
      <c r="D3">
        <v>1</v>
      </c>
      <c r="E3">
        <v>1</v>
      </c>
      <c r="G3">
        <v>1</v>
      </c>
      <c r="I3">
        <v>1</v>
      </c>
      <c r="K3">
        <v>1</v>
      </c>
      <c r="M3">
        <v>1</v>
      </c>
    </row>
    <row r="4" spans="1:16">
      <c r="A4">
        <v>1</v>
      </c>
      <c r="B4">
        <v>1.03</v>
      </c>
      <c r="C4">
        <v>1.04</v>
      </c>
      <c r="D4">
        <v>1.05</v>
      </c>
      <c r="E4">
        <v>1.05</v>
      </c>
      <c r="G4">
        <v>1.04</v>
      </c>
      <c r="H4">
        <v>0.03</v>
      </c>
      <c r="I4">
        <v>1.05</v>
      </c>
      <c r="J4">
        <v>0.04</v>
      </c>
      <c r="K4">
        <v>1.06</v>
      </c>
      <c r="L4">
        <v>4.9999999999999996E-2</v>
      </c>
      <c r="M4">
        <v>1.06</v>
      </c>
      <c r="N4">
        <v>4.9999999999999996E-2</v>
      </c>
      <c r="O4">
        <v>0.04</v>
      </c>
      <c r="P4">
        <v>0.03</v>
      </c>
    </row>
    <row r="5" spans="1:16">
      <c r="A5">
        <v>2</v>
      </c>
      <c r="B5">
        <v>1.06</v>
      </c>
      <c r="C5">
        <v>1.08</v>
      </c>
      <c r="D5">
        <v>1.1000000000000001</v>
      </c>
      <c r="E5">
        <v>1.1000000000000001</v>
      </c>
      <c r="G5">
        <v>1.08</v>
      </c>
      <c r="H5">
        <v>0.03</v>
      </c>
      <c r="I5">
        <v>1.1000000000000001</v>
      </c>
      <c r="J5">
        <v>0.04</v>
      </c>
      <c r="K5">
        <v>1.1200000000000001</v>
      </c>
      <c r="L5">
        <v>4.9999999999999996E-2</v>
      </c>
      <c r="M5">
        <v>1.1200000000000001</v>
      </c>
      <c r="N5">
        <v>4.9999999999999996E-2</v>
      </c>
      <c r="O5">
        <v>0.05</v>
      </c>
      <c r="P5">
        <v>0.04</v>
      </c>
    </row>
    <row r="6" spans="1:16">
      <c r="A6">
        <v>3</v>
      </c>
      <c r="B6">
        <v>1.0900000000000001</v>
      </c>
      <c r="C6">
        <v>1.1200000000000001</v>
      </c>
      <c r="D6">
        <v>1.1400000000000001</v>
      </c>
      <c r="E6">
        <v>1.1400000000000001</v>
      </c>
      <c r="G6">
        <v>1.1299999999999999</v>
      </c>
      <c r="H6">
        <v>0.03</v>
      </c>
      <c r="I6">
        <v>1.1599999999999999</v>
      </c>
      <c r="J6">
        <v>0.04</v>
      </c>
      <c r="K6">
        <v>1.18</v>
      </c>
      <c r="L6">
        <v>0.04</v>
      </c>
      <c r="M6">
        <v>1.18</v>
      </c>
      <c r="N6">
        <v>0.04</v>
      </c>
      <c r="O6">
        <v>0.06</v>
      </c>
      <c r="P6">
        <v>4.9999999999999996E-2</v>
      </c>
    </row>
    <row r="7" spans="1:16">
      <c r="A7">
        <v>4</v>
      </c>
      <c r="B7">
        <v>1.1300000000000001</v>
      </c>
      <c r="C7">
        <v>1.1700000000000002</v>
      </c>
      <c r="D7">
        <v>1.1900000000000002</v>
      </c>
      <c r="E7">
        <v>1.1900000000000002</v>
      </c>
      <c r="G7">
        <v>1.18</v>
      </c>
      <c r="H7">
        <v>0.04</v>
      </c>
      <c r="I7">
        <v>1.22</v>
      </c>
      <c r="J7">
        <v>4.9999999999999996E-2</v>
      </c>
      <c r="K7">
        <v>1.24</v>
      </c>
      <c r="L7">
        <v>4.9999999999999996E-2</v>
      </c>
      <c r="M7">
        <v>1.24</v>
      </c>
      <c r="N7">
        <v>4.9999999999999996E-2</v>
      </c>
      <c r="O7">
        <v>7.0000000000000007E-2</v>
      </c>
      <c r="P7">
        <v>0.05</v>
      </c>
    </row>
    <row r="8" spans="1:16">
      <c r="A8">
        <v>5</v>
      </c>
      <c r="B8" s="3">
        <v>1.23</v>
      </c>
      <c r="C8" s="3">
        <v>1.28</v>
      </c>
      <c r="D8" s="3">
        <v>1.31</v>
      </c>
      <c r="E8" s="3">
        <v>1.31</v>
      </c>
      <c r="G8" s="3">
        <v>1.23</v>
      </c>
      <c r="H8">
        <v>0.04</v>
      </c>
      <c r="I8" s="3">
        <v>1.28</v>
      </c>
      <c r="J8">
        <v>4.9999999999999996E-2</v>
      </c>
      <c r="K8" s="3">
        <v>1.31</v>
      </c>
      <c r="L8">
        <v>0.05</v>
      </c>
      <c r="M8" s="3">
        <v>1.31</v>
      </c>
      <c r="N8">
        <v>0.05</v>
      </c>
      <c r="O8">
        <v>0.08</v>
      </c>
      <c r="P8">
        <v>0.06</v>
      </c>
    </row>
    <row r="9" spans="1:16">
      <c r="A9">
        <v>6</v>
      </c>
      <c r="B9">
        <v>1.27</v>
      </c>
      <c r="C9">
        <v>1.33</v>
      </c>
      <c r="D9">
        <v>1.36</v>
      </c>
      <c r="E9">
        <v>1.36</v>
      </c>
      <c r="G9" s="87">
        <v>1.28</v>
      </c>
      <c r="H9">
        <v>0.04</v>
      </c>
      <c r="I9" s="87">
        <v>1.34</v>
      </c>
      <c r="J9">
        <v>4.9999999999999996E-2</v>
      </c>
      <c r="K9" s="87">
        <v>1.38</v>
      </c>
      <c r="L9">
        <v>4.9999999999999996E-2</v>
      </c>
      <c r="M9" s="87">
        <v>1.38</v>
      </c>
      <c r="N9">
        <v>4.9999999999999996E-2</v>
      </c>
      <c r="O9">
        <v>0.09</v>
      </c>
      <c r="P9">
        <v>6.9999999999999993E-2</v>
      </c>
    </row>
    <row r="10" spans="1:16">
      <c r="A10">
        <v>7</v>
      </c>
      <c r="B10">
        <v>1.31</v>
      </c>
      <c r="C10">
        <v>1.3800000000000001</v>
      </c>
      <c r="D10">
        <v>1.4200000000000002</v>
      </c>
      <c r="E10">
        <v>1.4200000000000002</v>
      </c>
      <c r="G10">
        <v>1.33</v>
      </c>
      <c r="H10">
        <v>0.04</v>
      </c>
      <c r="I10">
        <v>1.41</v>
      </c>
      <c r="J10">
        <v>4.9999999999999996E-2</v>
      </c>
      <c r="K10">
        <v>1.46</v>
      </c>
      <c r="L10">
        <v>0.06</v>
      </c>
      <c r="M10">
        <v>1.46</v>
      </c>
      <c r="N10">
        <v>0.06</v>
      </c>
      <c r="O10">
        <v>0.1</v>
      </c>
      <c r="P10">
        <v>0.08</v>
      </c>
    </row>
    <row r="11" spans="1:16">
      <c r="A11">
        <v>8</v>
      </c>
      <c r="B11">
        <v>1.35</v>
      </c>
      <c r="C11">
        <v>1.4300000000000002</v>
      </c>
      <c r="D11">
        <v>1.4800000000000002</v>
      </c>
      <c r="E11">
        <v>1.4800000000000002</v>
      </c>
      <c r="G11">
        <v>1.39</v>
      </c>
      <c r="H11">
        <v>0.04</v>
      </c>
      <c r="I11">
        <v>1.48</v>
      </c>
      <c r="J11">
        <v>0.05</v>
      </c>
      <c r="K11">
        <v>1.54</v>
      </c>
      <c r="L11">
        <v>0.06</v>
      </c>
      <c r="M11">
        <v>1.54</v>
      </c>
      <c r="N11">
        <v>0.06</v>
      </c>
      <c r="O11">
        <v>0.11</v>
      </c>
      <c r="P11">
        <v>0.08</v>
      </c>
    </row>
    <row r="12" spans="1:16">
      <c r="A12">
        <v>9</v>
      </c>
      <c r="B12">
        <v>1.4000000000000001</v>
      </c>
      <c r="C12">
        <v>1.4800000000000002</v>
      </c>
      <c r="D12">
        <v>1.5400000000000003</v>
      </c>
      <c r="E12">
        <v>1.5400000000000003</v>
      </c>
      <c r="G12">
        <v>1.45</v>
      </c>
      <c r="H12">
        <v>4.9999999999999996E-2</v>
      </c>
      <c r="I12">
        <v>1.55</v>
      </c>
      <c r="J12">
        <v>0.05</v>
      </c>
      <c r="K12">
        <v>1.62</v>
      </c>
      <c r="L12">
        <v>0.06</v>
      </c>
      <c r="M12">
        <v>1.62</v>
      </c>
      <c r="N12">
        <v>0.06</v>
      </c>
      <c r="O12">
        <v>0.12</v>
      </c>
      <c r="P12">
        <v>0.09</v>
      </c>
    </row>
    <row r="13" spans="1:16">
      <c r="A13">
        <v>10</v>
      </c>
      <c r="B13" s="3">
        <v>1.51</v>
      </c>
      <c r="C13" s="3">
        <v>1.63</v>
      </c>
      <c r="D13" s="3">
        <v>1.71</v>
      </c>
      <c r="E13" s="3">
        <v>1.71</v>
      </c>
      <c r="G13" s="3">
        <v>1.51</v>
      </c>
      <c r="H13">
        <v>4.9999999999999996E-2</v>
      </c>
      <c r="I13" s="3">
        <v>1.63</v>
      </c>
      <c r="J13">
        <v>0.05</v>
      </c>
      <c r="K13" s="3">
        <v>1.71</v>
      </c>
      <c r="L13">
        <v>0.06</v>
      </c>
      <c r="M13" s="3">
        <v>1.71</v>
      </c>
      <c r="N13">
        <v>0.06</v>
      </c>
      <c r="O13">
        <v>0.13</v>
      </c>
      <c r="P13">
        <v>0.1</v>
      </c>
    </row>
    <row r="14" spans="1:16">
      <c r="A14">
        <v>11</v>
      </c>
      <c r="B14">
        <v>1.56</v>
      </c>
      <c r="C14">
        <v>1.69</v>
      </c>
      <c r="D14">
        <v>1.78</v>
      </c>
      <c r="E14">
        <v>1.78</v>
      </c>
      <c r="G14">
        <v>1.57</v>
      </c>
      <c r="H14">
        <v>4.9999999999999996E-2</v>
      </c>
      <c r="I14">
        <v>1.71</v>
      </c>
      <c r="J14">
        <v>0.06</v>
      </c>
      <c r="K14">
        <v>1.8</v>
      </c>
      <c r="L14">
        <v>6.9999999999999993E-2</v>
      </c>
      <c r="M14">
        <v>1.8</v>
      </c>
      <c r="N14">
        <v>6.9999999999999993E-2</v>
      </c>
      <c r="O14">
        <v>0.14000000000000001</v>
      </c>
      <c r="P14">
        <v>0.11000000000000001</v>
      </c>
    </row>
    <row r="15" spans="1:16">
      <c r="A15">
        <v>12</v>
      </c>
      <c r="B15">
        <v>1.61</v>
      </c>
      <c r="C15">
        <v>1.76</v>
      </c>
      <c r="D15">
        <v>1.85</v>
      </c>
      <c r="E15">
        <v>1.85</v>
      </c>
      <c r="G15">
        <v>1.64</v>
      </c>
      <c r="H15">
        <v>4.9999999999999996E-2</v>
      </c>
      <c r="I15">
        <v>1.8</v>
      </c>
      <c r="J15">
        <v>6.9999999999999993E-2</v>
      </c>
      <c r="K15">
        <v>1.9</v>
      </c>
      <c r="L15">
        <v>6.9999999999999993E-2</v>
      </c>
      <c r="M15">
        <v>1.9</v>
      </c>
      <c r="N15">
        <v>6.9999999999999993E-2</v>
      </c>
      <c r="O15">
        <v>0.15</v>
      </c>
      <c r="P15">
        <v>0.10999999999999999</v>
      </c>
    </row>
    <row r="16" spans="1:16">
      <c r="A16">
        <v>13</v>
      </c>
      <c r="B16">
        <v>1.6600000000000001</v>
      </c>
      <c r="C16">
        <v>1.82</v>
      </c>
      <c r="D16">
        <v>1.9300000000000002</v>
      </c>
      <c r="E16">
        <v>1.9300000000000002</v>
      </c>
      <c r="G16">
        <v>1.71</v>
      </c>
      <c r="H16">
        <v>0.05</v>
      </c>
      <c r="I16">
        <v>1.89</v>
      </c>
      <c r="J16">
        <v>0.06</v>
      </c>
      <c r="K16">
        <v>2</v>
      </c>
      <c r="L16">
        <v>0.08</v>
      </c>
      <c r="M16">
        <v>2</v>
      </c>
      <c r="N16">
        <v>0.08</v>
      </c>
    </row>
    <row r="17" spans="1:14">
      <c r="A17">
        <v>14</v>
      </c>
      <c r="B17">
        <v>1.7100000000000002</v>
      </c>
      <c r="C17">
        <v>1.8900000000000001</v>
      </c>
      <c r="D17">
        <v>2.0100000000000002</v>
      </c>
      <c r="E17">
        <v>2.0100000000000002</v>
      </c>
      <c r="G17">
        <v>1.78</v>
      </c>
      <c r="H17">
        <v>0.05</v>
      </c>
      <c r="I17">
        <v>1.98</v>
      </c>
      <c r="J17">
        <v>6.9999999999999993E-2</v>
      </c>
      <c r="K17">
        <v>2.11</v>
      </c>
      <c r="L17">
        <v>0.08</v>
      </c>
      <c r="M17">
        <v>2.11</v>
      </c>
      <c r="N17">
        <v>0.08</v>
      </c>
    </row>
    <row r="18" spans="1:14">
      <c r="A18">
        <v>15</v>
      </c>
      <c r="B18" s="3">
        <v>1.85</v>
      </c>
      <c r="C18" s="3">
        <v>2.08</v>
      </c>
      <c r="D18" s="3">
        <v>2.23</v>
      </c>
      <c r="E18" s="3">
        <v>2.23</v>
      </c>
      <c r="G18" s="3">
        <v>1.85</v>
      </c>
      <c r="H18">
        <v>0.05</v>
      </c>
      <c r="I18" s="3">
        <v>2.08</v>
      </c>
      <c r="J18">
        <v>0.08</v>
      </c>
      <c r="K18" s="3">
        <v>2.23</v>
      </c>
      <c r="L18">
        <v>0.09</v>
      </c>
      <c r="M18" s="3">
        <v>2.23</v>
      </c>
      <c r="N18">
        <v>0.09</v>
      </c>
    </row>
    <row r="19" spans="1:14">
      <c r="A19">
        <v>16</v>
      </c>
      <c r="B19">
        <v>1.9000000000000001</v>
      </c>
      <c r="C19">
        <v>2.16</v>
      </c>
      <c r="D19">
        <v>2.3199999999999998</v>
      </c>
      <c r="E19">
        <v>2.3199999999999998</v>
      </c>
      <c r="G19">
        <v>1.93</v>
      </c>
      <c r="H19">
        <v>0.05</v>
      </c>
      <c r="I19">
        <v>2.1800000000000002</v>
      </c>
      <c r="J19">
        <v>0.08</v>
      </c>
      <c r="K19">
        <v>2.35</v>
      </c>
      <c r="L19">
        <v>0.09</v>
      </c>
      <c r="M19">
        <v>2.35</v>
      </c>
      <c r="N19">
        <v>0.09</v>
      </c>
    </row>
    <row r="20" spans="1:14">
      <c r="A20">
        <v>17</v>
      </c>
      <c r="B20">
        <v>1.9500000000000002</v>
      </c>
      <c r="C20">
        <v>2.2400000000000002</v>
      </c>
      <c r="D20">
        <v>2.4099999999999997</v>
      </c>
      <c r="E20">
        <v>2.4099999999999997</v>
      </c>
      <c r="G20">
        <v>2.0099999999999998</v>
      </c>
      <c r="H20">
        <v>0.05</v>
      </c>
      <c r="I20">
        <v>2.29</v>
      </c>
      <c r="J20">
        <v>0.08</v>
      </c>
      <c r="K20">
        <v>2.48</v>
      </c>
      <c r="L20">
        <v>0.09</v>
      </c>
      <c r="M20">
        <v>2.48</v>
      </c>
      <c r="N20">
        <v>0.09</v>
      </c>
    </row>
    <row r="21" spans="1:14">
      <c r="A21">
        <v>18</v>
      </c>
      <c r="B21">
        <v>2.0100000000000002</v>
      </c>
      <c r="C21">
        <v>2.3200000000000003</v>
      </c>
      <c r="D21">
        <v>2.5199999999999996</v>
      </c>
      <c r="E21">
        <v>2.5199999999999996</v>
      </c>
      <c r="G21">
        <v>2.09</v>
      </c>
      <c r="H21">
        <v>0.06</v>
      </c>
      <c r="I21">
        <v>2.4</v>
      </c>
      <c r="J21">
        <v>0.08</v>
      </c>
      <c r="K21">
        <v>2.62</v>
      </c>
      <c r="L21">
        <v>0.11000000000000001</v>
      </c>
      <c r="M21">
        <v>2.62</v>
      </c>
      <c r="N21">
        <v>0.11000000000000001</v>
      </c>
    </row>
    <row r="22" spans="1:14">
      <c r="A22">
        <v>19</v>
      </c>
      <c r="B22">
        <v>2.08</v>
      </c>
      <c r="C22">
        <v>2.41</v>
      </c>
      <c r="D22">
        <v>2.6199999999999997</v>
      </c>
      <c r="E22">
        <v>2.6199999999999997</v>
      </c>
      <c r="G22">
        <v>2.1800000000000002</v>
      </c>
      <c r="H22">
        <v>6.9999999999999993E-2</v>
      </c>
      <c r="I22">
        <v>2.52</v>
      </c>
      <c r="J22">
        <v>0.09</v>
      </c>
      <c r="K22">
        <v>2.76</v>
      </c>
      <c r="L22">
        <v>0.1</v>
      </c>
      <c r="M22">
        <v>2.76</v>
      </c>
      <c r="N22">
        <v>0.1</v>
      </c>
    </row>
    <row r="23" spans="1:14">
      <c r="A23">
        <v>20</v>
      </c>
      <c r="B23" s="3">
        <v>2.27</v>
      </c>
      <c r="C23" s="3">
        <v>2.65</v>
      </c>
      <c r="D23" s="3">
        <v>2.91</v>
      </c>
      <c r="E23" s="3">
        <v>2.91</v>
      </c>
      <c r="G23" s="3">
        <v>2.27</v>
      </c>
      <c r="H23">
        <v>0.06</v>
      </c>
      <c r="I23" s="3">
        <v>2.65</v>
      </c>
      <c r="J23">
        <v>0.09</v>
      </c>
      <c r="K23" s="3">
        <v>2.91</v>
      </c>
      <c r="L23">
        <v>0.10999999999999999</v>
      </c>
      <c r="M23" s="3">
        <v>2.91</v>
      </c>
      <c r="N23">
        <v>0.10999999999999999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23"/>
  <sheetViews>
    <sheetView workbookViewId="0">
      <selection activeCell="I28" sqref="I28"/>
    </sheetView>
  </sheetViews>
  <sheetFormatPr defaultColWidth="8.875" defaultRowHeight="13.5"/>
  <cols>
    <col min="1" max="1" width="11" bestFit="1" customWidth="1"/>
    <col min="2" max="2" width="10.5" bestFit="1" customWidth="1"/>
    <col min="3" max="3" width="10.5" customWidth="1"/>
    <col min="7" max="7" width="19.5" bestFit="1" customWidth="1"/>
  </cols>
  <sheetData>
    <row r="1" spans="1:7">
      <c r="B1" t="s">
        <v>48</v>
      </c>
      <c r="D1" t="s">
        <v>49</v>
      </c>
      <c r="F1" t="s">
        <v>50</v>
      </c>
    </row>
    <row r="2" spans="1:7">
      <c r="A2" t="s">
        <v>51</v>
      </c>
      <c r="B2">
        <v>1</v>
      </c>
      <c r="C2" t="s">
        <v>52</v>
      </c>
      <c r="D2">
        <v>0</v>
      </c>
      <c r="E2" t="s">
        <v>55</v>
      </c>
      <c r="F2">
        <v>5</v>
      </c>
      <c r="G2" t="s">
        <v>59</v>
      </c>
    </row>
    <row r="3" spans="1:7">
      <c r="C3" t="s">
        <v>53</v>
      </c>
      <c r="D3">
        <v>1</v>
      </c>
    </row>
    <row r="4" spans="1:7">
      <c r="C4" t="s">
        <v>54</v>
      </c>
      <c r="D4">
        <v>2</v>
      </c>
    </row>
    <row r="5" spans="1:7">
      <c r="A5" t="s">
        <v>56</v>
      </c>
      <c r="B5">
        <v>2</v>
      </c>
      <c r="C5" t="s">
        <v>52</v>
      </c>
      <c r="D5">
        <v>0</v>
      </c>
      <c r="E5" t="s">
        <v>57</v>
      </c>
      <c r="F5">
        <v>80</v>
      </c>
      <c r="G5" t="s">
        <v>58</v>
      </c>
    </row>
    <row r="6" spans="1:7">
      <c r="C6" t="s">
        <v>53</v>
      </c>
      <c r="D6">
        <v>1</v>
      </c>
    </row>
    <row r="7" spans="1:7">
      <c r="C7" t="s">
        <v>54</v>
      </c>
      <c r="D7">
        <v>2</v>
      </c>
    </row>
    <row r="8" spans="1:7">
      <c r="A8" t="s">
        <v>60</v>
      </c>
      <c r="B8">
        <v>3</v>
      </c>
      <c r="C8" t="s">
        <v>52</v>
      </c>
      <c r="D8">
        <v>0</v>
      </c>
      <c r="E8" t="s">
        <v>57</v>
      </c>
      <c r="F8">
        <v>80</v>
      </c>
      <c r="G8" t="s">
        <v>58</v>
      </c>
    </row>
    <row r="9" spans="1:7">
      <c r="C9" t="s">
        <v>53</v>
      </c>
      <c r="D9">
        <v>1</v>
      </c>
    </row>
    <row r="10" spans="1:7">
      <c r="C10" t="s">
        <v>54</v>
      </c>
      <c r="D10">
        <v>2</v>
      </c>
    </row>
    <row r="11" spans="1:7">
      <c r="A11" t="s">
        <v>61</v>
      </c>
      <c r="B11">
        <v>4</v>
      </c>
      <c r="C11" t="s">
        <v>62</v>
      </c>
      <c r="D11">
        <v>7</v>
      </c>
      <c r="E11" t="s">
        <v>63</v>
      </c>
      <c r="F11">
        <v>3</v>
      </c>
      <c r="G11" t="s">
        <v>64</v>
      </c>
    </row>
    <row r="12" spans="1:7">
      <c r="A12" t="s">
        <v>130</v>
      </c>
      <c r="B12">
        <v>5</v>
      </c>
      <c r="C12" t="s">
        <v>131</v>
      </c>
      <c r="D12">
        <v>1</v>
      </c>
      <c r="E12" t="s">
        <v>132</v>
      </c>
      <c r="F12">
        <v>2</v>
      </c>
      <c r="G12" t="s">
        <v>133</v>
      </c>
    </row>
    <row r="17" spans="1:6">
      <c r="A17" t="s">
        <v>65</v>
      </c>
      <c r="B17" t="s">
        <v>67</v>
      </c>
      <c r="D17" t="s">
        <v>66</v>
      </c>
      <c r="F17" s="2">
        <v>0.05</v>
      </c>
    </row>
    <row r="19" spans="1:6">
      <c r="A19" t="s">
        <v>68</v>
      </c>
      <c r="B19" t="s">
        <v>69</v>
      </c>
      <c r="C19" t="s">
        <v>77</v>
      </c>
      <c r="E19">
        <v>8</v>
      </c>
    </row>
    <row r="20" spans="1:6">
      <c r="A20" t="s">
        <v>70</v>
      </c>
      <c r="B20" t="s">
        <v>71</v>
      </c>
      <c r="C20" t="s">
        <v>79</v>
      </c>
      <c r="E20">
        <v>6</v>
      </c>
    </row>
    <row r="21" spans="1:6">
      <c r="A21" t="s">
        <v>76</v>
      </c>
      <c r="B21">
        <v>1</v>
      </c>
      <c r="E21">
        <v>4</v>
      </c>
    </row>
    <row r="22" spans="1:6">
      <c r="A22" t="s">
        <v>72</v>
      </c>
      <c r="B22">
        <v>1</v>
      </c>
      <c r="E22">
        <v>6</v>
      </c>
      <c r="F22" t="s">
        <v>78</v>
      </c>
    </row>
    <row r="23" spans="1:6">
      <c r="A23" t="s">
        <v>72</v>
      </c>
      <c r="B23" t="s">
        <v>73</v>
      </c>
      <c r="E23" t="s">
        <v>74</v>
      </c>
      <c r="F23" t="s">
        <v>75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2"/>
  <sheetViews>
    <sheetView topLeftCell="A22" workbookViewId="0">
      <selection activeCell="L25" sqref="L25"/>
    </sheetView>
  </sheetViews>
  <sheetFormatPr defaultColWidth="8.875" defaultRowHeight="13.5"/>
  <cols>
    <col min="2" max="2" width="15.125" customWidth="1"/>
    <col min="3" max="3" width="11" bestFit="1" customWidth="1"/>
    <col min="4" max="4" width="11" customWidth="1"/>
    <col min="5" max="5" width="13.875" bestFit="1" customWidth="1"/>
    <col min="6" max="6" width="10.5" bestFit="1" customWidth="1"/>
    <col min="7" max="9" width="9.5" bestFit="1" customWidth="1"/>
    <col min="16" max="16" width="10.5" bestFit="1" customWidth="1"/>
  </cols>
  <sheetData>
    <row r="1" spans="1:16">
      <c r="A1" t="s">
        <v>29</v>
      </c>
      <c r="B1" t="s">
        <v>39</v>
      </c>
      <c r="C1" t="s">
        <v>184</v>
      </c>
    </row>
    <row r="2" spans="1:16">
      <c r="A2" t="s">
        <v>1981</v>
      </c>
      <c r="B2" t="s">
        <v>40</v>
      </c>
      <c r="D2" t="s">
        <v>1631</v>
      </c>
      <c r="E2" t="s">
        <v>1982</v>
      </c>
      <c r="F2" t="s">
        <v>1983</v>
      </c>
      <c r="G2" t="s">
        <v>1984</v>
      </c>
      <c r="H2" t="s">
        <v>1985</v>
      </c>
      <c r="I2" t="s">
        <v>1986</v>
      </c>
    </row>
    <row r="3" spans="1:16">
      <c r="A3">
        <v>1</v>
      </c>
      <c r="B3">
        <v>2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  <c r="I3">
        <v>1</v>
      </c>
      <c r="M3">
        <v>13730</v>
      </c>
      <c r="N3">
        <v>6</v>
      </c>
      <c r="O3">
        <f>4^N3</f>
        <v>4096</v>
      </c>
      <c r="P3">
        <f>M3*O3</f>
        <v>56238080</v>
      </c>
    </row>
    <row r="4" spans="1:16">
      <c r="A4">
        <v>2</v>
      </c>
      <c r="B4">
        <v>2</v>
      </c>
      <c r="C4">
        <v>3</v>
      </c>
      <c r="D4">
        <v>120</v>
      </c>
      <c r="E4">
        <v>1.05</v>
      </c>
      <c r="F4">
        <v>1.03</v>
      </c>
      <c r="G4">
        <v>1.03</v>
      </c>
      <c r="H4">
        <v>1.05</v>
      </c>
      <c r="I4">
        <v>1.05</v>
      </c>
      <c r="M4">
        <v>164070</v>
      </c>
      <c r="N4">
        <v>5</v>
      </c>
      <c r="O4">
        <f>4^N4</f>
        <v>1024</v>
      </c>
      <c r="P4">
        <f t="shared" ref="P4:P7" si="0">M4*O4</f>
        <v>168007680</v>
      </c>
    </row>
    <row r="5" spans="1:16">
      <c r="A5">
        <v>3</v>
      </c>
      <c r="B5">
        <v>2</v>
      </c>
      <c r="C5">
        <v>6</v>
      </c>
      <c r="D5">
        <v>240</v>
      </c>
      <c r="E5">
        <v>1.1000000000000001</v>
      </c>
      <c r="F5">
        <v>1.06</v>
      </c>
      <c r="G5">
        <v>1.06</v>
      </c>
      <c r="H5">
        <v>1.1000000000000001</v>
      </c>
      <c r="I5">
        <v>1.1000000000000001</v>
      </c>
      <c r="M5">
        <v>632650</v>
      </c>
      <c r="N5">
        <v>4</v>
      </c>
      <c r="O5">
        <f>4^N5</f>
        <v>256</v>
      </c>
      <c r="P5">
        <f t="shared" si="0"/>
        <v>161958400</v>
      </c>
    </row>
    <row r="6" spans="1:16">
      <c r="A6">
        <v>4</v>
      </c>
      <c r="B6">
        <v>2</v>
      </c>
      <c r="C6">
        <v>10</v>
      </c>
      <c r="D6">
        <v>500</v>
      </c>
      <c r="E6">
        <v>1.1499999999999999</v>
      </c>
      <c r="F6">
        <v>1.0900000000000001</v>
      </c>
      <c r="G6">
        <v>1.0900000000000001</v>
      </c>
      <c r="H6">
        <v>1.1599999999999999</v>
      </c>
      <c r="I6">
        <v>1.1599999999999999</v>
      </c>
      <c r="M6">
        <v>1566570</v>
      </c>
      <c r="N6">
        <v>3</v>
      </c>
      <c r="O6">
        <f>4^N6</f>
        <v>64</v>
      </c>
      <c r="P6">
        <f t="shared" si="0"/>
        <v>100260480</v>
      </c>
    </row>
    <row r="7" spans="1:16">
      <c r="A7">
        <v>5</v>
      </c>
      <c r="B7">
        <v>2</v>
      </c>
      <c r="C7">
        <v>15</v>
      </c>
      <c r="D7">
        <v>740</v>
      </c>
      <c r="E7">
        <v>1.2</v>
      </c>
      <c r="F7">
        <v>1.1200000000000001</v>
      </c>
      <c r="G7">
        <v>1.1200000000000001</v>
      </c>
      <c r="H7">
        <v>1.22</v>
      </c>
      <c r="I7">
        <v>1.22</v>
      </c>
      <c r="M7">
        <v>3110640</v>
      </c>
      <c r="N7">
        <v>2</v>
      </c>
      <c r="O7">
        <f>4^N7</f>
        <v>16</v>
      </c>
      <c r="P7">
        <f t="shared" si="0"/>
        <v>49770240</v>
      </c>
    </row>
    <row r="8" spans="1:16">
      <c r="A8">
        <v>6</v>
      </c>
      <c r="B8">
        <v>2</v>
      </c>
      <c r="C8">
        <v>21</v>
      </c>
      <c r="D8">
        <v>1050</v>
      </c>
      <c r="E8">
        <v>1.26</v>
      </c>
      <c r="F8">
        <v>1.1499999999999999</v>
      </c>
      <c r="G8">
        <v>1.1499999999999999</v>
      </c>
      <c r="H8">
        <v>1.28</v>
      </c>
      <c r="I8">
        <v>1.28</v>
      </c>
      <c r="M8">
        <v>5409710</v>
      </c>
      <c r="N8">
        <v>1</v>
      </c>
      <c r="O8">
        <v>1</v>
      </c>
      <c r="P8">
        <f>M8*O8</f>
        <v>5409710</v>
      </c>
    </row>
    <row r="9" spans="1:16">
      <c r="A9">
        <v>7</v>
      </c>
      <c r="B9">
        <v>2</v>
      </c>
      <c r="C9">
        <v>28</v>
      </c>
      <c r="D9">
        <v>1530</v>
      </c>
      <c r="E9">
        <v>1.32</v>
      </c>
      <c r="F9">
        <v>1.18</v>
      </c>
      <c r="G9">
        <v>1.18</v>
      </c>
      <c r="H9">
        <v>1.35</v>
      </c>
      <c r="I9">
        <v>1.35</v>
      </c>
    </row>
    <row r="10" spans="1:16">
      <c r="A10">
        <v>8</v>
      </c>
      <c r="B10">
        <v>2</v>
      </c>
      <c r="C10">
        <v>36</v>
      </c>
      <c r="D10">
        <v>2210</v>
      </c>
      <c r="E10">
        <v>1.38</v>
      </c>
      <c r="F10">
        <v>1.21</v>
      </c>
      <c r="G10">
        <v>1.21</v>
      </c>
      <c r="H10">
        <v>1.42</v>
      </c>
      <c r="I10">
        <v>1.42</v>
      </c>
    </row>
    <row r="11" spans="1:16">
      <c r="A11">
        <v>9</v>
      </c>
      <c r="B11">
        <v>2</v>
      </c>
      <c r="C11">
        <v>45</v>
      </c>
      <c r="D11">
        <v>3110</v>
      </c>
      <c r="E11">
        <v>1.44</v>
      </c>
      <c r="F11">
        <v>1.24</v>
      </c>
      <c r="G11">
        <v>1.24</v>
      </c>
      <c r="H11">
        <v>1.49</v>
      </c>
      <c r="I11">
        <v>1.49</v>
      </c>
    </row>
    <row r="12" spans="1:16">
      <c r="A12">
        <v>10</v>
      </c>
      <c r="B12">
        <v>2</v>
      </c>
      <c r="C12">
        <v>55</v>
      </c>
      <c r="D12">
        <v>4230</v>
      </c>
      <c r="E12">
        <v>1.51</v>
      </c>
      <c r="F12">
        <v>1.27</v>
      </c>
      <c r="G12">
        <v>1.27</v>
      </c>
      <c r="H12">
        <v>1.57</v>
      </c>
      <c r="I12">
        <v>1.57</v>
      </c>
      <c r="J12">
        <f>SUM(D3:D12)</f>
        <v>13730</v>
      </c>
    </row>
    <row r="13" spans="1:16">
      <c r="A13">
        <v>11</v>
      </c>
      <c r="B13">
        <v>2</v>
      </c>
      <c r="C13">
        <v>66</v>
      </c>
      <c r="D13">
        <v>5590</v>
      </c>
      <c r="E13">
        <v>1.75</v>
      </c>
      <c r="F13">
        <v>1.3</v>
      </c>
      <c r="G13">
        <v>1.3</v>
      </c>
      <c r="H13">
        <v>1.65</v>
      </c>
      <c r="I13">
        <v>1.65</v>
      </c>
    </row>
    <row r="14" spans="1:16">
      <c r="A14">
        <v>12</v>
      </c>
      <c r="B14">
        <v>2</v>
      </c>
      <c r="C14">
        <v>77</v>
      </c>
      <c r="D14">
        <v>7210</v>
      </c>
      <c r="E14">
        <v>1.83</v>
      </c>
      <c r="F14">
        <v>1.34</v>
      </c>
      <c r="G14">
        <v>1.34</v>
      </c>
      <c r="H14">
        <v>1.74</v>
      </c>
      <c r="I14">
        <v>1.74</v>
      </c>
    </row>
    <row r="15" spans="1:16">
      <c r="A15">
        <v>13</v>
      </c>
      <c r="B15">
        <v>2</v>
      </c>
      <c r="C15">
        <v>88</v>
      </c>
      <c r="D15">
        <v>9090</v>
      </c>
      <c r="E15">
        <v>1.92</v>
      </c>
      <c r="F15">
        <v>1.38</v>
      </c>
      <c r="G15">
        <v>1.38</v>
      </c>
      <c r="H15">
        <v>1.83</v>
      </c>
      <c r="I15">
        <v>1.83</v>
      </c>
    </row>
    <row r="16" spans="1:16">
      <c r="A16">
        <v>14</v>
      </c>
      <c r="B16">
        <v>2</v>
      </c>
      <c r="C16">
        <v>100</v>
      </c>
      <c r="D16">
        <v>11260</v>
      </c>
      <c r="E16">
        <v>2.0099999999999998</v>
      </c>
      <c r="F16">
        <v>1.42</v>
      </c>
      <c r="G16">
        <v>1.42</v>
      </c>
      <c r="H16">
        <v>1.93</v>
      </c>
      <c r="I16">
        <v>1.93</v>
      </c>
    </row>
    <row r="17" spans="1:10">
      <c r="A17">
        <v>15</v>
      </c>
      <c r="B17">
        <v>2</v>
      </c>
      <c r="C17">
        <v>112</v>
      </c>
      <c r="D17">
        <v>13730</v>
      </c>
      <c r="E17">
        <v>2.11</v>
      </c>
      <c r="F17">
        <v>1.46</v>
      </c>
      <c r="G17">
        <v>1.46</v>
      </c>
      <c r="H17">
        <v>2.0299999999999998</v>
      </c>
      <c r="I17">
        <v>2.0299999999999998</v>
      </c>
    </row>
    <row r="18" spans="1:10">
      <c r="A18">
        <v>16</v>
      </c>
      <c r="B18">
        <v>2</v>
      </c>
      <c r="C18">
        <v>124</v>
      </c>
      <c r="D18">
        <v>16520</v>
      </c>
      <c r="E18">
        <v>2.21</v>
      </c>
      <c r="F18">
        <v>1.5</v>
      </c>
      <c r="G18">
        <v>1.5</v>
      </c>
      <c r="H18">
        <v>2.14</v>
      </c>
      <c r="I18">
        <v>2.14</v>
      </c>
    </row>
    <row r="19" spans="1:10">
      <c r="A19">
        <v>17</v>
      </c>
      <c r="B19">
        <v>2</v>
      </c>
      <c r="C19">
        <v>136</v>
      </c>
      <c r="D19">
        <v>19630</v>
      </c>
      <c r="E19">
        <v>2.3199999999999998</v>
      </c>
      <c r="F19">
        <v>1.54</v>
      </c>
      <c r="G19">
        <v>1.54</v>
      </c>
      <c r="H19">
        <v>2.25</v>
      </c>
      <c r="I19">
        <v>2.25</v>
      </c>
    </row>
    <row r="20" spans="1:10">
      <c r="A20">
        <v>18</v>
      </c>
      <c r="B20">
        <v>2</v>
      </c>
      <c r="C20">
        <v>149</v>
      </c>
      <c r="D20">
        <v>23080</v>
      </c>
      <c r="E20">
        <v>2.4300000000000002</v>
      </c>
      <c r="F20">
        <v>1.58</v>
      </c>
      <c r="G20">
        <v>1.58</v>
      </c>
      <c r="H20">
        <v>2.37</v>
      </c>
      <c r="I20">
        <v>2.37</v>
      </c>
    </row>
    <row r="21" spans="1:10">
      <c r="A21">
        <v>19</v>
      </c>
      <c r="B21">
        <v>2</v>
      </c>
      <c r="C21">
        <v>162</v>
      </c>
      <c r="D21">
        <v>26890</v>
      </c>
      <c r="E21">
        <v>2.5499999999999998</v>
      </c>
      <c r="F21">
        <v>1.62</v>
      </c>
      <c r="G21">
        <v>1.62</v>
      </c>
      <c r="H21">
        <v>2.5</v>
      </c>
      <c r="I21">
        <v>2.5</v>
      </c>
    </row>
    <row r="22" spans="1:10">
      <c r="A22" s="3">
        <v>20</v>
      </c>
      <c r="B22">
        <v>2</v>
      </c>
      <c r="C22">
        <v>175</v>
      </c>
      <c r="D22">
        <v>31070</v>
      </c>
      <c r="E22">
        <v>2.67</v>
      </c>
      <c r="F22">
        <v>1.67</v>
      </c>
      <c r="G22">
        <v>1.67</v>
      </c>
      <c r="H22">
        <v>2.63</v>
      </c>
      <c r="I22">
        <v>2.63</v>
      </c>
      <c r="J22">
        <f>SUM(D13:D22)</f>
        <v>164070</v>
      </c>
    </row>
    <row r="23" spans="1:10">
      <c r="A23">
        <v>21</v>
      </c>
      <c r="B23">
        <v>2</v>
      </c>
      <c r="C23">
        <v>200</v>
      </c>
      <c r="D23">
        <v>35640</v>
      </c>
      <c r="E23">
        <v>3.04</v>
      </c>
      <c r="F23">
        <v>1.72</v>
      </c>
      <c r="G23">
        <v>1.72</v>
      </c>
      <c r="H23">
        <v>2.77</v>
      </c>
      <c r="I23">
        <v>2.77</v>
      </c>
    </row>
    <row r="24" spans="1:10">
      <c r="A24">
        <v>22</v>
      </c>
      <c r="B24">
        <v>2</v>
      </c>
      <c r="C24">
        <v>218</v>
      </c>
      <c r="D24">
        <v>40600</v>
      </c>
      <c r="E24">
        <v>3.19</v>
      </c>
      <c r="F24">
        <v>1.77</v>
      </c>
      <c r="G24">
        <v>1.77</v>
      </c>
      <c r="H24">
        <v>2.92</v>
      </c>
      <c r="I24">
        <v>2.92</v>
      </c>
    </row>
    <row r="25" spans="1:10">
      <c r="A25">
        <v>23</v>
      </c>
      <c r="B25">
        <v>2</v>
      </c>
      <c r="C25">
        <v>236</v>
      </c>
      <c r="D25">
        <v>45980</v>
      </c>
      <c r="E25">
        <v>3.34</v>
      </c>
      <c r="F25">
        <v>1.82</v>
      </c>
      <c r="G25">
        <v>1.82</v>
      </c>
      <c r="H25">
        <v>3.08</v>
      </c>
      <c r="I25">
        <v>3.08</v>
      </c>
    </row>
    <row r="26" spans="1:10">
      <c r="A26">
        <v>24</v>
      </c>
      <c r="B26">
        <v>2</v>
      </c>
      <c r="C26">
        <v>255</v>
      </c>
      <c r="D26">
        <v>51790</v>
      </c>
      <c r="E26">
        <v>3.5</v>
      </c>
      <c r="F26">
        <v>1.87</v>
      </c>
      <c r="G26">
        <v>1.87</v>
      </c>
      <c r="H26">
        <v>3.24</v>
      </c>
      <c r="I26">
        <v>3.24</v>
      </c>
    </row>
    <row r="27" spans="1:10">
      <c r="A27">
        <v>25</v>
      </c>
      <c r="B27">
        <v>2</v>
      </c>
      <c r="C27">
        <v>274</v>
      </c>
      <c r="D27">
        <v>58050</v>
      </c>
      <c r="E27">
        <v>3.67</v>
      </c>
      <c r="F27">
        <v>1.92</v>
      </c>
      <c r="G27">
        <v>1.92</v>
      </c>
      <c r="H27">
        <v>3.41</v>
      </c>
      <c r="I27">
        <v>3.41</v>
      </c>
    </row>
    <row r="28" spans="1:10">
      <c r="A28">
        <v>26</v>
      </c>
      <c r="B28">
        <v>2</v>
      </c>
      <c r="C28">
        <v>294</v>
      </c>
      <c r="D28">
        <v>64760</v>
      </c>
      <c r="E28">
        <v>3.85</v>
      </c>
      <c r="F28">
        <v>1.97</v>
      </c>
      <c r="G28">
        <v>1.97</v>
      </c>
      <c r="H28">
        <v>3.59</v>
      </c>
      <c r="I28">
        <v>3.59</v>
      </c>
    </row>
    <row r="29" spans="1:10">
      <c r="A29">
        <v>27</v>
      </c>
      <c r="B29">
        <v>2</v>
      </c>
      <c r="C29">
        <v>314</v>
      </c>
      <c r="D29">
        <v>71940</v>
      </c>
      <c r="E29">
        <v>4.04</v>
      </c>
      <c r="F29">
        <v>2.0299999999999998</v>
      </c>
      <c r="G29">
        <v>2.0299999999999998</v>
      </c>
      <c r="H29">
        <v>3.78</v>
      </c>
      <c r="I29">
        <v>3.78</v>
      </c>
    </row>
    <row r="30" spans="1:10">
      <c r="A30">
        <v>28</v>
      </c>
      <c r="B30">
        <v>2</v>
      </c>
      <c r="C30">
        <v>335</v>
      </c>
      <c r="D30">
        <v>79620</v>
      </c>
      <c r="E30">
        <v>4.24</v>
      </c>
      <c r="F30">
        <v>2.09</v>
      </c>
      <c r="G30">
        <v>2.09</v>
      </c>
      <c r="H30">
        <v>3.98</v>
      </c>
      <c r="I30">
        <v>3.98</v>
      </c>
    </row>
    <row r="31" spans="1:10">
      <c r="A31">
        <v>29</v>
      </c>
      <c r="B31">
        <v>2</v>
      </c>
      <c r="C31">
        <v>357</v>
      </c>
      <c r="D31">
        <v>87790</v>
      </c>
      <c r="E31">
        <v>4.45</v>
      </c>
      <c r="F31">
        <v>2.15</v>
      </c>
      <c r="G31">
        <v>2.15</v>
      </c>
      <c r="H31">
        <v>4.1900000000000004</v>
      </c>
      <c r="I31">
        <v>4.1900000000000004</v>
      </c>
    </row>
    <row r="32" spans="1:10">
      <c r="A32">
        <v>30</v>
      </c>
      <c r="B32">
        <v>2</v>
      </c>
      <c r="C32">
        <v>380</v>
      </c>
      <c r="D32">
        <v>96480</v>
      </c>
      <c r="E32">
        <v>4.67</v>
      </c>
      <c r="F32">
        <v>2.21</v>
      </c>
      <c r="G32">
        <v>2.21</v>
      </c>
      <c r="H32">
        <v>4.42</v>
      </c>
      <c r="I32">
        <v>4.42</v>
      </c>
      <c r="J32">
        <f>SUM(D23:D32)</f>
        <v>632650</v>
      </c>
    </row>
    <row r="33" spans="1:10">
      <c r="A33">
        <v>31</v>
      </c>
      <c r="B33">
        <v>2</v>
      </c>
      <c r="C33">
        <v>421</v>
      </c>
      <c r="D33">
        <v>105700</v>
      </c>
      <c r="E33">
        <v>5.27</v>
      </c>
      <c r="F33">
        <v>2.27</v>
      </c>
      <c r="G33">
        <v>2.27</v>
      </c>
      <c r="H33">
        <v>4.66</v>
      </c>
      <c r="I33">
        <v>4.66</v>
      </c>
    </row>
    <row r="34" spans="1:10">
      <c r="A34">
        <v>32</v>
      </c>
      <c r="B34">
        <v>2</v>
      </c>
      <c r="C34">
        <v>455</v>
      </c>
      <c r="D34">
        <v>115460</v>
      </c>
      <c r="E34">
        <v>5.53</v>
      </c>
      <c r="F34">
        <v>2.34</v>
      </c>
      <c r="G34">
        <v>2.34</v>
      </c>
      <c r="H34">
        <v>4.91</v>
      </c>
      <c r="I34">
        <v>4.91</v>
      </c>
    </row>
    <row r="35" spans="1:10">
      <c r="A35">
        <v>33</v>
      </c>
      <c r="B35">
        <v>2</v>
      </c>
      <c r="C35">
        <v>489</v>
      </c>
      <c r="D35">
        <v>125790</v>
      </c>
      <c r="E35">
        <v>5.8</v>
      </c>
      <c r="F35">
        <v>2.41</v>
      </c>
      <c r="G35">
        <v>2.41</v>
      </c>
      <c r="H35">
        <v>5.18</v>
      </c>
      <c r="I35">
        <v>5.18</v>
      </c>
    </row>
    <row r="36" spans="1:10">
      <c r="A36">
        <v>34</v>
      </c>
      <c r="B36">
        <v>2</v>
      </c>
      <c r="C36">
        <v>524</v>
      </c>
      <c r="D36">
        <v>136680</v>
      </c>
      <c r="E36">
        <v>6.09</v>
      </c>
      <c r="F36">
        <v>2.48</v>
      </c>
      <c r="G36">
        <v>2.48</v>
      </c>
      <c r="H36">
        <v>5.46</v>
      </c>
      <c r="I36">
        <v>5.46</v>
      </c>
    </row>
    <row r="37" spans="1:10">
      <c r="A37" s="3">
        <v>35</v>
      </c>
      <c r="B37">
        <v>2</v>
      </c>
      <c r="C37">
        <v>559</v>
      </c>
      <c r="D37">
        <v>148170</v>
      </c>
      <c r="E37">
        <v>6.39</v>
      </c>
      <c r="F37">
        <v>2.5499999999999998</v>
      </c>
      <c r="G37">
        <v>2.5499999999999998</v>
      </c>
      <c r="H37">
        <v>5.76</v>
      </c>
      <c r="I37">
        <v>5.76</v>
      </c>
    </row>
    <row r="38" spans="1:10">
      <c r="A38">
        <v>36</v>
      </c>
      <c r="B38">
        <v>2</v>
      </c>
      <c r="C38">
        <v>595</v>
      </c>
      <c r="D38">
        <v>160260</v>
      </c>
      <c r="E38">
        <v>6.7</v>
      </c>
      <c r="F38">
        <v>2.62</v>
      </c>
      <c r="G38">
        <v>2.62</v>
      </c>
      <c r="H38">
        <v>6.07</v>
      </c>
      <c r="I38">
        <v>6.07</v>
      </c>
    </row>
    <row r="39" spans="1:10">
      <c r="A39">
        <v>37</v>
      </c>
      <c r="B39">
        <v>2</v>
      </c>
      <c r="C39">
        <v>631</v>
      </c>
      <c r="D39">
        <v>172970</v>
      </c>
      <c r="E39">
        <v>7.03</v>
      </c>
      <c r="F39">
        <v>2.7</v>
      </c>
      <c r="G39">
        <v>2.7</v>
      </c>
      <c r="H39">
        <v>6.4</v>
      </c>
      <c r="I39">
        <v>6.4</v>
      </c>
    </row>
    <row r="40" spans="1:10">
      <c r="A40">
        <v>38</v>
      </c>
      <c r="B40">
        <v>2</v>
      </c>
      <c r="C40">
        <v>668</v>
      </c>
      <c r="D40">
        <v>186310</v>
      </c>
      <c r="E40">
        <v>7.38</v>
      </c>
      <c r="F40">
        <v>2.78</v>
      </c>
      <c r="G40">
        <v>2.78</v>
      </c>
      <c r="H40">
        <v>6.75</v>
      </c>
      <c r="I40">
        <v>6.75</v>
      </c>
    </row>
    <row r="41" spans="1:10">
      <c r="A41" s="3">
        <v>39</v>
      </c>
      <c r="B41">
        <v>2</v>
      </c>
      <c r="C41">
        <v>706</v>
      </c>
      <c r="D41">
        <v>200290</v>
      </c>
      <c r="E41">
        <v>7.74</v>
      </c>
      <c r="F41">
        <v>2.86</v>
      </c>
      <c r="G41">
        <v>2.86</v>
      </c>
      <c r="H41">
        <v>7.12</v>
      </c>
      <c r="I41">
        <v>7.12</v>
      </c>
    </row>
    <row r="42" spans="1:10">
      <c r="A42">
        <v>40</v>
      </c>
      <c r="B42">
        <v>2</v>
      </c>
      <c r="C42">
        <v>745</v>
      </c>
      <c r="D42">
        <v>214940</v>
      </c>
      <c r="E42">
        <v>8.1199999999999992</v>
      </c>
      <c r="F42">
        <v>2.94</v>
      </c>
      <c r="G42">
        <v>2.94</v>
      </c>
      <c r="H42">
        <v>7.51</v>
      </c>
      <c r="I42">
        <v>7.51</v>
      </c>
      <c r="J42">
        <f t="shared" ref="J42" si="1">SUM(D33:D42)</f>
        <v>1566570</v>
      </c>
    </row>
    <row r="43" spans="1:10">
      <c r="A43">
        <v>41</v>
      </c>
      <c r="B43">
        <v>2</v>
      </c>
      <c r="C43">
        <v>838</v>
      </c>
      <c r="D43">
        <v>230260</v>
      </c>
      <c r="E43">
        <v>9.09</v>
      </c>
      <c r="F43">
        <v>3.03</v>
      </c>
      <c r="G43">
        <v>3.03</v>
      </c>
      <c r="H43">
        <v>7.92</v>
      </c>
      <c r="I43">
        <v>7.92</v>
      </c>
    </row>
    <row r="44" spans="1:10">
      <c r="A44">
        <v>42</v>
      </c>
      <c r="B44">
        <v>2</v>
      </c>
      <c r="C44">
        <v>894</v>
      </c>
      <c r="D44">
        <v>246270</v>
      </c>
      <c r="E44">
        <v>9.5399999999999991</v>
      </c>
      <c r="F44">
        <v>3.12</v>
      </c>
      <c r="G44">
        <v>3.12</v>
      </c>
      <c r="H44">
        <v>8.35</v>
      </c>
      <c r="I44">
        <v>8.35</v>
      </c>
    </row>
    <row r="45" spans="1:10">
      <c r="A45">
        <v>43</v>
      </c>
      <c r="B45">
        <v>2</v>
      </c>
      <c r="C45">
        <v>951</v>
      </c>
      <c r="D45">
        <v>262980</v>
      </c>
      <c r="E45">
        <v>10.01</v>
      </c>
      <c r="F45">
        <v>3.21</v>
      </c>
      <c r="G45">
        <v>3.21</v>
      </c>
      <c r="H45">
        <v>8.8000000000000007</v>
      </c>
      <c r="I45">
        <v>8.8000000000000007</v>
      </c>
    </row>
    <row r="46" spans="1:10">
      <c r="A46">
        <v>44</v>
      </c>
      <c r="B46">
        <v>2</v>
      </c>
      <c r="C46">
        <v>1009</v>
      </c>
      <c r="D46">
        <v>280420</v>
      </c>
      <c r="E46">
        <v>10.51</v>
      </c>
      <c r="F46">
        <v>3.3</v>
      </c>
      <c r="G46">
        <v>3.3</v>
      </c>
      <c r="H46">
        <v>9.2799999999999994</v>
      </c>
      <c r="I46">
        <v>9.2799999999999994</v>
      </c>
    </row>
    <row r="47" spans="1:10">
      <c r="A47">
        <v>45</v>
      </c>
      <c r="B47">
        <v>2</v>
      </c>
      <c r="C47">
        <v>1068</v>
      </c>
      <c r="D47">
        <v>298590</v>
      </c>
      <c r="E47">
        <v>11.03</v>
      </c>
      <c r="F47">
        <v>3.4</v>
      </c>
      <c r="G47">
        <v>3.4</v>
      </c>
      <c r="H47">
        <v>9.7899999999999991</v>
      </c>
      <c r="I47">
        <v>9.7899999999999991</v>
      </c>
    </row>
    <row r="48" spans="1:10">
      <c r="A48">
        <v>46</v>
      </c>
      <c r="B48">
        <v>2</v>
      </c>
      <c r="C48">
        <v>1128</v>
      </c>
      <c r="D48">
        <v>317500</v>
      </c>
      <c r="E48">
        <v>11.58</v>
      </c>
      <c r="F48">
        <v>3.5</v>
      </c>
      <c r="G48">
        <v>3.5</v>
      </c>
      <c r="H48">
        <v>10.32</v>
      </c>
      <c r="I48">
        <v>10.32</v>
      </c>
    </row>
    <row r="49" spans="1:10">
      <c r="A49">
        <v>47</v>
      </c>
      <c r="B49">
        <v>2</v>
      </c>
      <c r="C49">
        <v>1189</v>
      </c>
      <c r="D49">
        <v>337180</v>
      </c>
      <c r="E49">
        <v>12.15</v>
      </c>
      <c r="F49">
        <v>3.6</v>
      </c>
      <c r="G49">
        <v>3.6</v>
      </c>
      <c r="H49">
        <v>10.88</v>
      </c>
      <c r="I49">
        <v>10.88</v>
      </c>
    </row>
    <row r="50" spans="1:10">
      <c r="A50" s="3">
        <v>48</v>
      </c>
      <c r="B50">
        <v>2</v>
      </c>
      <c r="C50">
        <v>1251</v>
      </c>
      <c r="D50">
        <v>357630</v>
      </c>
      <c r="E50">
        <v>12.75</v>
      </c>
      <c r="F50">
        <v>3.71</v>
      </c>
      <c r="G50">
        <v>3.71</v>
      </c>
      <c r="H50">
        <v>11.47</v>
      </c>
      <c r="I50">
        <v>11.47</v>
      </c>
    </row>
    <row r="51" spans="1:10">
      <c r="A51" s="3">
        <v>49</v>
      </c>
      <c r="B51">
        <v>2</v>
      </c>
      <c r="C51">
        <v>1314</v>
      </c>
      <c r="D51">
        <v>378880</v>
      </c>
      <c r="E51">
        <v>13.38</v>
      </c>
      <c r="F51">
        <v>3.82</v>
      </c>
      <c r="G51">
        <v>3.82</v>
      </c>
      <c r="H51">
        <v>12.1</v>
      </c>
      <c r="I51">
        <v>12.1</v>
      </c>
    </row>
    <row r="52" spans="1:10">
      <c r="A52">
        <v>50</v>
      </c>
      <c r="B52">
        <v>2</v>
      </c>
      <c r="C52">
        <v>1378</v>
      </c>
      <c r="D52">
        <v>400930</v>
      </c>
      <c r="E52">
        <v>14.04</v>
      </c>
      <c r="F52">
        <v>3.93</v>
      </c>
      <c r="G52">
        <v>3.93</v>
      </c>
      <c r="H52">
        <v>12.76</v>
      </c>
      <c r="I52">
        <v>12.76</v>
      </c>
      <c r="J52">
        <f t="shared" ref="J52" si="2">SUM(D43:D52)</f>
        <v>3110640</v>
      </c>
    </row>
    <row r="53" spans="1:10">
      <c r="A53">
        <v>51</v>
      </c>
      <c r="B53">
        <v>2</v>
      </c>
      <c r="C53">
        <v>1475</v>
      </c>
      <c r="D53">
        <v>423800</v>
      </c>
      <c r="E53">
        <v>15.72</v>
      </c>
      <c r="F53">
        <v>4.05</v>
      </c>
      <c r="G53">
        <v>4.05</v>
      </c>
      <c r="H53">
        <v>13.46</v>
      </c>
      <c r="I53">
        <v>13.46</v>
      </c>
    </row>
    <row r="54" spans="1:10">
      <c r="A54">
        <v>52</v>
      </c>
      <c r="B54">
        <v>2</v>
      </c>
      <c r="C54">
        <v>1565</v>
      </c>
      <c r="D54">
        <v>447510</v>
      </c>
      <c r="E54">
        <v>16.5</v>
      </c>
      <c r="F54">
        <v>4.17</v>
      </c>
      <c r="G54">
        <v>4.17</v>
      </c>
      <c r="H54">
        <v>14.2</v>
      </c>
      <c r="I54">
        <v>14.2</v>
      </c>
    </row>
    <row r="55" spans="1:10">
      <c r="A55">
        <v>53</v>
      </c>
      <c r="B55">
        <v>2</v>
      </c>
      <c r="C55">
        <v>1656</v>
      </c>
      <c r="D55">
        <v>472060</v>
      </c>
      <c r="E55">
        <v>17.32</v>
      </c>
      <c r="F55">
        <v>4.29</v>
      </c>
      <c r="G55">
        <v>4.29</v>
      </c>
      <c r="H55">
        <v>14.98</v>
      </c>
      <c r="I55">
        <v>14.98</v>
      </c>
    </row>
    <row r="56" spans="1:10">
      <c r="A56">
        <v>54</v>
      </c>
      <c r="B56">
        <v>2</v>
      </c>
      <c r="C56">
        <v>1748</v>
      </c>
      <c r="D56">
        <v>497480</v>
      </c>
      <c r="E56">
        <v>18.18</v>
      </c>
      <c r="F56">
        <v>4.42</v>
      </c>
      <c r="G56">
        <v>4.42</v>
      </c>
      <c r="H56">
        <v>15.8</v>
      </c>
      <c r="I56">
        <v>15.8</v>
      </c>
    </row>
    <row r="57" spans="1:10">
      <c r="A57">
        <v>55</v>
      </c>
      <c r="B57">
        <v>2</v>
      </c>
      <c r="C57">
        <v>1840</v>
      </c>
      <c r="D57">
        <v>523780</v>
      </c>
      <c r="E57">
        <v>19.079999999999998</v>
      </c>
      <c r="F57">
        <v>4.55</v>
      </c>
      <c r="G57">
        <v>4.55</v>
      </c>
      <c r="H57">
        <v>16.66</v>
      </c>
      <c r="I57">
        <v>16.66</v>
      </c>
    </row>
    <row r="58" spans="1:10">
      <c r="A58">
        <v>56</v>
      </c>
      <c r="B58">
        <v>2</v>
      </c>
      <c r="C58">
        <v>1933</v>
      </c>
      <c r="D58">
        <v>550970</v>
      </c>
      <c r="E58">
        <v>20.03</v>
      </c>
      <c r="F58">
        <v>4.6900000000000004</v>
      </c>
      <c r="G58">
        <v>4.6900000000000004</v>
      </c>
      <c r="H58">
        <v>17.57</v>
      </c>
      <c r="I58">
        <v>17.57</v>
      </c>
    </row>
    <row r="59" spans="1:10">
      <c r="A59">
        <v>57</v>
      </c>
      <c r="B59">
        <v>2</v>
      </c>
      <c r="C59">
        <v>2027</v>
      </c>
      <c r="D59">
        <v>579060</v>
      </c>
      <c r="E59">
        <v>21.03</v>
      </c>
      <c r="F59">
        <v>4.83</v>
      </c>
      <c r="G59">
        <v>4.83</v>
      </c>
      <c r="H59">
        <v>18.53</v>
      </c>
      <c r="I59">
        <v>18.53</v>
      </c>
    </row>
    <row r="60" spans="1:10">
      <c r="A60">
        <v>58</v>
      </c>
      <c r="B60">
        <v>2</v>
      </c>
      <c r="C60">
        <v>2121</v>
      </c>
      <c r="D60">
        <v>608080</v>
      </c>
      <c r="E60">
        <v>22.08</v>
      </c>
      <c r="F60">
        <v>4.97</v>
      </c>
      <c r="G60">
        <v>4.97</v>
      </c>
      <c r="H60">
        <v>19.54</v>
      </c>
      <c r="I60">
        <v>19.54</v>
      </c>
    </row>
    <row r="61" spans="1:10">
      <c r="A61">
        <v>59</v>
      </c>
      <c r="B61">
        <v>2</v>
      </c>
      <c r="C61">
        <v>2216</v>
      </c>
      <c r="D61">
        <v>638030</v>
      </c>
      <c r="E61">
        <v>23.18</v>
      </c>
      <c r="F61">
        <v>5.12</v>
      </c>
      <c r="G61">
        <v>5.12</v>
      </c>
      <c r="H61">
        <v>20.61</v>
      </c>
      <c r="I61">
        <v>20.61</v>
      </c>
    </row>
    <row r="62" spans="1:10">
      <c r="A62">
        <v>60</v>
      </c>
      <c r="B62">
        <v>2</v>
      </c>
      <c r="C62">
        <v>2312</v>
      </c>
      <c r="D62">
        <v>668940</v>
      </c>
      <c r="E62">
        <v>24.33</v>
      </c>
      <c r="F62">
        <v>5.27</v>
      </c>
      <c r="G62">
        <v>5.27</v>
      </c>
      <c r="H62">
        <v>21.74</v>
      </c>
      <c r="I62">
        <v>21.74</v>
      </c>
      <c r="J62">
        <f t="shared" ref="J62" si="3">SUM(D53:D62)</f>
        <v>5409710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7"/>
  <sheetViews>
    <sheetView workbookViewId="0">
      <selection activeCell="I30" sqref="I30"/>
    </sheetView>
  </sheetViews>
  <sheetFormatPr defaultColWidth="8.875" defaultRowHeight="13.5"/>
  <cols>
    <col min="1" max="2" width="13" bestFit="1" customWidth="1"/>
    <col min="3" max="3" width="9.125" bestFit="1" customWidth="1"/>
    <col min="4" max="4" width="9.5" bestFit="1" customWidth="1"/>
    <col min="5" max="5" width="11.125" bestFit="1" customWidth="1"/>
  </cols>
  <sheetData>
    <row r="1" spans="1:11">
      <c r="A1" t="s">
        <v>46</v>
      </c>
      <c r="G1" t="s">
        <v>47</v>
      </c>
      <c r="H1" t="s">
        <v>122</v>
      </c>
      <c r="I1" t="s">
        <v>1625</v>
      </c>
      <c r="J1" t="s">
        <v>123</v>
      </c>
    </row>
    <row r="2" spans="1:11">
      <c r="A2" t="s">
        <v>1627</v>
      </c>
      <c r="B2" t="s">
        <v>1621</v>
      </c>
      <c r="C2" t="s">
        <v>1622</v>
      </c>
      <c r="D2" t="s">
        <v>1623</v>
      </c>
      <c r="E2" t="s">
        <v>1624</v>
      </c>
      <c r="F2" t="s">
        <v>40</v>
      </c>
    </row>
    <row r="3" spans="1:11">
      <c r="A3">
        <v>1</v>
      </c>
      <c r="B3">
        <v>1</v>
      </c>
      <c r="C3">
        <v>1</v>
      </c>
      <c r="D3">
        <v>3</v>
      </c>
      <c r="E3">
        <v>20</v>
      </c>
      <c r="F3">
        <v>2</v>
      </c>
      <c r="G3" t="s">
        <v>41</v>
      </c>
      <c r="H3">
        <v>500</v>
      </c>
      <c r="I3">
        <v>500</v>
      </c>
      <c r="K3">
        <v>200</v>
      </c>
    </row>
    <row r="4" spans="1:11">
      <c r="A4">
        <v>2</v>
      </c>
      <c r="B4">
        <v>2</v>
      </c>
      <c r="C4">
        <v>10</v>
      </c>
      <c r="D4">
        <v>3</v>
      </c>
      <c r="E4">
        <v>20</v>
      </c>
      <c r="F4">
        <v>3</v>
      </c>
      <c r="G4" t="s">
        <v>42</v>
      </c>
      <c r="H4">
        <v>2000</v>
      </c>
      <c r="I4">
        <v>2000</v>
      </c>
      <c r="K4">
        <v>255</v>
      </c>
    </row>
    <row r="5" spans="1:11">
      <c r="A5">
        <v>3</v>
      </c>
      <c r="B5">
        <v>3</v>
      </c>
      <c r="C5">
        <v>20</v>
      </c>
      <c r="D5">
        <v>3</v>
      </c>
      <c r="E5">
        <v>20</v>
      </c>
      <c r="F5">
        <v>4</v>
      </c>
      <c r="G5" t="s">
        <v>43</v>
      </c>
      <c r="H5">
        <v>5000</v>
      </c>
      <c r="I5">
        <v>5000</v>
      </c>
      <c r="K5">
        <v>280</v>
      </c>
    </row>
    <row r="6" spans="1:11">
      <c r="A6">
        <v>4</v>
      </c>
      <c r="B6">
        <v>4</v>
      </c>
      <c r="C6">
        <v>35</v>
      </c>
      <c r="D6">
        <v>3</v>
      </c>
      <c r="E6">
        <v>15</v>
      </c>
      <c r="F6">
        <v>5</v>
      </c>
      <c r="G6" t="s">
        <v>44</v>
      </c>
      <c r="H6">
        <v>20000</v>
      </c>
      <c r="I6">
        <v>20000</v>
      </c>
      <c r="K6">
        <v>225</v>
      </c>
    </row>
    <row r="7" spans="1:11">
      <c r="A7">
        <v>5</v>
      </c>
      <c r="B7">
        <v>5</v>
      </c>
      <c r="C7">
        <v>50</v>
      </c>
      <c r="D7">
        <v>2</v>
      </c>
      <c r="E7">
        <v>10</v>
      </c>
      <c r="F7">
        <v>10</v>
      </c>
      <c r="G7" t="s">
        <v>45</v>
      </c>
      <c r="H7">
        <v>100000</v>
      </c>
      <c r="I7">
        <v>100000</v>
      </c>
      <c r="K7">
        <v>300</v>
      </c>
    </row>
  </sheetData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2"/>
  <sheetViews>
    <sheetView topLeftCell="A40" workbookViewId="0">
      <selection activeCell="K11" sqref="K11"/>
    </sheetView>
  </sheetViews>
  <sheetFormatPr defaultColWidth="8.875" defaultRowHeight="13.5"/>
  <cols>
    <col min="1" max="1" width="6.875" customWidth="1"/>
    <col min="2" max="2" width="4.875" customWidth="1"/>
    <col min="4" max="4" width="25.875" customWidth="1"/>
  </cols>
  <sheetData>
    <row r="1" spans="1:18">
      <c r="A1" t="s">
        <v>6028</v>
      </c>
      <c r="C1" t="s">
        <v>6074</v>
      </c>
      <c r="D1" s="28" t="s">
        <v>6073</v>
      </c>
      <c r="E1" t="s">
        <v>6072</v>
      </c>
      <c r="F1" t="s">
        <v>6071</v>
      </c>
      <c r="G1" s="7" t="s">
        <v>6029</v>
      </c>
      <c r="H1" s="7" t="s">
        <v>6030</v>
      </c>
      <c r="I1" s="7" t="s">
        <v>6031</v>
      </c>
      <c r="J1" s="7" t="s">
        <v>6032</v>
      </c>
      <c r="K1" s="7" t="s">
        <v>2124</v>
      </c>
      <c r="L1" s="7" t="s">
        <v>6033</v>
      </c>
      <c r="M1" s="7" t="s">
        <v>6034</v>
      </c>
      <c r="N1" s="7" t="s">
        <v>6035</v>
      </c>
      <c r="O1" s="7" t="s">
        <v>6036</v>
      </c>
    </row>
    <row r="2" spans="1:18">
      <c r="A2" t="s">
        <v>6070</v>
      </c>
      <c r="B2" t="s">
        <v>6037</v>
      </c>
      <c r="C2" t="s">
        <v>6038</v>
      </c>
      <c r="D2" s="28" t="s">
        <v>6039</v>
      </c>
      <c r="E2" s="7" t="s">
        <v>6040</v>
      </c>
      <c r="F2" t="s">
        <v>6041</v>
      </c>
      <c r="G2" s="7" t="s">
        <v>6042</v>
      </c>
      <c r="H2" s="7" t="s">
        <v>6043</v>
      </c>
      <c r="I2" s="7" t="s">
        <v>2120</v>
      </c>
      <c r="J2" s="7" t="s">
        <v>6044</v>
      </c>
      <c r="K2" s="7" t="s">
        <v>6045</v>
      </c>
      <c r="L2" s="7" t="s">
        <v>6046</v>
      </c>
      <c r="M2" s="7" t="s">
        <v>6047</v>
      </c>
      <c r="N2" s="7" t="s">
        <v>6048</v>
      </c>
      <c r="O2" s="7" t="s">
        <v>6049</v>
      </c>
      <c r="P2" t="s">
        <v>6075</v>
      </c>
      <c r="Q2" t="s">
        <v>6076</v>
      </c>
      <c r="R2" t="s">
        <v>6077</v>
      </c>
    </row>
    <row r="3" spans="1:18" ht="27">
      <c r="A3">
        <v>1</v>
      </c>
      <c r="B3">
        <v>2</v>
      </c>
      <c r="C3" t="s">
        <v>6580</v>
      </c>
      <c r="D3" s="10" t="s">
        <v>6051</v>
      </c>
      <c r="E3">
        <v>1</v>
      </c>
      <c r="F3">
        <v>17</v>
      </c>
      <c r="G3" s="29">
        <v>114</v>
      </c>
      <c r="H3" s="29">
        <v>11</v>
      </c>
      <c r="I3" s="29">
        <v>14</v>
      </c>
      <c r="J3" s="29">
        <v>14</v>
      </c>
      <c r="K3" s="29">
        <v>11</v>
      </c>
      <c r="L3" s="29">
        <v>114</v>
      </c>
      <c r="M3" s="29">
        <v>107</v>
      </c>
      <c r="N3" s="29">
        <v>53</v>
      </c>
      <c r="O3" s="29">
        <v>53</v>
      </c>
      <c r="P3">
        <v>1</v>
      </c>
      <c r="Q3" s="7">
        <v>40101</v>
      </c>
      <c r="R3" s="7"/>
    </row>
    <row r="4" spans="1:18">
      <c r="D4" s="28"/>
      <c r="P4">
        <v>2</v>
      </c>
      <c r="Q4" s="7">
        <v>40102</v>
      </c>
      <c r="R4" s="7">
        <v>40103</v>
      </c>
    </row>
    <row r="5" spans="1:18">
      <c r="D5" s="28"/>
      <c r="P5">
        <v>3</v>
      </c>
      <c r="Q5" s="7">
        <v>40104</v>
      </c>
      <c r="R5" s="7">
        <v>40106</v>
      </c>
    </row>
    <row r="6" spans="1:18">
      <c r="D6" s="28"/>
      <c r="P6">
        <v>4</v>
      </c>
      <c r="Q6" s="7">
        <v>40105</v>
      </c>
      <c r="R6" s="7">
        <v>40107</v>
      </c>
    </row>
    <row r="7" spans="1:18">
      <c r="D7" s="28"/>
      <c r="P7">
        <v>5</v>
      </c>
      <c r="Q7" s="7">
        <v>40109</v>
      </c>
      <c r="R7" s="7">
        <v>40108</v>
      </c>
    </row>
    <row r="8" spans="1:18">
      <c r="D8" s="28"/>
      <c r="P8">
        <v>6</v>
      </c>
      <c r="Q8" s="7">
        <v>40110</v>
      </c>
      <c r="R8" s="7">
        <v>40111</v>
      </c>
    </row>
    <row r="9" spans="1:18">
      <c r="D9" s="28"/>
      <c r="P9">
        <v>7</v>
      </c>
      <c r="Q9" s="7">
        <v>40112</v>
      </c>
      <c r="R9" s="7">
        <v>40113</v>
      </c>
    </row>
    <row r="10" spans="1:18">
      <c r="D10" s="28"/>
      <c r="P10">
        <v>8</v>
      </c>
      <c r="Q10" s="7">
        <v>40115</v>
      </c>
      <c r="R10" s="7">
        <v>40114</v>
      </c>
    </row>
    <row r="11" spans="1:18">
      <c r="D11" s="28"/>
      <c r="P11">
        <v>9</v>
      </c>
      <c r="Q11" s="7">
        <v>40116</v>
      </c>
      <c r="R11" s="7">
        <v>40118</v>
      </c>
    </row>
    <row r="12" spans="1:18">
      <c r="D12" s="28"/>
      <c r="P12">
        <v>10</v>
      </c>
      <c r="Q12" s="7">
        <v>40117</v>
      </c>
      <c r="R12" s="7"/>
    </row>
    <row r="13" spans="1:18" ht="40.5">
      <c r="A13">
        <v>2</v>
      </c>
      <c r="B13">
        <v>3</v>
      </c>
      <c r="C13" t="s">
        <v>6052</v>
      </c>
      <c r="D13" s="28" t="s">
        <v>6053</v>
      </c>
      <c r="E13">
        <v>2</v>
      </c>
      <c r="F13">
        <v>40002</v>
      </c>
      <c r="G13" s="29">
        <v>107</v>
      </c>
      <c r="H13" s="29">
        <v>11</v>
      </c>
      <c r="I13" s="29">
        <v>14</v>
      </c>
      <c r="J13" s="29">
        <v>14</v>
      </c>
      <c r="K13" s="29">
        <v>11</v>
      </c>
      <c r="L13" s="29">
        <v>121</v>
      </c>
      <c r="M13" s="29">
        <v>107</v>
      </c>
      <c r="N13" s="29">
        <v>53</v>
      </c>
      <c r="O13" s="29">
        <v>53</v>
      </c>
      <c r="P13">
        <v>1</v>
      </c>
      <c r="Q13" s="7">
        <v>40201</v>
      </c>
      <c r="R13" s="7"/>
    </row>
    <row r="14" spans="1:18">
      <c r="D14" s="28"/>
      <c r="P14">
        <v>2</v>
      </c>
      <c r="Q14" s="7">
        <v>40203</v>
      </c>
      <c r="R14" s="7">
        <v>40202</v>
      </c>
    </row>
    <row r="15" spans="1:18">
      <c r="D15" s="28"/>
      <c r="P15">
        <v>3</v>
      </c>
      <c r="Q15" s="7">
        <v>40204</v>
      </c>
      <c r="R15" s="7">
        <v>40206</v>
      </c>
    </row>
    <row r="16" spans="1:18">
      <c r="D16" s="28"/>
      <c r="P16">
        <v>4</v>
      </c>
      <c r="Q16" s="7">
        <v>40207</v>
      </c>
      <c r="R16" s="7">
        <v>40205</v>
      </c>
    </row>
    <row r="17" spans="1:18">
      <c r="D17" s="28"/>
      <c r="P17">
        <v>5</v>
      </c>
      <c r="Q17" s="7">
        <v>40211</v>
      </c>
      <c r="R17" s="7">
        <v>40208</v>
      </c>
    </row>
    <row r="18" spans="1:18">
      <c r="D18" s="28"/>
      <c r="P18">
        <v>6</v>
      </c>
      <c r="Q18" s="7">
        <v>40212</v>
      </c>
      <c r="R18" s="7">
        <v>40209</v>
      </c>
    </row>
    <row r="19" spans="1:18">
      <c r="D19" s="28"/>
      <c r="P19">
        <v>7</v>
      </c>
      <c r="Q19" s="7">
        <v>40213</v>
      </c>
      <c r="R19" s="7">
        <v>40210</v>
      </c>
    </row>
    <row r="20" spans="1:18">
      <c r="D20" s="28"/>
      <c r="P20">
        <v>8</v>
      </c>
      <c r="Q20" s="7">
        <v>40215</v>
      </c>
      <c r="R20" s="7">
        <v>40214</v>
      </c>
    </row>
    <row r="21" spans="1:18">
      <c r="D21" s="28"/>
      <c r="P21">
        <v>9</v>
      </c>
      <c r="Q21" s="7">
        <v>40218</v>
      </c>
      <c r="R21" s="7">
        <v>40216</v>
      </c>
    </row>
    <row r="22" spans="1:18">
      <c r="D22" s="28"/>
      <c r="P22">
        <v>10</v>
      </c>
      <c r="Q22" s="7">
        <v>40217</v>
      </c>
      <c r="R22" s="7"/>
    </row>
    <row r="23" spans="1:18" ht="27">
      <c r="A23">
        <v>3</v>
      </c>
      <c r="B23">
        <v>4</v>
      </c>
      <c r="C23" t="s">
        <v>6581</v>
      </c>
      <c r="D23" s="28" t="s">
        <v>6055</v>
      </c>
      <c r="E23">
        <v>5</v>
      </c>
      <c r="F23">
        <v>40003</v>
      </c>
      <c r="G23" s="29">
        <v>107</v>
      </c>
      <c r="H23" s="29">
        <v>11</v>
      </c>
      <c r="I23" s="29">
        <v>12</v>
      </c>
      <c r="J23" s="29">
        <v>12</v>
      </c>
      <c r="K23" s="29">
        <v>11</v>
      </c>
      <c r="L23" s="29">
        <v>107</v>
      </c>
      <c r="M23" s="29">
        <v>121</v>
      </c>
      <c r="N23" s="29">
        <v>53</v>
      </c>
      <c r="O23" s="29">
        <v>56</v>
      </c>
      <c r="P23">
        <v>1</v>
      </c>
      <c r="Q23" s="7">
        <v>40301</v>
      </c>
      <c r="R23" s="7"/>
    </row>
    <row r="24" spans="1:18">
      <c r="D24" s="28"/>
      <c r="P24">
        <v>2</v>
      </c>
      <c r="Q24" s="7">
        <v>40303</v>
      </c>
      <c r="R24" s="7">
        <v>40302</v>
      </c>
    </row>
    <row r="25" spans="1:18">
      <c r="D25" s="28"/>
      <c r="P25">
        <v>3</v>
      </c>
      <c r="Q25" s="7">
        <v>40305</v>
      </c>
      <c r="R25" s="7">
        <v>40304</v>
      </c>
    </row>
    <row r="26" spans="1:18">
      <c r="D26" s="28"/>
      <c r="P26">
        <v>4</v>
      </c>
      <c r="Q26" s="7">
        <v>40306</v>
      </c>
      <c r="R26" s="7">
        <v>40307</v>
      </c>
    </row>
    <row r="27" spans="1:18">
      <c r="D27" s="28"/>
      <c r="P27">
        <v>5</v>
      </c>
      <c r="Q27" s="7">
        <v>40311</v>
      </c>
      <c r="R27" s="7">
        <v>40308</v>
      </c>
    </row>
    <row r="28" spans="1:18">
      <c r="D28" s="28"/>
      <c r="P28">
        <v>6</v>
      </c>
      <c r="Q28" s="7">
        <v>40312</v>
      </c>
      <c r="R28" s="7">
        <v>40309</v>
      </c>
    </row>
    <row r="29" spans="1:18">
      <c r="D29" s="28"/>
      <c r="P29">
        <v>7</v>
      </c>
      <c r="Q29" s="7">
        <v>40313</v>
      </c>
      <c r="R29" s="7">
        <v>40310</v>
      </c>
    </row>
    <row r="30" spans="1:18">
      <c r="D30" s="28"/>
      <c r="P30">
        <v>8</v>
      </c>
      <c r="Q30" s="7">
        <v>40314</v>
      </c>
      <c r="R30" s="7">
        <v>40315</v>
      </c>
    </row>
    <row r="31" spans="1:18">
      <c r="D31" s="28"/>
      <c r="P31">
        <v>9</v>
      </c>
      <c r="Q31" s="7">
        <v>40318</v>
      </c>
      <c r="R31" s="7">
        <v>40316</v>
      </c>
    </row>
    <row r="32" spans="1:18">
      <c r="D32" s="28"/>
      <c r="P32">
        <v>10</v>
      </c>
      <c r="Q32" s="7">
        <v>40317</v>
      </c>
      <c r="R32" s="7"/>
    </row>
    <row r="33" spans="1:18" ht="14.25">
      <c r="A33">
        <v>4</v>
      </c>
      <c r="B33">
        <v>9</v>
      </c>
      <c r="C33" t="s">
        <v>6582</v>
      </c>
      <c r="D33" s="28" t="s">
        <v>6057</v>
      </c>
      <c r="E33">
        <v>3</v>
      </c>
      <c r="F33">
        <v>38</v>
      </c>
      <c r="G33" s="29">
        <v>121</v>
      </c>
      <c r="H33" s="29">
        <v>11</v>
      </c>
      <c r="I33" s="29">
        <v>11</v>
      </c>
      <c r="J33" s="29">
        <v>11</v>
      </c>
      <c r="K33" s="29">
        <v>11</v>
      </c>
      <c r="L33" s="29">
        <v>107</v>
      </c>
      <c r="M33" s="29">
        <v>107</v>
      </c>
      <c r="N33" s="29">
        <v>56</v>
      </c>
      <c r="O33" s="29">
        <v>56</v>
      </c>
      <c r="P33">
        <v>1</v>
      </c>
      <c r="Q33" s="7">
        <v>40401</v>
      </c>
      <c r="R33" s="7"/>
    </row>
    <row r="34" spans="1:18">
      <c r="D34" s="28"/>
      <c r="P34">
        <v>2</v>
      </c>
      <c r="Q34" s="7">
        <v>40402</v>
      </c>
      <c r="R34" s="7">
        <v>40403</v>
      </c>
    </row>
    <row r="35" spans="1:18">
      <c r="D35" s="28"/>
      <c r="P35">
        <v>3</v>
      </c>
      <c r="Q35" s="7">
        <v>40405</v>
      </c>
      <c r="R35" s="7">
        <v>40406</v>
      </c>
    </row>
    <row r="36" spans="1:18">
      <c r="D36" s="28"/>
      <c r="P36">
        <v>4</v>
      </c>
      <c r="Q36" s="7">
        <v>40413</v>
      </c>
      <c r="R36" s="7">
        <v>40409</v>
      </c>
    </row>
    <row r="37" spans="1:18">
      <c r="D37" s="28"/>
      <c r="P37">
        <v>5</v>
      </c>
      <c r="Q37" s="7">
        <v>40404</v>
      </c>
      <c r="R37" s="7">
        <v>40407</v>
      </c>
    </row>
    <row r="38" spans="1:18">
      <c r="D38" s="28"/>
      <c r="P38">
        <v>6</v>
      </c>
      <c r="Q38" s="7">
        <v>40411</v>
      </c>
      <c r="R38" s="7">
        <v>40412</v>
      </c>
    </row>
    <row r="39" spans="1:18">
      <c r="D39" s="28"/>
      <c r="P39">
        <v>7</v>
      </c>
      <c r="Q39" s="7">
        <v>40418</v>
      </c>
      <c r="R39" s="7">
        <v>40414</v>
      </c>
    </row>
    <row r="40" spans="1:18">
      <c r="D40" s="28"/>
      <c r="P40">
        <v>8</v>
      </c>
      <c r="Q40" s="7">
        <v>40416</v>
      </c>
      <c r="R40" s="7">
        <v>40415</v>
      </c>
    </row>
    <row r="41" spans="1:18">
      <c r="D41" s="28"/>
      <c r="P41">
        <v>9</v>
      </c>
      <c r="Q41" s="7">
        <v>40410</v>
      </c>
      <c r="R41" s="7">
        <v>40417</v>
      </c>
    </row>
    <row r="42" spans="1:18">
      <c r="D42" s="28"/>
      <c r="P42">
        <v>10</v>
      </c>
      <c r="Q42" s="7">
        <v>40408</v>
      </c>
      <c r="R42" s="7"/>
    </row>
    <row r="43" spans="1:18" ht="14.25">
      <c r="A43">
        <v>5</v>
      </c>
      <c r="B43">
        <v>7</v>
      </c>
      <c r="C43" t="s">
        <v>6583</v>
      </c>
      <c r="D43" s="28" t="s">
        <v>6059</v>
      </c>
      <c r="E43">
        <v>4</v>
      </c>
      <c r="F43">
        <v>158</v>
      </c>
      <c r="G43" s="29">
        <v>107</v>
      </c>
      <c r="H43" s="29">
        <v>11</v>
      </c>
      <c r="I43" s="29">
        <v>14</v>
      </c>
      <c r="J43" s="29">
        <v>14</v>
      </c>
      <c r="K43" s="29">
        <v>11</v>
      </c>
      <c r="L43" s="29">
        <v>114</v>
      </c>
      <c r="M43" s="29">
        <v>114</v>
      </c>
      <c r="N43" s="29">
        <v>53</v>
      </c>
      <c r="O43" s="29">
        <v>53</v>
      </c>
      <c r="P43">
        <v>1</v>
      </c>
      <c r="Q43" s="7">
        <v>40503</v>
      </c>
      <c r="R43" s="7"/>
    </row>
    <row r="44" spans="1:18">
      <c r="D44" s="28"/>
      <c r="P44">
        <v>2</v>
      </c>
      <c r="Q44" s="7">
        <v>40501</v>
      </c>
      <c r="R44" s="7">
        <v>40502</v>
      </c>
    </row>
    <row r="45" spans="1:18">
      <c r="D45" s="28"/>
      <c r="P45">
        <v>3</v>
      </c>
      <c r="Q45" s="7">
        <v>40504</v>
      </c>
      <c r="R45" s="7">
        <v>40505</v>
      </c>
    </row>
    <row r="46" spans="1:18">
      <c r="D46" s="28"/>
      <c r="P46">
        <v>4</v>
      </c>
      <c r="Q46" s="7">
        <v>40507</v>
      </c>
      <c r="R46" s="7">
        <v>40509</v>
      </c>
    </row>
    <row r="47" spans="1:18">
      <c r="D47" s="28"/>
      <c r="P47">
        <v>5</v>
      </c>
      <c r="Q47" s="7">
        <v>40510</v>
      </c>
      <c r="R47" s="7">
        <v>40512</v>
      </c>
    </row>
    <row r="48" spans="1:18">
      <c r="D48" s="28"/>
      <c r="P48">
        <v>6</v>
      </c>
      <c r="Q48" s="7">
        <v>40513</v>
      </c>
      <c r="R48" s="7">
        <v>40515</v>
      </c>
    </row>
    <row r="49" spans="1:18">
      <c r="D49" s="28"/>
      <c r="P49">
        <v>7</v>
      </c>
      <c r="Q49" s="7">
        <v>40516</v>
      </c>
      <c r="R49" s="7">
        <v>40506</v>
      </c>
    </row>
    <row r="50" spans="1:18">
      <c r="D50" s="28"/>
      <c r="P50">
        <v>8</v>
      </c>
      <c r="Q50" s="7">
        <v>40508</v>
      </c>
      <c r="R50" s="7">
        <v>40511</v>
      </c>
    </row>
    <row r="51" spans="1:18">
      <c r="D51" s="28"/>
      <c r="P51">
        <v>9</v>
      </c>
      <c r="Q51" s="7">
        <v>40514</v>
      </c>
      <c r="R51" s="7">
        <v>40517</v>
      </c>
    </row>
    <row r="52" spans="1:18">
      <c r="D52" s="28"/>
      <c r="P52">
        <v>10</v>
      </c>
      <c r="Q52" s="7">
        <v>40518</v>
      </c>
      <c r="R52" s="7"/>
    </row>
    <row r="53" spans="1:18" ht="40.5">
      <c r="A53">
        <v>6</v>
      </c>
      <c r="B53">
        <v>1</v>
      </c>
      <c r="C53" t="s">
        <v>6584</v>
      </c>
      <c r="D53" s="28" t="s">
        <v>6061</v>
      </c>
      <c r="E53">
        <v>0</v>
      </c>
      <c r="F53">
        <v>157</v>
      </c>
      <c r="G53" s="29">
        <v>114</v>
      </c>
      <c r="H53" s="29">
        <v>12</v>
      </c>
      <c r="I53" s="29">
        <v>12</v>
      </c>
      <c r="J53" s="29">
        <v>12</v>
      </c>
      <c r="K53" s="29">
        <v>12</v>
      </c>
      <c r="L53" s="29">
        <v>107</v>
      </c>
      <c r="M53" s="29">
        <v>107</v>
      </c>
      <c r="N53" s="29">
        <v>53</v>
      </c>
      <c r="O53" s="29">
        <v>53</v>
      </c>
      <c r="P53">
        <v>1</v>
      </c>
      <c r="Q53" s="7">
        <v>40601</v>
      </c>
      <c r="R53" s="7"/>
    </row>
    <row r="54" spans="1:18">
      <c r="D54" s="28"/>
      <c r="P54">
        <v>2</v>
      </c>
      <c r="Q54" s="7">
        <v>40602</v>
      </c>
      <c r="R54" s="7">
        <v>40605</v>
      </c>
    </row>
    <row r="55" spans="1:18">
      <c r="D55" s="28"/>
      <c r="P55">
        <v>3</v>
      </c>
      <c r="Q55" s="7">
        <v>40603</v>
      </c>
      <c r="R55" s="7">
        <v>40607</v>
      </c>
    </row>
    <row r="56" spans="1:18">
      <c r="D56" s="28"/>
      <c r="P56">
        <v>4</v>
      </c>
      <c r="Q56" s="7">
        <v>40604</v>
      </c>
      <c r="R56" s="7">
        <v>40609</v>
      </c>
    </row>
    <row r="57" spans="1:18">
      <c r="D57" s="28"/>
      <c r="P57">
        <v>5</v>
      </c>
      <c r="Q57" s="7">
        <v>40606</v>
      </c>
      <c r="R57" s="7">
        <v>40610</v>
      </c>
    </row>
    <row r="58" spans="1:18">
      <c r="D58" s="28"/>
      <c r="P58">
        <v>6</v>
      </c>
      <c r="Q58" s="7">
        <v>40608</v>
      </c>
      <c r="R58" s="7">
        <v>40612</v>
      </c>
    </row>
    <row r="59" spans="1:18">
      <c r="D59" s="28"/>
      <c r="P59">
        <v>7</v>
      </c>
      <c r="Q59" s="7">
        <v>40611</v>
      </c>
      <c r="R59" s="7">
        <v>40613</v>
      </c>
    </row>
    <row r="60" spans="1:18">
      <c r="D60" s="28"/>
      <c r="P60">
        <v>8</v>
      </c>
      <c r="Q60" s="7">
        <v>40615</v>
      </c>
      <c r="R60" s="7">
        <v>40614</v>
      </c>
    </row>
    <row r="61" spans="1:18">
      <c r="D61" s="28"/>
      <c r="P61">
        <v>9</v>
      </c>
      <c r="Q61" s="7">
        <v>40616</v>
      </c>
      <c r="R61" s="7">
        <v>40618</v>
      </c>
    </row>
    <row r="62" spans="1:18">
      <c r="D62" s="28"/>
      <c r="P62">
        <v>10</v>
      </c>
      <c r="Q62" s="7">
        <v>40617</v>
      </c>
      <c r="R62" s="7"/>
    </row>
    <row r="63" spans="1:18" ht="14.25">
      <c r="A63">
        <v>7</v>
      </c>
      <c r="B63">
        <v>8</v>
      </c>
      <c r="C63" t="s">
        <v>6585</v>
      </c>
      <c r="D63" s="28" t="s">
        <v>6063</v>
      </c>
      <c r="E63">
        <v>5</v>
      </c>
      <c r="F63">
        <v>8</v>
      </c>
      <c r="G63" s="29">
        <v>114</v>
      </c>
      <c r="H63" s="29">
        <v>11</v>
      </c>
      <c r="I63" s="29">
        <v>12</v>
      </c>
      <c r="J63" s="29">
        <v>12</v>
      </c>
      <c r="K63" s="29">
        <v>12</v>
      </c>
      <c r="L63" s="29">
        <v>107</v>
      </c>
      <c r="M63" s="29">
        <v>114</v>
      </c>
      <c r="N63" s="29">
        <v>53</v>
      </c>
      <c r="O63" s="29">
        <v>53</v>
      </c>
      <c r="P63">
        <v>1</v>
      </c>
      <c r="Q63" s="7">
        <v>40705</v>
      </c>
    </row>
    <row r="64" spans="1:18">
      <c r="D64" s="28"/>
      <c r="P64">
        <v>2</v>
      </c>
      <c r="Q64" s="7">
        <v>40702</v>
      </c>
      <c r="R64" s="7">
        <v>40706</v>
      </c>
    </row>
    <row r="65" spans="1:18">
      <c r="D65" s="28"/>
      <c r="P65">
        <v>3</v>
      </c>
      <c r="Q65" s="7">
        <v>40707</v>
      </c>
      <c r="R65" s="7">
        <v>40708</v>
      </c>
    </row>
    <row r="66" spans="1:18">
      <c r="D66" s="28"/>
      <c r="P66">
        <v>4</v>
      </c>
      <c r="Q66" s="7">
        <v>40718</v>
      </c>
      <c r="R66" s="7">
        <v>40711</v>
      </c>
    </row>
    <row r="67" spans="1:18">
      <c r="D67" s="28"/>
      <c r="P67">
        <v>5</v>
      </c>
      <c r="Q67" s="7">
        <v>40714</v>
      </c>
      <c r="R67" s="7">
        <v>40715</v>
      </c>
    </row>
    <row r="68" spans="1:18">
      <c r="D68" s="28"/>
      <c r="P68">
        <v>6</v>
      </c>
      <c r="Q68" s="7">
        <v>40701</v>
      </c>
      <c r="R68" s="7">
        <v>40704</v>
      </c>
    </row>
    <row r="69" spans="1:18">
      <c r="D69" s="28"/>
      <c r="P69">
        <v>7</v>
      </c>
      <c r="Q69" s="7">
        <v>40710</v>
      </c>
      <c r="R69" s="7">
        <v>40717</v>
      </c>
    </row>
    <row r="70" spans="1:18">
      <c r="D70" s="28"/>
      <c r="P70">
        <v>8</v>
      </c>
      <c r="Q70" s="7">
        <v>40713</v>
      </c>
      <c r="R70" s="7">
        <v>40716</v>
      </c>
    </row>
    <row r="71" spans="1:18">
      <c r="D71" s="28"/>
      <c r="P71">
        <v>9</v>
      </c>
      <c r="Q71" s="7">
        <v>40709</v>
      </c>
      <c r="R71" s="7">
        <v>40712</v>
      </c>
    </row>
    <row r="72" spans="1:18">
      <c r="D72" s="28"/>
      <c r="P72">
        <v>10</v>
      </c>
      <c r="Q72" s="7">
        <v>40703</v>
      </c>
      <c r="R72" s="7"/>
    </row>
    <row r="73" spans="1:18" ht="27">
      <c r="A73">
        <v>8</v>
      </c>
      <c r="B73">
        <v>6</v>
      </c>
      <c r="C73" t="s">
        <v>6586</v>
      </c>
      <c r="D73" s="28" t="s">
        <v>6065</v>
      </c>
      <c r="E73">
        <v>6</v>
      </c>
      <c r="F73">
        <v>137</v>
      </c>
      <c r="G73" s="29">
        <v>107</v>
      </c>
      <c r="H73" s="29">
        <v>14</v>
      </c>
      <c r="I73" s="29">
        <v>12</v>
      </c>
      <c r="J73" s="29">
        <v>12</v>
      </c>
      <c r="K73" s="29">
        <v>12</v>
      </c>
      <c r="L73" s="29">
        <v>107</v>
      </c>
      <c r="M73" s="29">
        <v>107</v>
      </c>
      <c r="N73" s="29">
        <v>53</v>
      </c>
      <c r="O73" s="29">
        <v>53</v>
      </c>
      <c r="P73">
        <v>1</v>
      </c>
      <c r="Q73" s="7">
        <v>40803</v>
      </c>
    </row>
    <row r="74" spans="1:18">
      <c r="D74" s="28"/>
      <c r="P74">
        <v>2</v>
      </c>
      <c r="Q74" s="7">
        <v>40801</v>
      </c>
      <c r="R74" s="7">
        <v>40802</v>
      </c>
    </row>
    <row r="75" spans="1:18">
      <c r="D75" s="28"/>
      <c r="P75">
        <v>3</v>
      </c>
      <c r="Q75" s="7">
        <v>40804</v>
      </c>
      <c r="R75" s="7">
        <v>40805</v>
      </c>
    </row>
    <row r="76" spans="1:18">
      <c r="D76" s="28"/>
      <c r="P76">
        <v>4</v>
      </c>
      <c r="Q76" s="7">
        <v>40806</v>
      </c>
      <c r="R76" s="7">
        <v>40817</v>
      </c>
    </row>
    <row r="77" spans="1:18">
      <c r="D77" s="28"/>
      <c r="P77">
        <v>5</v>
      </c>
      <c r="Q77" s="7">
        <v>40807</v>
      </c>
      <c r="R77" s="7">
        <v>40809</v>
      </c>
    </row>
    <row r="78" spans="1:18">
      <c r="D78" s="28"/>
      <c r="P78">
        <v>6</v>
      </c>
      <c r="Q78" s="7">
        <v>40808</v>
      </c>
      <c r="R78" s="7">
        <v>40811</v>
      </c>
    </row>
    <row r="79" spans="1:18">
      <c r="D79" s="28"/>
      <c r="P79">
        <v>7</v>
      </c>
      <c r="Q79" s="7">
        <v>40810</v>
      </c>
      <c r="R79" s="7">
        <v>40814</v>
      </c>
    </row>
    <row r="80" spans="1:18">
      <c r="D80" s="28"/>
      <c r="P80">
        <v>8</v>
      </c>
      <c r="Q80" s="7">
        <v>40813</v>
      </c>
      <c r="R80" s="7">
        <v>40812</v>
      </c>
    </row>
    <row r="81" spans="1:18">
      <c r="D81" s="28"/>
      <c r="P81">
        <v>9</v>
      </c>
      <c r="Q81" s="7">
        <v>40816</v>
      </c>
      <c r="R81" s="7">
        <v>40815</v>
      </c>
    </row>
    <row r="82" spans="1:18">
      <c r="D82" s="28"/>
      <c r="P82">
        <v>10</v>
      </c>
      <c r="Q82" s="7">
        <v>40818</v>
      </c>
      <c r="R82" s="7"/>
    </row>
    <row r="83" spans="1:18" ht="14.25">
      <c r="A83">
        <v>9</v>
      </c>
      <c r="B83">
        <v>5</v>
      </c>
      <c r="C83" t="s">
        <v>6587</v>
      </c>
      <c r="D83" s="28" t="s">
        <v>6067</v>
      </c>
      <c r="E83">
        <v>6</v>
      </c>
      <c r="F83">
        <v>42</v>
      </c>
      <c r="G83" s="29">
        <v>114</v>
      </c>
      <c r="H83" s="29">
        <v>12</v>
      </c>
      <c r="I83" s="29">
        <v>12</v>
      </c>
      <c r="J83" s="29">
        <v>12</v>
      </c>
      <c r="K83" s="29">
        <v>11</v>
      </c>
      <c r="L83" s="29">
        <v>107</v>
      </c>
      <c r="M83" s="29">
        <v>107</v>
      </c>
      <c r="N83" s="29">
        <v>56</v>
      </c>
      <c r="O83" s="29">
        <v>56</v>
      </c>
      <c r="P83">
        <v>1</v>
      </c>
      <c r="Q83" s="7">
        <v>40901</v>
      </c>
      <c r="R83" s="7"/>
    </row>
    <row r="84" spans="1:18">
      <c r="D84" s="28"/>
      <c r="P84">
        <v>2</v>
      </c>
      <c r="Q84" s="7">
        <v>40902</v>
      </c>
      <c r="R84" s="7">
        <v>40905</v>
      </c>
    </row>
    <row r="85" spans="1:18">
      <c r="D85" s="28"/>
      <c r="P85">
        <v>3</v>
      </c>
      <c r="Q85" s="7">
        <v>40903</v>
      </c>
      <c r="R85" s="7">
        <v>40906</v>
      </c>
    </row>
    <row r="86" spans="1:18">
      <c r="D86" s="28"/>
      <c r="P86">
        <v>4</v>
      </c>
      <c r="Q86" s="7">
        <v>40904</v>
      </c>
      <c r="R86" s="7">
        <v>40908</v>
      </c>
    </row>
    <row r="87" spans="1:18">
      <c r="D87" s="28"/>
      <c r="P87">
        <v>5</v>
      </c>
      <c r="Q87" s="7">
        <v>40907</v>
      </c>
      <c r="R87" s="7">
        <v>40909</v>
      </c>
    </row>
    <row r="88" spans="1:18">
      <c r="D88" s="28"/>
      <c r="P88">
        <v>6</v>
      </c>
      <c r="Q88" s="7">
        <v>40910</v>
      </c>
      <c r="R88" s="7">
        <v>40911</v>
      </c>
    </row>
    <row r="89" spans="1:18">
      <c r="D89" s="28"/>
      <c r="P89">
        <v>7</v>
      </c>
      <c r="Q89" s="7">
        <v>40913</v>
      </c>
      <c r="R89" s="7">
        <v>40916</v>
      </c>
    </row>
    <row r="90" spans="1:18">
      <c r="D90" s="28"/>
      <c r="P90">
        <v>8</v>
      </c>
      <c r="Q90" s="7">
        <v>40914</v>
      </c>
      <c r="R90" s="7">
        <v>40917</v>
      </c>
    </row>
    <row r="91" spans="1:18">
      <c r="D91" s="28"/>
      <c r="P91">
        <v>9</v>
      </c>
      <c r="Q91" s="7">
        <v>40915</v>
      </c>
      <c r="R91" s="7">
        <v>40918</v>
      </c>
    </row>
    <row r="92" spans="1:18">
      <c r="D92" s="28"/>
      <c r="P92">
        <v>10</v>
      </c>
      <c r="Q92" s="7">
        <v>40912</v>
      </c>
      <c r="R92" s="7"/>
    </row>
    <row r="93" spans="1:18" ht="14.25">
      <c r="A93">
        <v>10</v>
      </c>
      <c r="B93">
        <v>10</v>
      </c>
      <c r="C93" t="s">
        <v>6588</v>
      </c>
      <c r="D93" s="28" t="s">
        <v>6069</v>
      </c>
      <c r="E93">
        <v>6</v>
      </c>
      <c r="F93">
        <v>40010</v>
      </c>
      <c r="G93" s="29">
        <v>107</v>
      </c>
      <c r="H93" s="29">
        <v>11</v>
      </c>
      <c r="I93" s="29">
        <v>11</v>
      </c>
      <c r="J93" s="29">
        <v>11</v>
      </c>
      <c r="K93" s="29">
        <v>11</v>
      </c>
      <c r="L93" s="29">
        <v>107</v>
      </c>
      <c r="M93" s="29">
        <v>107</v>
      </c>
      <c r="N93" s="29">
        <v>60</v>
      </c>
      <c r="O93" s="29">
        <v>60</v>
      </c>
      <c r="P93">
        <v>1</v>
      </c>
      <c r="Q93" s="7">
        <v>41003</v>
      </c>
    </row>
    <row r="94" spans="1:18">
      <c r="D94" s="28"/>
      <c r="P94">
        <v>2</v>
      </c>
      <c r="Q94" s="7">
        <v>41001</v>
      </c>
      <c r="R94" s="7">
        <v>41002</v>
      </c>
    </row>
    <row r="95" spans="1:18">
      <c r="D95" s="28"/>
      <c r="P95">
        <v>3</v>
      </c>
      <c r="Q95" s="7">
        <v>41004</v>
      </c>
      <c r="R95" s="7">
        <v>41005</v>
      </c>
    </row>
    <row r="96" spans="1:18">
      <c r="D96" s="28"/>
      <c r="P96">
        <v>4</v>
      </c>
      <c r="Q96" s="7">
        <v>41007</v>
      </c>
      <c r="R96" s="7">
        <v>41006</v>
      </c>
    </row>
    <row r="97" spans="4:18">
      <c r="D97" s="28"/>
      <c r="P97">
        <v>5</v>
      </c>
      <c r="Q97" s="7">
        <v>41008</v>
      </c>
      <c r="R97" s="7">
        <v>41009</v>
      </c>
    </row>
    <row r="98" spans="4:18">
      <c r="D98" s="28"/>
      <c r="P98">
        <v>6</v>
      </c>
      <c r="Q98" s="7">
        <v>41010</v>
      </c>
      <c r="R98" s="7">
        <v>41011</v>
      </c>
    </row>
    <row r="99" spans="4:18">
      <c r="D99" s="28"/>
      <c r="P99">
        <v>7</v>
      </c>
      <c r="Q99" s="7">
        <v>41013</v>
      </c>
      <c r="R99" s="7">
        <v>41012</v>
      </c>
    </row>
    <row r="100" spans="4:18">
      <c r="D100" s="28"/>
      <c r="P100">
        <v>8</v>
      </c>
      <c r="Q100" s="7">
        <v>41016</v>
      </c>
      <c r="R100" s="7">
        <v>41018</v>
      </c>
    </row>
    <row r="101" spans="4:18">
      <c r="D101" s="28"/>
      <c r="P101">
        <v>9</v>
      </c>
      <c r="Q101" s="7">
        <v>41014</v>
      </c>
      <c r="R101" s="7">
        <v>41015</v>
      </c>
    </row>
    <row r="102" spans="4:18">
      <c r="D102" s="28"/>
      <c r="P102">
        <v>10</v>
      </c>
      <c r="Q102" s="7">
        <v>41017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2"/>
  <sheetViews>
    <sheetView workbookViewId="0">
      <selection activeCell="L25" sqref="L24:L25"/>
    </sheetView>
  </sheetViews>
  <sheetFormatPr defaultColWidth="8.875" defaultRowHeight="13.5"/>
  <cols>
    <col min="2" max="2" width="13.875" bestFit="1" customWidth="1"/>
    <col min="3" max="3" width="12.625" bestFit="1" customWidth="1"/>
    <col min="4" max="4" width="13.875" bestFit="1" customWidth="1"/>
  </cols>
  <sheetData>
    <row r="1" spans="1:5">
      <c r="A1" t="s">
        <v>6589</v>
      </c>
    </row>
    <row r="2" spans="1:5">
      <c r="A2" t="s">
        <v>6594</v>
      </c>
      <c r="B2" t="s">
        <v>6590</v>
      </c>
      <c r="C2" t="s">
        <v>6591</v>
      </c>
      <c r="D2" t="s">
        <v>6592</v>
      </c>
      <c r="E2" t="s">
        <v>6593</v>
      </c>
    </row>
    <row r="3" spans="1:5">
      <c r="A3">
        <v>1</v>
      </c>
      <c r="B3">
        <v>0</v>
      </c>
      <c r="C3">
        <v>4</v>
      </c>
      <c r="D3">
        <v>20</v>
      </c>
      <c r="E3">
        <v>2</v>
      </c>
    </row>
    <row r="4" spans="1:5">
      <c r="A4">
        <v>2</v>
      </c>
      <c r="B4">
        <v>10</v>
      </c>
      <c r="C4">
        <v>4</v>
      </c>
      <c r="D4">
        <v>20</v>
      </c>
      <c r="E4">
        <v>2</v>
      </c>
    </row>
    <row r="5" spans="1:5">
      <c r="A5">
        <v>3</v>
      </c>
      <c r="B5">
        <v>20</v>
      </c>
      <c r="C5">
        <v>4</v>
      </c>
      <c r="D5">
        <v>20</v>
      </c>
      <c r="E5">
        <v>3</v>
      </c>
    </row>
    <row r="6" spans="1:5">
      <c r="A6">
        <v>4</v>
      </c>
      <c r="B6">
        <v>30</v>
      </c>
      <c r="C6">
        <v>4</v>
      </c>
      <c r="D6">
        <v>20</v>
      </c>
      <c r="E6">
        <v>3</v>
      </c>
    </row>
    <row r="7" spans="1:5">
      <c r="A7">
        <v>5</v>
      </c>
      <c r="B7">
        <v>45</v>
      </c>
      <c r="C7">
        <v>3</v>
      </c>
      <c r="D7">
        <v>20</v>
      </c>
      <c r="E7">
        <v>3</v>
      </c>
    </row>
    <row r="8" spans="1:5">
      <c r="A8">
        <v>6</v>
      </c>
      <c r="B8">
        <v>50</v>
      </c>
      <c r="C8">
        <v>3</v>
      </c>
      <c r="D8">
        <v>20</v>
      </c>
      <c r="E8">
        <v>4</v>
      </c>
    </row>
    <row r="9" spans="1:5">
      <c r="A9">
        <v>7</v>
      </c>
      <c r="B9">
        <v>55</v>
      </c>
      <c r="C9">
        <v>3</v>
      </c>
      <c r="D9">
        <v>20</v>
      </c>
      <c r="E9">
        <v>4</v>
      </c>
    </row>
    <row r="10" spans="1:5">
      <c r="A10">
        <v>8</v>
      </c>
      <c r="B10">
        <v>60</v>
      </c>
      <c r="C10">
        <v>2</v>
      </c>
      <c r="D10">
        <v>20</v>
      </c>
      <c r="E10">
        <v>5</v>
      </c>
    </row>
    <row r="11" spans="1:5">
      <c r="A11">
        <v>9</v>
      </c>
      <c r="B11">
        <v>65</v>
      </c>
      <c r="C11">
        <v>2</v>
      </c>
      <c r="D11">
        <v>20</v>
      </c>
      <c r="E11">
        <v>5</v>
      </c>
    </row>
    <row r="12" spans="1:5">
      <c r="A12">
        <v>10</v>
      </c>
      <c r="B12">
        <v>70</v>
      </c>
      <c r="C12">
        <v>2</v>
      </c>
      <c r="D12">
        <v>20</v>
      </c>
      <c r="E12">
        <v>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9"/>
  <sheetViews>
    <sheetView workbookViewId="0">
      <selection activeCell="K16" sqref="K16"/>
    </sheetView>
  </sheetViews>
  <sheetFormatPr defaultColWidth="8.875" defaultRowHeight="13.5"/>
  <cols>
    <col min="4" max="4" width="11" bestFit="1" customWidth="1"/>
  </cols>
  <sheetData>
    <row r="1" spans="1:5">
      <c r="A1" t="s">
        <v>143</v>
      </c>
      <c r="C1" t="s">
        <v>90</v>
      </c>
      <c r="E1" t="s">
        <v>1987</v>
      </c>
    </row>
    <row r="2" spans="1:5">
      <c r="A2" t="s">
        <v>1988</v>
      </c>
      <c r="C2" t="s">
        <v>1989</v>
      </c>
      <c r="E2" t="s">
        <v>5</v>
      </c>
    </row>
    <row r="3" spans="1:5">
      <c r="A3">
        <v>0</v>
      </c>
      <c r="C3">
        <v>24105</v>
      </c>
      <c r="D3" t="s">
        <v>1990</v>
      </c>
      <c r="E3">
        <v>1</v>
      </c>
    </row>
    <row r="4" spans="1:5">
      <c r="A4">
        <v>1</v>
      </c>
      <c r="B4" t="s">
        <v>1991</v>
      </c>
      <c r="C4">
        <v>24101</v>
      </c>
      <c r="D4" t="s">
        <v>1992</v>
      </c>
      <c r="E4">
        <v>10</v>
      </c>
    </row>
    <row r="5" spans="1:5">
      <c r="A5">
        <v>2</v>
      </c>
      <c r="B5" t="s">
        <v>1993</v>
      </c>
      <c r="C5">
        <v>24101</v>
      </c>
      <c r="D5" t="s">
        <v>1992</v>
      </c>
      <c r="E5">
        <v>10</v>
      </c>
    </row>
    <row r="6" spans="1:5">
      <c r="A6">
        <v>3</v>
      </c>
      <c r="B6" t="s">
        <v>1995</v>
      </c>
      <c r="C6">
        <v>24101</v>
      </c>
      <c r="D6" t="s">
        <v>1992</v>
      </c>
      <c r="E6">
        <v>10</v>
      </c>
    </row>
    <row r="7" spans="1:5">
      <c r="A7">
        <v>4</v>
      </c>
      <c r="B7" t="s">
        <v>1997</v>
      </c>
      <c r="C7">
        <v>24102</v>
      </c>
      <c r="D7" t="s">
        <v>1994</v>
      </c>
      <c r="E7">
        <v>15</v>
      </c>
    </row>
    <row r="8" spans="1:5">
      <c r="A8">
        <v>5</v>
      </c>
      <c r="B8" t="s">
        <v>1999</v>
      </c>
      <c r="C8">
        <v>24103</v>
      </c>
      <c r="D8" t="s">
        <v>1996</v>
      </c>
      <c r="E8">
        <v>20</v>
      </c>
    </row>
    <row r="9" spans="1:5">
      <c r="A9">
        <v>6</v>
      </c>
      <c r="B9" t="s">
        <v>2000</v>
      </c>
      <c r="C9">
        <v>24104</v>
      </c>
      <c r="D9" t="s">
        <v>1998</v>
      </c>
      <c r="E9">
        <v>25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9"/>
  <sheetViews>
    <sheetView workbookViewId="0">
      <selection activeCell="I19" sqref="I19"/>
    </sheetView>
  </sheetViews>
  <sheetFormatPr defaultColWidth="8.875" defaultRowHeight="13.5"/>
  <cols>
    <col min="1" max="1" width="16.125" bestFit="1" customWidth="1"/>
    <col min="2" max="4" width="10.5" bestFit="1" customWidth="1"/>
    <col min="5" max="5" width="11.625" bestFit="1" customWidth="1"/>
    <col min="6" max="6" width="9.5" bestFit="1" customWidth="1"/>
    <col min="7" max="7" width="13.875" bestFit="1" customWidth="1"/>
    <col min="8" max="8" width="9" bestFit="1" customWidth="1"/>
  </cols>
  <sheetData>
    <row r="1" spans="1:12">
      <c r="A1" t="s">
        <v>376</v>
      </c>
      <c r="F1" t="s">
        <v>2001</v>
      </c>
      <c r="G1" t="s">
        <v>2002</v>
      </c>
      <c r="H1" t="s">
        <v>2003</v>
      </c>
      <c r="I1" t="s">
        <v>2004</v>
      </c>
    </row>
    <row r="2" spans="1:12">
      <c r="A2" t="s">
        <v>2005</v>
      </c>
      <c r="B2" t="s">
        <v>2144</v>
      </c>
      <c r="C2" t="s">
        <v>2145</v>
      </c>
      <c r="D2" t="s">
        <v>2146</v>
      </c>
      <c r="E2" t="s">
        <v>2143</v>
      </c>
      <c r="F2" t="s">
        <v>2006</v>
      </c>
      <c r="G2" t="s">
        <v>2007</v>
      </c>
      <c r="H2" t="s">
        <v>2008</v>
      </c>
      <c r="I2" t="s">
        <v>5</v>
      </c>
    </row>
    <row r="3" spans="1:12">
      <c r="A3">
        <v>1</v>
      </c>
      <c r="B3">
        <v>1</v>
      </c>
      <c r="C3">
        <v>1</v>
      </c>
      <c r="D3">
        <v>1</v>
      </c>
      <c r="E3">
        <v>1</v>
      </c>
      <c r="F3">
        <v>10</v>
      </c>
      <c r="G3">
        <v>11</v>
      </c>
      <c r="H3">
        <v>1</v>
      </c>
      <c r="I3">
        <v>2</v>
      </c>
    </row>
    <row r="4" spans="1:12">
      <c r="A4">
        <v>2</v>
      </c>
      <c r="B4">
        <v>1.22</v>
      </c>
      <c r="C4">
        <v>1.18</v>
      </c>
      <c r="D4">
        <v>1.25</v>
      </c>
      <c r="E4">
        <v>1.25</v>
      </c>
      <c r="F4">
        <v>20</v>
      </c>
      <c r="G4">
        <v>30</v>
      </c>
      <c r="H4">
        <v>2</v>
      </c>
      <c r="I4">
        <v>3</v>
      </c>
      <c r="J4">
        <v>1.22</v>
      </c>
      <c r="K4">
        <v>1.18</v>
      </c>
      <c r="L4">
        <v>1.25</v>
      </c>
    </row>
    <row r="5" spans="1:12">
      <c r="A5">
        <v>3</v>
      </c>
      <c r="B5">
        <v>1.59</v>
      </c>
      <c r="C5">
        <v>1.51</v>
      </c>
      <c r="D5">
        <v>1.65</v>
      </c>
      <c r="E5">
        <v>1.65</v>
      </c>
      <c r="F5">
        <v>30</v>
      </c>
      <c r="G5">
        <v>57</v>
      </c>
      <c r="H5">
        <v>3</v>
      </c>
      <c r="I5">
        <v>3</v>
      </c>
      <c r="J5">
        <v>1.3</v>
      </c>
      <c r="K5">
        <v>1.28</v>
      </c>
      <c r="L5">
        <v>1.32</v>
      </c>
    </row>
    <row r="6" spans="1:12">
      <c r="A6">
        <v>4</v>
      </c>
      <c r="B6">
        <v>2.19</v>
      </c>
      <c r="C6">
        <v>2.02</v>
      </c>
      <c r="D6">
        <v>2.31</v>
      </c>
      <c r="E6">
        <v>2.31</v>
      </c>
      <c r="F6">
        <v>40</v>
      </c>
      <c r="G6">
        <v>99</v>
      </c>
      <c r="H6">
        <v>4</v>
      </c>
      <c r="I6">
        <v>3</v>
      </c>
      <c r="J6">
        <v>1.38</v>
      </c>
      <c r="K6">
        <v>1.34</v>
      </c>
      <c r="L6">
        <v>1.4</v>
      </c>
    </row>
    <row r="7" spans="1:12">
      <c r="A7">
        <v>5</v>
      </c>
      <c r="B7">
        <v>3.29</v>
      </c>
      <c r="C7">
        <v>2.95</v>
      </c>
      <c r="D7">
        <v>3.51</v>
      </c>
      <c r="E7">
        <v>3.51</v>
      </c>
      <c r="F7">
        <v>50</v>
      </c>
      <c r="G7">
        <v>160</v>
      </c>
      <c r="H7">
        <v>5</v>
      </c>
      <c r="I7">
        <v>4</v>
      </c>
      <c r="J7">
        <v>1.5</v>
      </c>
      <c r="K7">
        <v>1.46</v>
      </c>
      <c r="L7">
        <v>1.52</v>
      </c>
    </row>
    <row r="8" spans="1:12">
      <c r="A8">
        <v>6</v>
      </c>
      <c r="B8">
        <v>5.26</v>
      </c>
      <c r="C8">
        <v>4.43</v>
      </c>
      <c r="D8">
        <v>5.69</v>
      </c>
      <c r="E8">
        <v>5.69</v>
      </c>
      <c r="F8">
        <v>60</v>
      </c>
      <c r="G8">
        <v>252</v>
      </c>
      <c r="H8">
        <v>6</v>
      </c>
      <c r="I8">
        <v>5</v>
      </c>
      <c r="J8">
        <v>1.6</v>
      </c>
      <c r="K8">
        <v>1.5</v>
      </c>
      <c r="L8">
        <v>1.62</v>
      </c>
    </row>
    <row r="9" spans="1:12">
      <c r="A9">
        <v>7</v>
      </c>
      <c r="B9">
        <v>8.42</v>
      </c>
      <c r="C9">
        <v>7</v>
      </c>
      <c r="D9">
        <v>9.2200000000000006</v>
      </c>
      <c r="E9">
        <v>9.2200000000000006</v>
      </c>
      <c r="F9">
        <v>60</v>
      </c>
      <c r="G9">
        <v>252</v>
      </c>
      <c r="H9">
        <v>0</v>
      </c>
      <c r="I9">
        <v>0</v>
      </c>
      <c r="J9">
        <v>1.6</v>
      </c>
      <c r="K9">
        <v>1.58</v>
      </c>
      <c r="L9">
        <v>1.62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5"/>
  <sheetViews>
    <sheetView topLeftCell="A19" workbookViewId="0">
      <selection activeCell="N43" sqref="N43"/>
    </sheetView>
  </sheetViews>
  <sheetFormatPr defaultColWidth="8.875" defaultRowHeight="13.5"/>
  <cols>
    <col min="1" max="2" width="8.875" style="4"/>
    <col min="3" max="3" width="10.5" style="4" bestFit="1" customWidth="1"/>
    <col min="4" max="16384" width="8.875" style="4"/>
  </cols>
  <sheetData>
    <row r="1" spans="1:3">
      <c r="A1" t="s">
        <v>374</v>
      </c>
      <c r="B1" s="4" t="s">
        <v>376</v>
      </c>
    </row>
    <row r="2" spans="1:3">
      <c r="A2" t="s">
        <v>375</v>
      </c>
      <c r="B2" s="4" t="s">
        <v>372</v>
      </c>
      <c r="C2" s="4" t="s">
        <v>373</v>
      </c>
    </row>
    <row r="4" spans="1:3">
      <c r="A4" s="4">
        <v>1</v>
      </c>
      <c r="B4" s="4">
        <v>1</v>
      </c>
      <c r="C4" s="4">
        <v>3.8000000000000003</v>
      </c>
    </row>
    <row r="5" spans="1:3">
      <c r="B5" s="4">
        <v>2</v>
      </c>
      <c r="C5" s="4">
        <v>4.8000000000000007</v>
      </c>
    </row>
    <row r="6" spans="1:3">
      <c r="B6" s="4">
        <v>3</v>
      </c>
      <c r="C6" s="4">
        <v>5.8000000000000007</v>
      </c>
    </row>
    <row r="7" spans="1:3">
      <c r="B7" s="4">
        <v>4</v>
      </c>
      <c r="C7" s="4">
        <v>6.8000000000000007</v>
      </c>
    </row>
    <row r="8" spans="1:3">
      <c r="B8" s="4">
        <v>5</v>
      </c>
      <c r="C8" s="4">
        <v>8</v>
      </c>
    </row>
    <row r="9" spans="1:3">
      <c r="B9" s="4">
        <v>6</v>
      </c>
      <c r="C9" s="4">
        <v>9.8000000000000007</v>
      </c>
    </row>
    <row r="10" spans="1:3">
      <c r="B10" s="4">
        <v>7</v>
      </c>
      <c r="C10" s="4">
        <v>12.3</v>
      </c>
    </row>
    <row r="11" spans="1:3">
      <c r="A11" s="4">
        <v>2</v>
      </c>
      <c r="B11" s="4">
        <v>1</v>
      </c>
      <c r="C11" s="4">
        <v>4.4000000000000004</v>
      </c>
    </row>
    <row r="12" spans="1:3">
      <c r="B12" s="4">
        <v>2</v>
      </c>
      <c r="C12" s="4">
        <v>5.4</v>
      </c>
    </row>
    <row r="13" spans="1:3">
      <c r="B13" s="4">
        <v>3</v>
      </c>
      <c r="C13" s="4">
        <v>6.4</v>
      </c>
    </row>
    <row r="14" spans="1:3">
      <c r="B14" s="4">
        <v>4</v>
      </c>
      <c r="C14" s="4">
        <v>7.4</v>
      </c>
    </row>
    <row r="15" spans="1:3">
      <c r="B15" s="4">
        <v>5</v>
      </c>
      <c r="C15" s="4">
        <v>8.6</v>
      </c>
    </row>
    <row r="16" spans="1:3">
      <c r="B16" s="4">
        <v>6</v>
      </c>
      <c r="C16" s="4">
        <v>10.4</v>
      </c>
    </row>
    <row r="17" spans="1:3">
      <c r="B17" s="4">
        <v>7</v>
      </c>
      <c r="C17" s="4">
        <v>12.9</v>
      </c>
    </row>
    <row r="18" spans="1:3">
      <c r="A18" s="4">
        <v>3</v>
      </c>
      <c r="B18" s="4">
        <v>1</v>
      </c>
      <c r="C18" s="4">
        <v>5</v>
      </c>
    </row>
    <row r="19" spans="1:3">
      <c r="B19" s="4">
        <v>2</v>
      </c>
      <c r="C19" s="4">
        <v>6</v>
      </c>
    </row>
    <row r="20" spans="1:3">
      <c r="B20" s="4">
        <v>3</v>
      </c>
      <c r="C20" s="4">
        <v>7</v>
      </c>
    </row>
    <row r="21" spans="1:3">
      <c r="B21" s="4">
        <v>4</v>
      </c>
      <c r="C21" s="4">
        <v>8</v>
      </c>
    </row>
    <row r="22" spans="1:3">
      <c r="B22" s="4">
        <v>5</v>
      </c>
      <c r="C22" s="4">
        <v>9.1999999999999993</v>
      </c>
    </row>
    <row r="23" spans="1:3">
      <c r="B23" s="4">
        <v>6</v>
      </c>
      <c r="C23" s="4">
        <v>11</v>
      </c>
    </row>
    <row r="24" spans="1:3">
      <c r="B24" s="4">
        <v>7</v>
      </c>
      <c r="C24" s="4">
        <v>13.5</v>
      </c>
    </row>
    <row r="25" spans="1:3">
      <c r="A25" s="4">
        <v>4</v>
      </c>
      <c r="B25" s="4">
        <v>1</v>
      </c>
      <c r="C25" s="4">
        <v>6</v>
      </c>
    </row>
    <row r="26" spans="1:3">
      <c r="B26" s="4">
        <v>2</v>
      </c>
      <c r="C26" s="4">
        <v>7</v>
      </c>
    </row>
    <row r="27" spans="1:3">
      <c r="B27" s="4">
        <v>3</v>
      </c>
      <c r="C27" s="4">
        <v>8</v>
      </c>
    </row>
    <row r="28" spans="1:3">
      <c r="B28" s="4">
        <v>4</v>
      </c>
      <c r="C28" s="4">
        <v>9.1999999999999993</v>
      </c>
    </row>
    <row r="29" spans="1:3">
      <c r="B29" s="4">
        <v>5</v>
      </c>
      <c r="C29" s="4">
        <v>11</v>
      </c>
    </row>
    <row r="30" spans="1:3">
      <c r="B30" s="4">
        <v>6</v>
      </c>
      <c r="C30" s="4">
        <v>13.2</v>
      </c>
    </row>
    <row r="31" spans="1:3">
      <c r="B31" s="4">
        <v>7</v>
      </c>
      <c r="C31" s="4">
        <v>16</v>
      </c>
    </row>
    <row r="32" spans="1:3">
      <c r="A32" s="4">
        <v>5</v>
      </c>
      <c r="B32" s="4">
        <v>1</v>
      </c>
      <c r="C32" s="4">
        <v>6.6</v>
      </c>
    </row>
    <row r="33" spans="1:3">
      <c r="B33" s="4">
        <v>2</v>
      </c>
      <c r="C33" s="4">
        <v>7.7</v>
      </c>
    </row>
    <row r="34" spans="1:3">
      <c r="B34" s="4">
        <v>3</v>
      </c>
      <c r="C34" s="4">
        <v>8.8000000000000007</v>
      </c>
    </row>
    <row r="35" spans="1:3">
      <c r="B35" s="4">
        <v>4</v>
      </c>
      <c r="C35" s="4">
        <v>10.199999999999999</v>
      </c>
    </row>
    <row r="36" spans="1:3">
      <c r="B36" s="4">
        <v>5</v>
      </c>
      <c r="C36" s="4">
        <v>12.2</v>
      </c>
    </row>
    <row r="37" spans="1:3">
      <c r="B37" s="4">
        <v>6</v>
      </c>
      <c r="C37" s="4">
        <v>14.6</v>
      </c>
    </row>
    <row r="38" spans="1:3">
      <c r="B38" s="4">
        <v>7</v>
      </c>
      <c r="C38" s="4">
        <v>18</v>
      </c>
    </row>
    <row r="39" spans="1:3">
      <c r="A39" s="4">
        <v>6</v>
      </c>
      <c r="B39" s="4">
        <v>1</v>
      </c>
      <c r="C39" s="4">
        <v>7.3</v>
      </c>
    </row>
    <row r="40" spans="1:3">
      <c r="B40" s="4">
        <v>2</v>
      </c>
      <c r="C40" s="4">
        <v>8.5</v>
      </c>
    </row>
    <row r="41" spans="1:3">
      <c r="B41" s="4">
        <v>3</v>
      </c>
      <c r="C41" s="4">
        <v>9.6999999999999993</v>
      </c>
    </row>
    <row r="42" spans="1:3">
      <c r="B42" s="4">
        <v>4</v>
      </c>
      <c r="C42" s="4">
        <v>11.2</v>
      </c>
    </row>
    <row r="43" spans="1:3">
      <c r="B43" s="4">
        <v>5</v>
      </c>
      <c r="C43" s="4">
        <v>13.4</v>
      </c>
    </row>
    <row r="44" spans="1:3">
      <c r="B44" s="4">
        <v>6</v>
      </c>
      <c r="C44" s="4">
        <v>16</v>
      </c>
    </row>
    <row r="45" spans="1:3">
      <c r="B45" s="4">
        <v>7</v>
      </c>
      <c r="C45" s="4">
        <v>19.8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装备&amp;材料</vt:lpstr>
      <vt:lpstr>人物</vt:lpstr>
      <vt:lpstr>技能</vt:lpstr>
      <vt:lpstr>属性能力说明</vt:lpstr>
      <vt:lpstr>#天赋</vt:lpstr>
      <vt:lpstr>状态</vt:lpstr>
      <vt:lpstr>#状态名词</vt:lpstr>
      <vt:lpstr>特殊技能</vt:lpstr>
      <vt:lpstr>特殊状态</vt:lpstr>
      <vt:lpstr>进阶战力表</vt:lpstr>
      <vt:lpstr>#技能触发表</vt:lpstr>
      <vt:lpstr>人物升级表</vt:lpstr>
      <vt:lpstr>技能等级表</vt:lpstr>
      <vt:lpstr>天赋</vt:lpstr>
      <vt:lpstr>天赋解锁</vt:lpstr>
      <vt:lpstr>分解</vt:lpstr>
      <vt:lpstr>人物升星表</vt:lpstr>
      <vt:lpstr>#品质星级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Wacky wu</dc:creator>
  <cp:lastModifiedBy>funday</cp:lastModifiedBy>
  <cp:lastPrinted>2016-01-12T10:15:31Z</cp:lastPrinted>
  <dcterms:created xsi:type="dcterms:W3CDTF">2006-09-16T00:00:00Z</dcterms:created>
  <dcterms:modified xsi:type="dcterms:W3CDTF">2018-01-11T06:09:28Z</dcterms:modified>
</cp:coreProperties>
</file>